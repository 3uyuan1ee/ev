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firstSheet="53" activeTab="56"/>
  </bookViews>
  <sheets>
    <sheet name="China BEVs penetration rate" sheetId="2" r:id="rId1"/>
    <sheet name="Ratio of Sales" sheetId="73" r:id="rId2"/>
    <sheet name="Annual Comparison" sheetId="3" r:id="rId3"/>
    <sheet name="Battery Price " sheetId="7" r:id="rId4"/>
    <sheet name="Battery Installed Capacity" sheetId="9" r:id="rId5"/>
    <sheet name="ABC class Vehicle Definition" sheetId="40" r:id="rId6"/>
    <sheet name="A00" sheetId="8" r:id="rId7"/>
    <sheet name="A00 class comparison " sheetId="44" r:id="rId8"/>
    <sheet name="A" sheetId="11" r:id="rId9"/>
    <sheet name="A class comparison" sheetId="47" r:id="rId10"/>
    <sheet name="B" sheetId="10" r:id="rId11"/>
    <sheet name="B class comparison" sheetId="49" r:id="rId12"/>
    <sheet name="C" sheetId="13" r:id="rId13"/>
    <sheet name="C class comparison" sheetId="50" r:id="rId14"/>
    <sheet name="Class Summary" sheetId="14" r:id="rId15"/>
    <sheet name="TCO graphing" sheetId="32" r:id="rId16"/>
    <sheet name="A00 data TCO" sheetId="52" r:id="rId17"/>
    <sheet name="A00 TCO (10)3" sheetId="53" r:id="rId18"/>
    <sheet name="A00 TCO (10)" sheetId="34" r:id="rId19"/>
    <sheet name="A00 TCO (20)" sheetId="24" r:id="rId20"/>
    <sheet name="A00 TCO (30)" sheetId="70" r:id="rId21"/>
    <sheet name="A00 TCO (40)" sheetId="25" r:id="rId22"/>
    <sheet name="A00 TCO (60)" sheetId="16" r:id="rId23"/>
    <sheet name="A00 TCO (80)" sheetId="65" r:id="rId24"/>
    <sheet name="A00 TCO (300)" sheetId="69" r:id="rId25"/>
    <sheet name="A (3)" sheetId="55" r:id="rId26"/>
    <sheet name="A TCO Inner City (20)" sheetId="26" r:id="rId27"/>
    <sheet name="A TCO Inner City (30)" sheetId="64" r:id="rId28"/>
    <sheet name="A TCO Inner City (40)" sheetId="19" r:id="rId29"/>
    <sheet name="A TCO Inner City (60)" sheetId="35" r:id="rId30"/>
    <sheet name="A TCO Inner City (80)" sheetId="21" r:id="rId31"/>
    <sheet name="A TCO Shared Riding (300)" sheetId="17" r:id="rId32"/>
    <sheet name="B (2)" sheetId="56" r:id="rId33"/>
    <sheet name="B TCO （300） (2SD)" sheetId="66" r:id="rId34"/>
    <sheet name="B TCO （20) (2SD)" sheetId="67" r:id="rId35"/>
    <sheet name="B TCO （60) (2SD)" sheetId="68" r:id="rId36"/>
    <sheet name="B TCO （300）" sheetId="31" r:id="rId37"/>
    <sheet name="B TCO （20)" sheetId="57" r:id="rId38"/>
    <sheet name="B TCO （30)" sheetId="58" r:id="rId39"/>
    <sheet name="B TCO （40）" sheetId="20" r:id="rId40"/>
    <sheet name="B TCO （60)" sheetId="27" r:id="rId41"/>
    <sheet name="B TCO （80）" sheetId="23" r:id="rId42"/>
    <sheet name="C (3)" sheetId="59" r:id="rId43"/>
    <sheet name="C TCO （20)" sheetId="62" r:id="rId44"/>
    <sheet name="C TCO （30)" sheetId="61" r:id="rId45"/>
    <sheet name="C TCO （40)" sheetId="60" r:id="rId46"/>
    <sheet name="C TCO （60)" sheetId="28" r:id="rId47"/>
    <sheet name="C TCO （80）" sheetId="29" r:id="rId48"/>
    <sheet name="C TCO （90）" sheetId="30" r:id="rId49"/>
    <sheet name="C TCO （120）" sheetId="33" r:id="rId50"/>
    <sheet name="C TCO （300）" sheetId="63" r:id="rId51"/>
    <sheet name="Norway Charging Station" sheetId="36" r:id="rId52"/>
    <sheet name="Sweden Charging Stations" sheetId="37" r:id="rId53"/>
    <sheet name="Netherland Charging Stations" sheetId="38" r:id="rId54"/>
    <sheet name="Germany" sheetId="71" r:id="rId55"/>
    <sheet name="China charging Station" sheetId="72" r:id="rId56"/>
    <sheet name="Driving Range" sheetId="74" r:id="rId57"/>
    <sheet name="Automakers" sheetId="75" r:id="rId58"/>
  </sheets>
  <calcPr calcId="152511"/>
</workbook>
</file>

<file path=xl/calcChain.xml><?xml version="1.0" encoding="utf-8"?>
<calcChain xmlns="http://schemas.openxmlformats.org/spreadsheetml/2006/main">
  <c r="S25" i="74" l="1"/>
  <c r="S24" i="74"/>
  <c r="S23" i="74"/>
  <c r="S22" i="74"/>
  <c r="P22" i="74" l="1"/>
  <c r="L15" i="74"/>
  <c r="L14" i="74"/>
  <c r="L13" i="74"/>
  <c r="L12" i="74"/>
  <c r="L11" i="74"/>
  <c r="L10" i="74"/>
  <c r="L9" i="74"/>
  <c r="L8" i="74"/>
  <c r="L6" i="74"/>
  <c r="L16" i="74" s="1"/>
  <c r="L7" i="74"/>
  <c r="H32" i="72"/>
  <c r="I32" i="72" s="1"/>
  <c r="I26" i="72"/>
  <c r="I29" i="72"/>
  <c r="I25" i="72"/>
  <c r="H31" i="72"/>
  <c r="I31" i="72" s="1"/>
  <c r="H30" i="72"/>
  <c r="I30" i="72" s="1"/>
  <c r="H29" i="72"/>
  <c r="H28" i="72"/>
  <c r="I28" i="72" s="1"/>
  <c r="H27" i="72"/>
  <c r="I27" i="72" s="1"/>
  <c r="H26" i="72"/>
  <c r="H25" i="72"/>
  <c r="G33" i="72"/>
  <c r="H35" i="72" s="1"/>
  <c r="I35" i="72" s="1"/>
  <c r="F32" i="72"/>
  <c r="F33" i="72" s="1"/>
  <c r="F34" i="72" s="1"/>
  <c r="F35" i="72" s="1"/>
  <c r="F36" i="72" s="1"/>
  <c r="F37" i="72" s="1"/>
  <c r="K11" i="36"/>
  <c r="K11" i="72"/>
  <c r="K12" i="72"/>
  <c r="K13" i="72"/>
  <c r="K10" i="72"/>
  <c r="D14" i="72"/>
  <c r="K14" i="72" s="1"/>
  <c r="I14" i="72"/>
  <c r="I15" i="72"/>
  <c r="I16" i="72"/>
  <c r="G15" i="72"/>
  <c r="K15" i="72" s="1"/>
  <c r="F17" i="72"/>
  <c r="F16" i="72"/>
  <c r="D16" i="72" s="1"/>
  <c r="K16" i="72" s="1"/>
  <c r="F14" i="72"/>
  <c r="F15" i="72" s="1"/>
  <c r="D15" i="72" s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I8" i="72"/>
  <c r="I9" i="72"/>
  <c r="I10" i="72"/>
  <c r="I11" i="72"/>
  <c r="I12" i="72"/>
  <c r="I13" i="72"/>
  <c r="I7" i="72"/>
  <c r="G3" i="38"/>
  <c r="G4" i="38"/>
  <c r="G5" i="38"/>
  <c r="G6" i="38"/>
  <c r="G7" i="38"/>
  <c r="G8" i="38"/>
  <c r="G9" i="38"/>
  <c r="G2" i="38"/>
  <c r="G20" i="71"/>
  <c r="K20" i="71" s="1"/>
  <c r="G21" i="71"/>
  <c r="K21" i="71" s="1"/>
  <c r="G22" i="71"/>
  <c r="K22" i="71" s="1"/>
  <c r="G23" i="71"/>
  <c r="K23" i="71" s="1"/>
  <c r="G24" i="71"/>
  <c r="K24" i="71" s="1"/>
  <c r="G25" i="71"/>
  <c r="K25" i="71" s="1"/>
  <c r="G26" i="71"/>
  <c r="K26" i="71" s="1"/>
  <c r="G19" i="71"/>
  <c r="K19" i="71" s="1"/>
  <c r="D3" i="71"/>
  <c r="D4" i="71"/>
  <c r="D5" i="71"/>
  <c r="D6" i="71"/>
  <c r="D7" i="71"/>
  <c r="D8" i="71"/>
  <c r="D9" i="71"/>
  <c r="D10" i="71"/>
  <c r="D11" i="71"/>
  <c r="D2" i="71"/>
  <c r="D31" i="70"/>
  <c r="D15" i="70"/>
  <c r="E73" i="70"/>
  <c r="F73" i="70"/>
  <c r="F74" i="70" s="1"/>
  <c r="F75" i="70" s="1"/>
  <c r="F76" i="70" s="1"/>
  <c r="G73" i="70"/>
  <c r="H73" i="70"/>
  <c r="H74" i="70" s="1"/>
  <c r="H75" i="70" s="1"/>
  <c r="H76" i="70" s="1"/>
  <c r="I73" i="70"/>
  <c r="I74" i="70" s="1"/>
  <c r="I75" i="70" s="1"/>
  <c r="I76" i="70" s="1"/>
  <c r="J73" i="70"/>
  <c r="J74" i="70" s="1"/>
  <c r="J75" i="70" s="1"/>
  <c r="J76" i="70" s="1"/>
  <c r="K73" i="70"/>
  <c r="K74" i="70" s="1"/>
  <c r="K75" i="70" s="1"/>
  <c r="K76" i="70" s="1"/>
  <c r="L73" i="70"/>
  <c r="L74" i="70" s="1"/>
  <c r="L75" i="70" s="1"/>
  <c r="L76" i="70" s="1"/>
  <c r="M73" i="70"/>
  <c r="N73" i="70"/>
  <c r="O73" i="70"/>
  <c r="O74" i="70" s="1"/>
  <c r="P74" i="70" s="1"/>
  <c r="P73" i="70"/>
  <c r="Q73" i="70"/>
  <c r="R73" i="70"/>
  <c r="S73" i="70"/>
  <c r="T73" i="70"/>
  <c r="U73" i="70"/>
  <c r="V73" i="70"/>
  <c r="W73" i="70"/>
  <c r="X73" i="70"/>
  <c r="Y73" i="70"/>
  <c r="Z73" i="70"/>
  <c r="D73" i="70"/>
  <c r="E58" i="70"/>
  <c r="F58" i="70"/>
  <c r="G58" i="70"/>
  <c r="H58" i="70"/>
  <c r="I58" i="70"/>
  <c r="J58" i="70"/>
  <c r="K58" i="70"/>
  <c r="L58" i="70"/>
  <c r="M58" i="70"/>
  <c r="N58" i="70"/>
  <c r="O58" i="70"/>
  <c r="P58" i="70"/>
  <c r="Q58" i="70"/>
  <c r="R58" i="70"/>
  <c r="S58" i="70"/>
  <c r="T58" i="70"/>
  <c r="U58" i="70"/>
  <c r="V58" i="70"/>
  <c r="W58" i="70"/>
  <c r="X58" i="70"/>
  <c r="Y58" i="70"/>
  <c r="Z58" i="70"/>
  <c r="D58" i="70"/>
  <c r="M74" i="70"/>
  <c r="M75" i="70" s="1"/>
  <c r="M76" i="70" s="1"/>
  <c r="G74" i="70"/>
  <c r="G75" i="70" s="1"/>
  <c r="G76" i="70" s="1"/>
  <c r="E74" i="70"/>
  <c r="E75" i="70" s="1"/>
  <c r="E76" i="70" s="1"/>
  <c r="N74" i="70"/>
  <c r="N75" i="70" s="1"/>
  <c r="N76" i="70" s="1"/>
  <c r="D74" i="70"/>
  <c r="D75" i="70" s="1"/>
  <c r="D76" i="70" s="1"/>
  <c r="Z69" i="70"/>
  <c r="Y69" i="70"/>
  <c r="X69" i="70"/>
  <c r="W69" i="70"/>
  <c r="V69" i="70"/>
  <c r="U69" i="70"/>
  <c r="T69" i="70"/>
  <c r="S69" i="70"/>
  <c r="R69" i="70"/>
  <c r="Q69" i="70"/>
  <c r="P69" i="70"/>
  <c r="O69" i="70"/>
  <c r="N69" i="70"/>
  <c r="M69" i="70"/>
  <c r="L69" i="70"/>
  <c r="K69" i="70"/>
  <c r="J69" i="70"/>
  <c r="I69" i="70"/>
  <c r="H69" i="70"/>
  <c r="H70" i="70" s="1"/>
  <c r="G69" i="70"/>
  <c r="F69" i="70"/>
  <c r="E69" i="70"/>
  <c r="D69" i="70"/>
  <c r="D64" i="70"/>
  <c r="Z62" i="70"/>
  <c r="Y62" i="70"/>
  <c r="X62" i="70"/>
  <c r="W62" i="70"/>
  <c r="V62" i="70"/>
  <c r="U62" i="70"/>
  <c r="T62" i="70"/>
  <c r="D59" i="70"/>
  <c r="D60" i="70" s="1"/>
  <c r="D35" i="70"/>
  <c r="O34" i="70"/>
  <c r="N34" i="70"/>
  <c r="M34" i="70"/>
  <c r="L34" i="70"/>
  <c r="K34" i="70"/>
  <c r="J34" i="70"/>
  <c r="I34" i="70"/>
  <c r="H34" i="70"/>
  <c r="G34" i="70"/>
  <c r="F34" i="70"/>
  <c r="E34" i="70"/>
  <c r="D34" i="70"/>
  <c r="E33" i="70"/>
  <c r="F33" i="70" s="1"/>
  <c r="G33" i="70" s="1"/>
  <c r="H33" i="70" s="1"/>
  <c r="I33" i="70" s="1"/>
  <c r="J33" i="70" s="1"/>
  <c r="K33" i="70" s="1"/>
  <c r="L33" i="70" s="1"/>
  <c r="M33" i="70" s="1"/>
  <c r="N33" i="70" s="1"/>
  <c r="O33" i="70" s="1"/>
  <c r="E31" i="70"/>
  <c r="E25" i="70"/>
  <c r="F25" i="70" s="1"/>
  <c r="G25" i="70" s="1"/>
  <c r="H25" i="70" s="1"/>
  <c r="I25" i="70" s="1"/>
  <c r="J25" i="70" s="1"/>
  <c r="K25" i="70" s="1"/>
  <c r="L25" i="70" s="1"/>
  <c r="M25" i="70" s="1"/>
  <c r="N25" i="70" s="1"/>
  <c r="O25" i="70" s="1"/>
  <c r="O18" i="70"/>
  <c r="N18" i="70"/>
  <c r="M18" i="70"/>
  <c r="L18" i="70"/>
  <c r="K18" i="70"/>
  <c r="J18" i="70"/>
  <c r="I18" i="70"/>
  <c r="H18" i="70"/>
  <c r="G18" i="70"/>
  <c r="F18" i="70"/>
  <c r="E18" i="70"/>
  <c r="D18" i="70"/>
  <c r="E15" i="70"/>
  <c r="E8" i="70"/>
  <c r="D8" i="70"/>
  <c r="O7" i="70"/>
  <c r="O8" i="70" s="1"/>
  <c r="N7" i="70"/>
  <c r="N8" i="70" s="1"/>
  <c r="M7" i="70"/>
  <c r="M8" i="70" s="1"/>
  <c r="L7" i="70"/>
  <c r="L8" i="70" s="1"/>
  <c r="K7" i="70"/>
  <c r="K8" i="70" s="1"/>
  <c r="J7" i="70"/>
  <c r="J8" i="70" s="1"/>
  <c r="I7" i="70"/>
  <c r="I8" i="70" s="1"/>
  <c r="H7" i="70"/>
  <c r="H8" i="70" s="1"/>
  <c r="G7" i="70"/>
  <c r="G8" i="70" s="1"/>
  <c r="F7" i="70"/>
  <c r="F8" i="70" s="1"/>
  <c r="E90" i="69"/>
  <c r="F90" i="69"/>
  <c r="G90" i="69"/>
  <c r="H90" i="69"/>
  <c r="I90" i="69"/>
  <c r="J90" i="69"/>
  <c r="K90" i="69"/>
  <c r="L90" i="69"/>
  <c r="L91" i="69" s="1"/>
  <c r="M90" i="69"/>
  <c r="N90" i="69"/>
  <c r="O90" i="69"/>
  <c r="P90" i="69"/>
  <c r="Q90" i="69"/>
  <c r="R90" i="69"/>
  <c r="N91" i="69" s="1"/>
  <c r="S90" i="69"/>
  <c r="T90" i="69"/>
  <c r="U90" i="69"/>
  <c r="V90" i="69"/>
  <c r="W90" i="69"/>
  <c r="X90" i="69"/>
  <c r="Y90" i="69"/>
  <c r="Z90" i="69"/>
  <c r="D90" i="69"/>
  <c r="D31" i="69"/>
  <c r="E31" i="69" s="1"/>
  <c r="D15" i="69"/>
  <c r="E83" i="69"/>
  <c r="E84" i="69" s="1"/>
  <c r="E85" i="69" s="1"/>
  <c r="E86" i="69" s="1"/>
  <c r="F83" i="69"/>
  <c r="G83" i="69"/>
  <c r="G84" i="69" s="1"/>
  <c r="G85" i="69" s="1"/>
  <c r="G86" i="69" s="1"/>
  <c r="H83" i="69"/>
  <c r="H84" i="69" s="1"/>
  <c r="H85" i="69" s="1"/>
  <c r="H86" i="69" s="1"/>
  <c r="I83" i="69"/>
  <c r="I84" i="69" s="1"/>
  <c r="I85" i="69" s="1"/>
  <c r="I86" i="69" s="1"/>
  <c r="J83" i="69"/>
  <c r="J84" i="69" s="1"/>
  <c r="J85" i="69" s="1"/>
  <c r="J86" i="69" s="1"/>
  <c r="K83" i="69"/>
  <c r="K84" i="69" s="1"/>
  <c r="K85" i="69" s="1"/>
  <c r="K86" i="69" s="1"/>
  <c r="L83" i="69"/>
  <c r="L84" i="69" s="1"/>
  <c r="L85" i="69" s="1"/>
  <c r="L86" i="69" s="1"/>
  <c r="M83" i="69"/>
  <c r="M84" i="69" s="1"/>
  <c r="M85" i="69" s="1"/>
  <c r="M86" i="69" s="1"/>
  <c r="N83" i="69"/>
  <c r="O83" i="69"/>
  <c r="P83" i="69"/>
  <c r="Q83" i="69"/>
  <c r="R83" i="69"/>
  <c r="S83" i="69"/>
  <c r="T83" i="69"/>
  <c r="U83" i="69"/>
  <c r="V83" i="69"/>
  <c r="W83" i="69"/>
  <c r="X83" i="69"/>
  <c r="Y83" i="69"/>
  <c r="Z83" i="69"/>
  <c r="D83" i="69"/>
  <c r="D84" i="69" s="1"/>
  <c r="D85" i="69" s="1"/>
  <c r="D86" i="69" s="1"/>
  <c r="E68" i="69"/>
  <c r="F68" i="69"/>
  <c r="G68" i="69"/>
  <c r="H68" i="69"/>
  <c r="I68" i="69"/>
  <c r="J68" i="69"/>
  <c r="K68" i="69"/>
  <c r="L68" i="69"/>
  <c r="M68" i="69"/>
  <c r="N68" i="69"/>
  <c r="O68" i="69"/>
  <c r="P68" i="69"/>
  <c r="Q68" i="69"/>
  <c r="R68" i="69"/>
  <c r="S68" i="69"/>
  <c r="T68" i="69"/>
  <c r="U68" i="69"/>
  <c r="V68" i="69"/>
  <c r="W68" i="69"/>
  <c r="X68" i="69"/>
  <c r="Y68" i="69"/>
  <c r="Z68" i="69"/>
  <c r="D68" i="69"/>
  <c r="D69" i="69" s="1"/>
  <c r="O84" i="69"/>
  <c r="N84" i="69"/>
  <c r="N85" i="69" s="1"/>
  <c r="N86" i="69" s="1"/>
  <c r="F84" i="69"/>
  <c r="F85" i="69" s="1"/>
  <c r="F86" i="69" s="1"/>
  <c r="Z79" i="69"/>
  <c r="Y79" i="69"/>
  <c r="X79" i="69"/>
  <c r="W79" i="69"/>
  <c r="V79" i="69"/>
  <c r="U79" i="69"/>
  <c r="T79" i="69"/>
  <c r="S79" i="69"/>
  <c r="R79" i="69"/>
  <c r="Q79" i="69"/>
  <c r="P79" i="69"/>
  <c r="O79" i="69"/>
  <c r="N79" i="69"/>
  <c r="M79" i="69"/>
  <c r="L79" i="69"/>
  <c r="K79" i="69"/>
  <c r="J79" i="69"/>
  <c r="I79" i="69"/>
  <c r="H79" i="69"/>
  <c r="G79" i="69"/>
  <c r="F79" i="69"/>
  <c r="E79" i="69"/>
  <c r="D79" i="69"/>
  <c r="D74" i="69"/>
  <c r="Z72" i="69"/>
  <c r="Y72" i="69"/>
  <c r="X72" i="69"/>
  <c r="W72" i="69"/>
  <c r="V72" i="69"/>
  <c r="U72" i="69"/>
  <c r="T72" i="69"/>
  <c r="O34" i="69"/>
  <c r="N34" i="69"/>
  <c r="M34" i="69"/>
  <c r="L34" i="69"/>
  <c r="K34" i="69"/>
  <c r="J34" i="69"/>
  <c r="I34" i="69"/>
  <c r="H34" i="69"/>
  <c r="G34" i="69"/>
  <c r="F34" i="69"/>
  <c r="E34" i="69"/>
  <c r="D34" i="69"/>
  <c r="E33" i="69"/>
  <c r="F33" i="69" s="1"/>
  <c r="G33" i="69" s="1"/>
  <c r="H33" i="69" s="1"/>
  <c r="I33" i="69" s="1"/>
  <c r="J33" i="69" s="1"/>
  <c r="K33" i="69" s="1"/>
  <c r="L33" i="69" s="1"/>
  <c r="M33" i="69" s="1"/>
  <c r="N33" i="69" s="1"/>
  <c r="O33" i="69" s="1"/>
  <c r="O18" i="69"/>
  <c r="N18" i="69"/>
  <c r="M18" i="69"/>
  <c r="L18" i="69"/>
  <c r="K18" i="69"/>
  <c r="J18" i="69"/>
  <c r="I18" i="69"/>
  <c r="H18" i="69"/>
  <c r="G18" i="69"/>
  <c r="F18" i="69"/>
  <c r="E18" i="69"/>
  <c r="D18" i="69"/>
  <c r="E15" i="69"/>
  <c r="F15" i="69" s="1"/>
  <c r="G15" i="69" s="1"/>
  <c r="H15" i="69" s="1"/>
  <c r="I15" i="69" s="1"/>
  <c r="J15" i="69" s="1"/>
  <c r="K15" i="69" s="1"/>
  <c r="L15" i="69" s="1"/>
  <c r="M15" i="69" s="1"/>
  <c r="N15" i="69" s="1"/>
  <c r="O15" i="69" s="1"/>
  <c r="E8" i="69"/>
  <c r="D8" i="69"/>
  <c r="O7" i="69"/>
  <c r="O8" i="69" s="1"/>
  <c r="N7" i="69"/>
  <c r="N8" i="69" s="1"/>
  <c r="M7" i="69"/>
  <c r="M8" i="69" s="1"/>
  <c r="L7" i="69"/>
  <c r="L8" i="69" s="1"/>
  <c r="K7" i="69"/>
  <c r="K8" i="69" s="1"/>
  <c r="J7" i="69"/>
  <c r="J8" i="69" s="1"/>
  <c r="I7" i="69"/>
  <c r="I8" i="69" s="1"/>
  <c r="H7" i="69"/>
  <c r="H8" i="69" s="1"/>
  <c r="G7" i="69"/>
  <c r="G8" i="69" s="1"/>
  <c r="F7" i="69"/>
  <c r="F8" i="69" s="1"/>
  <c r="E74" i="68"/>
  <c r="E75" i="68" s="1"/>
  <c r="E76" i="68" s="1"/>
  <c r="E77" i="68" s="1"/>
  <c r="D74" i="68"/>
  <c r="D75" i="68" s="1"/>
  <c r="D76" i="68" s="1"/>
  <c r="D77" i="68" s="1"/>
  <c r="O70" i="68"/>
  <c r="O71" i="68" s="1"/>
  <c r="N70" i="68"/>
  <c r="M70" i="68"/>
  <c r="L70" i="68"/>
  <c r="K70" i="68"/>
  <c r="J70" i="68"/>
  <c r="I70" i="68"/>
  <c r="H70" i="68"/>
  <c r="G70" i="68"/>
  <c r="F70" i="68"/>
  <c r="E70" i="68"/>
  <c r="D70" i="68"/>
  <c r="D65" i="68"/>
  <c r="H61" i="68"/>
  <c r="H62" i="68" s="1"/>
  <c r="X60" i="68"/>
  <c r="X61" i="68" s="1"/>
  <c r="X62" i="68" s="1"/>
  <c r="W60" i="68"/>
  <c r="W61" i="68" s="1"/>
  <c r="W62" i="68" s="1"/>
  <c r="O60" i="68"/>
  <c r="O61" i="68" s="1"/>
  <c r="O62" i="68" s="1"/>
  <c r="H60" i="68"/>
  <c r="G60" i="68"/>
  <c r="G61" i="68" s="1"/>
  <c r="G62" i="68" s="1"/>
  <c r="Z59" i="68"/>
  <c r="Z74" i="68" s="1"/>
  <c r="Z75" i="68" s="1"/>
  <c r="Z76" i="68" s="1"/>
  <c r="Z77" i="68" s="1"/>
  <c r="Y59" i="68"/>
  <c r="Y74" i="68" s="1"/>
  <c r="Y75" i="68" s="1"/>
  <c r="Y76" i="68" s="1"/>
  <c r="Y77" i="68" s="1"/>
  <c r="X59" i="68"/>
  <c r="X74" i="68" s="1"/>
  <c r="X75" i="68" s="1"/>
  <c r="X76" i="68" s="1"/>
  <c r="X77" i="68" s="1"/>
  <c r="W59" i="68"/>
  <c r="W74" i="68" s="1"/>
  <c r="W75" i="68" s="1"/>
  <c r="W76" i="68" s="1"/>
  <c r="W77" i="68" s="1"/>
  <c r="V59" i="68"/>
  <c r="V74" i="68" s="1"/>
  <c r="V75" i="68" s="1"/>
  <c r="V76" i="68" s="1"/>
  <c r="V77" i="68" s="1"/>
  <c r="U59" i="68"/>
  <c r="U60" i="68" s="1"/>
  <c r="U61" i="68" s="1"/>
  <c r="U62" i="68" s="1"/>
  <c r="T59" i="68"/>
  <c r="T60" i="68" s="1"/>
  <c r="T61" i="68" s="1"/>
  <c r="T62" i="68" s="1"/>
  <c r="S59" i="68"/>
  <c r="R59" i="68"/>
  <c r="R74" i="68" s="1"/>
  <c r="R75" i="68" s="1"/>
  <c r="R76" i="68" s="1"/>
  <c r="R77" i="68" s="1"/>
  <c r="Q59" i="68"/>
  <c r="Q74" i="68" s="1"/>
  <c r="Q75" i="68" s="1"/>
  <c r="Q76" i="68" s="1"/>
  <c r="Q77" i="68" s="1"/>
  <c r="P59" i="68"/>
  <c r="P74" i="68" s="1"/>
  <c r="P75" i="68" s="1"/>
  <c r="P76" i="68" s="1"/>
  <c r="P77" i="68" s="1"/>
  <c r="O59" i="68"/>
  <c r="O74" i="68" s="1"/>
  <c r="O75" i="68" s="1"/>
  <c r="O76" i="68" s="1"/>
  <c r="O77" i="68" s="1"/>
  <c r="N59" i="68"/>
  <c r="N60" i="68" s="1"/>
  <c r="N61" i="68" s="1"/>
  <c r="N62" i="68" s="1"/>
  <c r="M59" i="68"/>
  <c r="M60" i="68" s="1"/>
  <c r="M61" i="68" s="1"/>
  <c r="M62" i="68" s="1"/>
  <c r="L59" i="68"/>
  <c r="L60" i="68" s="1"/>
  <c r="L61" i="68" s="1"/>
  <c r="L62" i="68" s="1"/>
  <c r="K59" i="68"/>
  <c r="J59" i="68"/>
  <c r="J74" i="68" s="1"/>
  <c r="J75" i="68" s="1"/>
  <c r="J76" i="68" s="1"/>
  <c r="J77" i="68" s="1"/>
  <c r="I59" i="68"/>
  <c r="I74" i="68" s="1"/>
  <c r="I75" i="68" s="1"/>
  <c r="I76" i="68" s="1"/>
  <c r="I77" i="68" s="1"/>
  <c r="H59" i="68"/>
  <c r="H74" i="68" s="1"/>
  <c r="H75" i="68" s="1"/>
  <c r="H76" i="68" s="1"/>
  <c r="H77" i="68" s="1"/>
  <c r="G59" i="68"/>
  <c r="G74" i="68" s="1"/>
  <c r="G75" i="68" s="1"/>
  <c r="G76" i="68" s="1"/>
  <c r="G77" i="68" s="1"/>
  <c r="F59" i="68"/>
  <c r="F74" i="68" s="1"/>
  <c r="F75" i="68" s="1"/>
  <c r="F76" i="68" s="1"/>
  <c r="F77" i="68" s="1"/>
  <c r="E59" i="68"/>
  <c r="E60" i="68" s="1"/>
  <c r="E61" i="68" s="1"/>
  <c r="E62" i="68" s="1"/>
  <c r="D59" i="68"/>
  <c r="D60" i="68" s="1"/>
  <c r="D61" i="68" s="1"/>
  <c r="D62" i="68" s="1"/>
  <c r="O34" i="68"/>
  <c r="N34" i="68"/>
  <c r="M34" i="68"/>
  <c r="L34" i="68"/>
  <c r="K34" i="68"/>
  <c r="J34" i="68"/>
  <c r="I34" i="68"/>
  <c r="H34" i="68"/>
  <c r="G34" i="68"/>
  <c r="F34" i="68"/>
  <c r="E34" i="68"/>
  <c r="D34" i="68"/>
  <c r="E33" i="68"/>
  <c r="F33" i="68" s="1"/>
  <c r="G33" i="68" s="1"/>
  <c r="H33" i="68" s="1"/>
  <c r="I33" i="68" s="1"/>
  <c r="J33" i="68" s="1"/>
  <c r="K33" i="68" s="1"/>
  <c r="L33" i="68" s="1"/>
  <c r="M33" i="68" s="1"/>
  <c r="N33" i="68" s="1"/>
  <c r="O33" i="68" s="1"/>
  <c r="D31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D15" i="68"/>
  <c r="D19" i="68" s="1"/>
  <c r="F67" i="67"/>
  <c r="F68" i="67" s="1"/>
  <c r="F69" i="67" s="1"/>
  <c r="E67" i="67"/>
  <c r="E68" i="67" s="1"/>
  <c r="E69" i="67" s="1"/>
  <c r="Z66" i="67"/>
  <c r="Z67" i="67" s="1"/>
  <c r="Z68" i="67" s="1"/>
  <c r="Z69" i="67" s="1"/>
  <c r="Y66" i="67"/>
  <c r="Y67" i="67" s="1"/>
  <c r="Y68" i="67" s="1"/>
  <c r="Y69" i="67" s="1"/>
  <c r="X66" i="67"/>
  <c r="X67" i="67" s="1"/>
  <c r="X68" i="67" s="1"/>
  <c r="X69" i="67" s="1"/>
  <c r="W66" i="67"/>
  <c r="W67" i="67" s="1"/>
  <c r="W68" i="67" s="1"/>
  <c r="W69" i="67" s="1"/>
  <c r="V66" i="67"/>
  <c r="V67" i="67" s="1"/>
  <c r="V68" i="67" s="1"/>
  <c r="V69" i="67" s="1"/>
  <c r="U66" i="67"/>
  <c r="U67" i="67" s="1"/>
  <c r="U68" i="67" s="1"/>
  <c r="U69" i="67" s="1"/>
  <c r="T66" i="67"/>
  <c r="T67" i="67" s="1"/>
  <c r="T68" i="67" s="1"/>
  <c r="T69" i="67" s="1"/>
  <c r="S66" i="67"/>
  <c r="S67" i="67" s="1"/>
  <c r="S68" i="67" s="1"/>
  <c r="S69" i="67" s="1"/>
  <c r="R66" i="67"/>
  <c r="R67" i="67" s="1"/>
  <c r="R68" i="67" s="1"/>
  <c r="R69" i="67" s="1"/>
  <c r="Q66" i="67"/>
  <c r="Q67" i="67" s="1"/>
  <c r="Q68" i="67" s="1"/>
  <c r="Q69" i="67" s="1"/>
  <c r="P66" i="67"/>
  <c r="P67" i="67" s="1"/>
  <c r="P68" i="67" s="1"/>
  <c r="P69" i="67" s="1"/>
  <c r="O66" i="67"/>
  <c r="O67" i="67" s="1"/>
  <c r="O68" i="67" s="1"/>
  <c r="O69" i="67" s="1"/>
  <c r="N66" i="67"/>
  <c r="N67" i="67" s="1"/>
  <c r="N68" i="67" s="1"/>
  <c r="N69" i="67" s="1"/>
  <c r="M66" i="67"/>
  <c r="M67" i="67" s="1"/>
  <c r="M68" i="67" s="1"/>
  <c r="M69" i="67" s="1"/>
  <c r="L66" i="67"/>
  <c r="L67" i="67" s="1"/>
  <c r="L68" i="67" s="1"/>
  <c r="L69" i="67" s="1"/>
  <c r="K66" i="67"/>
  <c r="K67" i="67" s="1"/>
  <c r="K68" i="67" s="1"/>
  <c r="K69" i="67" s="1"/>
  <c r="J66" i="67"/>
  <c r="J67" i="67" s="1"/>
  <c r="J68" i="67" s="1"/>
  <c r="J69" i="67" s="1"/>
  <c r="I66" i="67"/>
  <c r="I67" i="67" s="1"/>
  <c r="I68" i="67" s="1"/>
  <c r="I69" i="67" s="1"/>
  <c r="H66" i="67"/>
  <c r="H67" i="67" s="1"/>
  <c r="H68" i="67" s="1"/>
  <c r="H69" i="67" s="1"/>
  <c r="G66" i="67"/>
  <c r="G67" i="67" s="1"/>
  <c r="G68" i="67" s="1"/>
  <c r="G69" i="67" s="1"/>
  <c r="F66" i="67"/>
  <c r="E66" i="67"/>
  <c r="D66" i="67"/>
  <c r="D67" i="67" s="1"/>
  <c r="D68" i="67" s="1"/>
  <c r="D69" i="67" s="1"/>
  <c r="O62" i="67"/>
  <c r="O63" i="67" s="1"/>
  <c r="N62" i="67"/>
  <c r="N63" i="67" s="1"/>
  <c r="M62" i="67"/>
  <c r="L62" i="67"/>
  <c r="K62" i="67"/>
  <c r="J62" i="67"/>
  <c r="I62" i="67"/>
  <c r="H62" i="67"/>
  <c r="G62" i="67"/>
  <c r="F62" i="67"/>
  <c r="F63" i="67" s="1"/>
  <c r="E62" i="67"/>
  <c r="D62" i="67"/>
  <c r="D57" i="67"/>
  <c r="N52" i="67"/>
  <c r="N53" i="67" s="1"/>
  <c r="N54" i="67" s="1"/>
  <c r="F52" i="67"/>
  <c r="F53" i="67" s="1"/>
  <c r="F54" i="67" s="1"/>
  <c r="Z51" i="67"/>
  <c r="Z52" i="67" s="1"/>
  <c r="Z53" i="67" s="1"/>
  <c r="Z54" i="67" s="1"/>
  <c r="Y51" i="67"/>
  <c r="Y52" i="67" s="1"/>
  <c r="Y53" i="67" s="1"/>
  <c r="Y54" i="67" s="1"/>
  <c r="X51" i="67"/>
  <c r="X52" i="67" s="1"/>
  <c r="X53" i="67" s="1"/>
  <c r="X54" i="67" s="1"/>
  <c r="W51" i="67"/>
  <c r="W52" i="67" s="1"/>
  <c r="W53" i="67" s="1"/>
  <c r="W54" i="67" s="1"/>
  <c r="V51" i="67"/>
  <c r="V52" i="67" s="1"/>
  <c r="V53" i="67" s="1"/>
  <c r="V54" i="67" s="1"/>
  <c r="U51" i="67"/>
  <c r="U52" i="67" s="1"/>
  <c r="U53" i="67" s="1"/>
  <c r="U54" i="67" s="1"/>
  <c r="T51" i="67"/>
  <c r="T52" i="67" s="1"/>
  <c r="T53" i="67" s="1"/>
  <c r="T54" i="67" s="1"/>
  <c r="S51" i="67"/>
  <c r="S52" i="67" s="1"/>
  <c r="S53" i="67" s="1"/>
  <c r="S54" i="67" s="1"/>
  <c r="R51" i="67"/>
  <c r="R52" i="67" s="1"/>
  <c r="R53" i="67" s="1"/>
  <c r="R54" i="67" s="1"/>
  <c r="Q51" i="67"/>
  <c r="Q52" i="67" s="1"/>
  <c r="Q53" i="67" s="1"/>
  <c r="Q54" i="67" s="1"/>
  <c r="P51" i="67"/>
  <c r="P52" i="67" s="1"/>
  <c r="P53" i="67" s="1"/>
  <c r="P54" i="67" s="1"/>
  <c r="O51" i="67"/>
  <c r="O52" i="67" s="1"/>
  <c r="O53" i="67" s="1"/>
  <c r="O54" i="67" s="1"/>
  <c r="N51" i="67"/>
  <c r="M51" i="67"/>
  <c r="M52" i="67" s="1"/>
  <c r="M53" i="67" s="1"/>
  <c r="M54" i="67" s="1"/>
  <c r="L51" i="67"/>
  <c r="L52" i="67" s="1"/>
  <c r="L53" i="67" s="1"/>
  <c r="L54" i="67" s="1"/>
  <c r="K51" i="67"/>
  <c r="K52" i="67" s="1"/>
  <c r="K53" i="67" s="1"/>
  <c r="K54" i="67" s="1"/>
  <c r="J51" i="67"/>
  <c r="J52" i="67" s="1"/>
  <c r="J53" i="67" s="1"/>
  <c r="J54" i="67" s="1"/>
  <c r="I51" i="67"/>
  <c r="I52" i="67" s="1"/>
  <c r="I53" i="67" s="1"/>
  <c r="I54" i="67" s="1"/>
  <c r="H51" i="67"/>
  <c r="H52" i="67" s="1"/>
  <c r="H53" i="67" s="1"/>
  <c r="H54" i="67" s="1"/>
  <c r="G51" i="67"/>
  <c r="G52" i="67" s="1"/>
  <c r="G53" i="67" s="1"/>
  <c r="G54" i="67" s="1"/>
  <c r="F51" i="67"/>
  <c r="E51" i="67"/>
  <c r="E52" i="67" s="1"/>
  <c r="E53" i="67" s="1"/>
  <c r="E54" i="67" s="1"/>
  <c r="D51" i="67"/>
  <c r="D52" i="67" s="1"/>
  <c r="D53" i="67" s="1"/>
  <c r="D54" i="67" s="1"/>
  <c r="O36" i="67"/>
  <c r="N36" i="67"/>
  <c r="M36" i="67"/>
  <c r="L36" i="67"/>
  <c r="K36" i="67"/>
  <c r="J36" i="67"/>
  <c r="I36" i="67"/>
  <c r="H36" i="67"/>
  <c r="G36" i="67"/>
  <c r="F36" i="67"/>
  <c r="E36" i="67"/>
  <c r="D36" i="67"/>
  <c r="E35" i="67"/>
  <c r="F35" i="67" s="1"/>
  <c r="G35" i="67" s="1"/>
  <c r="H35" i="67" s="1"/>
  <c r="I35" i="67" s="1"/>
  <c r="J35" i="67" s="1"/>
  <c r="K35" i="67" s="1"/>
  <c r="L35" i="67" s="1"/>
  <c r="M35" i="67" s="1"/>
  <c r="N35" i="67" s="1"/>
  <c r="O35" i="67" s="1"/>
  <c r="D33" i="67"/>
  <c r="O18" i="67"/>
  <c r="N18" i="67"/>
  <c r="M18" i="67"/>
  <c r="L18" i="67"/>
  <c r="K18" i="67"/>
  <c r="J18" i="67"/>
  <c r="I18" i="67"/>
  <c r="H18" i="67"/>
  <c r="G18" i="67"/>
  <c r="F18" i="67"/>
  <c r="E18" i="67"/>
  <c r="D18" i="67"/>
  <c r="D15" i="67"/>
  <c r="E15" i="67" s="1"/>
  <c r="Q64" i="66"/>
  <c r="Q65" i="66" s="1"/>
  <c r="Q66" i="66" s="1"/>
  <c r="Q67" i="66" s="1"/>
  <c r="N64" i="66"/>
  <c r="N65" i="66" s="1"/>
  <c r="N66" i="66" s="1"/>
  <c r="N67" i="66" s="1"/>
  <c r="O60" i="66"/>
  <c r="O61" i="66" s="1"/>
  <c r="N60" i="66"/>
  <c r="N61" i="66" s="1"/>
  <c r="M60" i="66"/>
  <c r="L60" i="66"/>
  <c r="L61" i="66" s="1"/>
  <c r="K60" i="66"/>
  <c r="J60" i="66"/>
  <c r="I60" i="66"/>
  <c r="H60" i="66"/>
  <c r="G60" i="66"/>
  <c r="F60" i="66"/>
  <c r="F61" i="66" s="1"/>
  <c r="E60" i="66"/>
  <c r="D60" i="66"/>
  <c r="D61" i="66" s="1"/>
  <c r="D55" i="66"/>
  <c r="X50" i="66"/>
  <c r="X51" i="66" s="1"/>
  <c r="X52" i="66" s="1"/>
  <c r="H50" i="66"/>
  <c r="H51" i="66" s="1"/>
  <c r="H52" i="66" s="1"/>
  <c r="F50" i="66"/>
  <c r="F51" i="66" s="1"/>
  <c r="F52" i="66" s="1"/>
  <c r="Z49" i="66"/>
  <c r="Z64" i="66" s="1"/>
  <c r="Z65" i="66" s="1"/>
  <c r="Z66" i="66" s="1"/>
  <c r="Z67" i="66" s="1"/>
  <c r="Y49" i="66"/>
  <c r="Y50" i="66" s="1"/>
  <c r="Y51" i="66" s="1"/>
  <c r="Y52" i="66" s="1"/>
  <c r="X49" i="66"/>
  <c r="X64" i="66" s="1"/>
  <c r="X65" i="66" s="1"/>
  <c r="X66" i="66" s="1"/>
  <c r="X67" i="66" s="1"/>
  <c r="W49" i="66"/>
  <c r="W64" i="66" s="1"/>
  <c r="W65" i="66" s="1"/>
  <c r="W66" i="66" s="1"/>
  <c r="W67" i="66" s="1"/>
  <c r="V49" i="66"/>
  <c r="V64" i="66" s="1"/>
  <c r="V65" i="66" s="1"/>
  <c r="V66" i="66" s="1"/>
  <c r="V67" i="66" s="1"/>
  <c r="U49" i="66"/>
  <c r="U50" i="66" s="1"/>
  <c r="U51" i="66" s="1"/>
  <c r="U52" i="66" s="1"/>
  <c r="T49" i="66"/>
  <c r="S49" i="66"/>
  <c r="R49" i="66"/>
  <c r="R64" i="66" s="1"/>
  <c r="R65" i="66" s="1"/>
  <c r="R66" i="66" s="1"/>
  <c r="R67" i="66" s="1"/>
  <c r="Q49" i="66"/>
  <c r="Q50" i="66" s="1"/>
  <c r="Q51" i="66" s="1"/>
  <c r="Q52" i="66" s="1"/>
  <c r="P49" i="66"/>
  <c r="P64" i="66" s="1"/>
  <c r="P65" i="66" s="1"/>
  <c r="P66" i="66" s="1"/>
  <c r="P67" i="66" s="1"/>
  <c r="O49" i="66"/>
  <c r="O64" i="66" s="1"/>
  <c r="O65" i="66" s="1"/>
  <c r="O66" i="66" s="1"/>
  <c r="O67" i="66" s="1"/>
  <c r="N49" i="66"/>
  <c r="N50" i="66" s="1"/>
  <c r="N51" i="66" s="1"/>
  <c r="N52" i="66" s="1"/>
  <c r="M49" i="66"/>
  <c r="M50" i="66" s="1"/>
  <c r="M51" i="66" s="1"/>
  <c r="M52" i="66" s="1"/>
  <c r="L49" i="66"/>
  <c r="L50" i="66" s="1"/>
  <c r="L51" i="66" s="1"/>
  <c r="L52" i="66" s="1"/>
  <c r="K49" i="66"/>
  <c r="K50" i="66" s="1"/>
  <c r="K51" i="66" s="1"/>
  <c r="K52" i="66" s="1"/>
  <c r="J49" i="66"/>
  <c r="J64" i="66" s="1"/>
  <c r="J65" i="66" s="1"/>
  <c r="J66" i="66" s="1"/>
  <c r="J67" i="66" s="1"/>
  <c r="I49" i="66"/>
  <c r="I50" i="66" s="1"/>
  <c r="I51" i="66" s="1"/>
  <c r="I52" i="66" s="1"/>
  <c r="H49" i="66"/>
  <c r="H64" i="66" s="1"/>
  <c r="H65" i="66" s="1"/>
  <c r="H66" i="66" s="1"/>
  <c r="H67" i="66" s="1"/>
  <c r="G49" i="66"/>
  <c r="G64" i="66" s="1"/>
  <c r="G65" i="66" s="1"/>
  <c r="G66" i="66" s="1"/>
  <c r="G67" i="66" s="1"/>
  <c r="F49" i="66"/>
  <c r="F64" i="66" s="1"/>
  <c r="F65" i="66" s="1"/>
  <c r="F66" i="66" s="1"/>
  <c r="F67" i="66" s="1"/>
  <c r="E49" i="66"/>
  <c r="E50" i="66" s="1"/>
  <c r="E51" i="66" s="1"/>
  <c r="E52" i="66" s="1"/>
  <c r="D49" i="66"/>
  <c r="O34" i="66"/>
  <c r="N34" i="66"/>
  <c r="M34" i="66"/>
  <c r="L34" i="66"/>
  <c r="K34" i="66"/>
  <c r="J34" i="66"/>
  <c r="I34" i="66"/>
  <c r="H34" i="66"/>
  <c r="G34" i="66"/>
  <c r="F34" i="66"/>
  <c r="E34" i="66"/>
  <c r="D34" i="66"/>
  <c r="E33" i="66"/>
  <c r="F33" i="66" s="1"/>
  <c r="G33" i="66" s="1"/>
  <c r="H33" i="66" s="1"/>
  <c r="I33" i="66" s="1"/>
  <c r="J33" i="66" s="1"/>
  <c r="K33" i="66" s="1"/>
  <c r="L33" i="66" s="1"/>
  <c r="M33" i="66" s="1"/>
  <c r="N33" i="66" s="1"/>
  <c r="O33" i="66" s="1"/>
  <c r="D31" i="66"/>
  <c r="D35" i="66" s="1"/>
  <c r="O18" i="66"/>
  <c r="N18" i="66"/>
  <c r="M18" i="66"/>
  <c r="L18" i="66"/>
  <c r="K18" i="66"/>
  <c r="J18" i="66"/>
  <c r="I18" i="66"/>
  <c r="H18" i="66"/>
  <c r="G18" i="66"/>
  <c r="F18" i="66"/>
  <c r="E18" i="66"/>
  <c r="D18" i="66"/>
  <c r="D15" i="66"/>
  <c r="E15" i="66" s="1"/>
  <c r="U39" i="49"/>
  <c r="AD41" i="47"/>
  <c r="C57" i="49"/>
  <c r="F64" i="49"/>
  <c r="C69" i="47"/>
  <c r="D33" i="65"/>
  <c r="E33" i="65" s="1"/>
  <c r="D15" i="65"/>
  <c r="E15" i="65" s="1"/>
  <c r="F15" i="65" s="1"/>
  <c r="G15" i="65" s="1"/>
  <c r="H15" i="65" s="1"/>
  <c r="I15" i="65" s="1"/>
  <c r="J15" i="65" s="1"/>
  <c r="K15" i="65" s="1"/>
  <c r="L15" i="65" s="1"/>
  <c r="M15" i="65" s="1"/>
  <c r="N15" i="65" s="1"/>
  <c r="O15" i="65" s="1"/>
  <c r="E85" i="65"/>
  <c r="E86" i="65" s="1"/>
  <c r="E87" i="65" s="1"/>
  <c r="E88" i="65" s="1"/>
  <c r="F85" i="65"/>
  <c r="F86" i="65" s="1"/>
  <c r="F87" i="65" s="1"/>
  <c r="F88" i="65" s="1"/>
  <c r="G85" i="65"/>
  <c r="H85" i="65"/>
  <c r="I85" i="65"/>
  <c r="J85" i="65"/>
  <c r="J86" i="65" s="1"/>
  <c r="J87" i="65" s="1"/>
  <c r="J88" i="65" s="1"/>
  <c r="K85" i="65"/>
  <c r="K86" i="65" s="1"/>
  <c r="K87" i="65" s="1"/>
  <c r="K88" i="65" s="1"/>
  <c r="L85" i="65"/>
  <c r="L86" i="65" s="1"/>
  <c r="L87" i="65" s="1"/>
  <c r="L88" i="65" s="1"/>
  <c r="M85" i="65"/>
  <c r="M86" i="65" s="1"/>
  <c r="M87" i="65" s="1"/>
  <c r="M88" i="65" s="1"/>
  <c r="N85" i="65"/>
  <c r="N86" i="65" s="1"/>
  <c r="N87" i="65" s="1"/>
  <c r="N88" i="65" s="1"/>
  <c r="O85" i="65"/>
  <c r="P85" i="65"/>
  <c r="Q85" i="65"/>
  <c r="R85" i="65"/>
  <c r="S85" i="65"/>
  <c r="T85" i="65"/>
  <c r="U85" i="65"/>
  <c r="V85" i="65"/>
  <c r="W85" i="65"/>
  <c r="X85" i="65"/>
  <c r="Y85" i="65"/>
  <c r="Z85" i="65"/>
  <c r="D85" i="65"/>
  <c r="E70" i="65"/>
  <c r="F70" i="65"/>
  <c r="G70" i="65"/>
  <c r="H70" i="65"/>
  <c r="I70" i="65"/>
  <c r="J70" i="65"/>
  <c r="K70" i="65"/>
  <c r="L70" i="65"/>
  <c r="M70" i="65"/>
  <c r="N70" i="65"/>
  <c r="O70" i="65"/>
  <c r="P70" i="65"/>
  <c r="Q70" i="65"/>
  <c r="R70" i="65"/>
  <c r="S70" i="65"/>
  <c r="T70" i="65"/>
  <c r="U70" i="65"/>
  <c r="V70" i="65"/>
  <c r="W70" i="65"/>
  <c r="X70" i="65"/>
  <c r="Y70" i="65"/>
  <c r="Z70" i="65"/>
  <c r="D70" i="65"/>
  <c r="O86" i="65"/>
  <c r="P86" i="65" s="1"/>
  <c r="H86" i="65"/>
  <c r="H87" i="65" s="1"/>
  <c r="H88" i="65" s="1"/>
  <c r="G86" i="65"/>
  <c r="G87" i="65" s="1"/>
  <c r="G88" i="65" s="1"/>
  <c r="I86" i="65"/>
  <c r="I87" i="65" s="1"/>
  <c r="I88" i="65" s="1"/>
  <c r="D86" i="65"/>
  <c r="D87" i="65" s="1"/>
  <c r="D88" i="65" s="1"/>
  <c r="Z81" i="65"/>
  <c r="Y81" i="65"/>
  <c r="X81" i="65"/>
  <c r="W81" i="65"/>
  <c r="V81" i="65"/>
  <c r="U81" i="65"/>
  <c r="T81" i="65"/>
  <c r="S81" i="65"/>
  <c r="R81" i="65"/>
  <c r="Q81" i="65"/>
  <c r="P81" i="65"/>
  <c r="O81" i="65"/>
  <c r="N81" i="65"/>
  <c r="M81" i="65"/>
  <c r="L81" i="65"/>
  <c r="K81" i="65"/>
  <c r="J81" i="65"/>
  <c r="J82" i="65" s="1"/>
  <c r="I81" i="65"/>
  <c r="H81" i="65"/>
  <c r="G81" i="65"/>
  <c r="F81" i="65"/>
  <c r="E81" i="65"/>
  <c r="D81" i="65"/>
  <c r="D76" i="65"/>
  <c r="Z74" i="65"/>
  <c r="Y74" i="65"/>
  <c r="X74" i="65"/>
  <c r="W74" i="65"/>
  <c r="V74" i="65"/>
  <c r="U74" i="65"/>
  <c r="T74" i="65"/>
  <c r="D71" i="65"/>
  <c r="O36" i="65"/>
  <c r="N36" i="65"/>
  <c r="M36" i="65"/>
  <c r="L36" i="65"/>
  <c r="K36" i="65"/>
  <c r="J36" i="65"/>
  <c r="I36" i="65"/>
  <c r="H36" i="65"/>
  <c r="G36" i="65"/>
  <c r="F36" i="65"/>
  <c r="E36" i="65"/>
  <c r="D36" i="65"/>
  <c r="E35" i="65"/>
  <c r="F35" i="65" s="1"/>
  <c r="G35" i="65" s="1"/>
  <c r="H35" i="65" s="1"/>
  <c r="I35" i="65" s="1"/>
  <c r="J35" i="65" s="1"/>
  <c r="K35" i="65" s="1"/>
  <c r="L35" i="65" s="1"/>
  <c r="M35" i="65" s="1"/>
  <c r="N35" i="65" s="1"/>
  <c r="O35" i="65" s="1"/>
  <c r="E27" i="65"/>
  <c r="F27" i="65" s="1"/>
  <c r="G27" i="65" s="1"/>
  <c r="H27" i="65" s="1"/>
  <c r="I27" i="65" s="1"/>
  <c r="J27" i="65" s="1"/>
  <c r="K27" i="65" s="1"/>
  <c r="L27" i="65" s="1"/>
  <c r="M27" i="65" s="1"/>
  <c r="N27" i="65" s="1"/>
  <c r="O27" i="65" s="1"/>
  <c r="O18" i="65"/>
  <c r="N18" i="65"/>
  <c r="M18" i="65"/>
  <c r="L18" i="65"/>
  <c r="K18" i="65"/>
  <c r="J18" i="65"/>
  <c r="I18" i="65"/>
  <c r="H18" i="65"/>
  <c r="G18" i="65"/>
  <c r="F18" i="65"/>
  <c r="E18" i="65"/>
  <c r="D18" i="65"/>
  <c r="E8" i="65"/>
  <c r="D8" i="65"/>
  <c r="O7" i="65"/>
  <c r="O8" i="65" s="1"/>
  <c r="N7" i="65"/>
  <c r="N8" i="65" s="1"/>
  <c r="M7" i="65"/>
  <c r="M8" i="65" s="1"/>
  <c r="L7" i="65"/>
  <c r="L8" i="65" s="1"/>
  <c r="K7" i="65"/>
  <c r="K8" i="65" s="1"/>
  <c r="J7" i="65"/>
  <c r="J8" i="65" s="1"/>
  <c r="I7" i="65"/>
  <c r="I8" i="65" s="1"/>
  <c r="H7" i="65"/>
  <c r="H8" i="65" s="1"/>
  <c r="G7" i="65"/>
  <c r="G8" i="65" s="1"/>
  <c r="F7" i="65"/>
  <c r="F8" i="65" s="1"/>
  <c r="D31" i="64"/>
  <c r="D15" i="64"/>
  <c r="G63" i="64"/>
  <c r="H63" i="64"/>
  <c r="I63" i="64"/>
  <c r="I64" i="64" s="1"/>
  <c r="I65" i="64" s="1"/>
  <c r="I66" i="64" s="1"/>
  <c r="J63" i="64"/>
  <c r="J64" i="64" s="1"/>
  <c r="J65" i="64" s="1"/>
  <c r="J66" i="64" s="1"/>
  <c r="O63" i="64"/>
  <c r="O64" i="64" s="1"/>
  <c r="O65" i="64" s="1"/>
  <c r="O66" i="64" s="1"/>
  <c r="P63" i="64"/>
  <c r="Q63" i="64"/>
  <c r="Q64" i="64" s="1"/>
  <c r="Q65" i="64" s="1"/>
  <c r="Q66" i="64" s="1"/>
  <c r="R63" i="64"/>
  <c r="W63" i="64"/>
  <c r="X63" i="64"/>
  <c r="X64" i="64" s="1"/>
  <c r="X65" i="64" s="1"/>
  <c r="X66" i="64" s="1"/>
  <c r="Y63" i="64"/>
  <c r="Y64" i="64" s="1"/>
  <c r="Y65" i="64" s="1"/>
  <c r="Y66" i="64" s="1"/>
  <c r="Z63" i="64"/>
  <c r="Z64" i="64" s="1"/>
  <c r="Z65" i="64" s="1"/>
  <c r="Z66" i="64" s="1"/>
  <c r="E48" i="64"/>
  <c r="E63" i="64" s="1"/>
  <c r="E64" i="64" s="1"/>
  <c r="E65" i="64" s="1"/>
  <c r="E66" i="64" s="1"/>
  <c r="F48" i="64"/>
  <c r="F63" i="64" s="1"/>
  <c r="G48" i="64"/>
  <c r="H48" i="64"/>
  <c r="H49" i="64" s="1"/>
  <c r="H50" i="64" s="1"/>
  <c r="H51" i="64" s="1"/>
  <c r="I48" i="64"/>
  <c r="J48" i="64"/>
  <c r="J49" i="64" s="1"/>
  <c r="J50" i="64" s="1"/>
  <c r="J51" i="64" s="1"/>
  <c r="K48" i="64"/>
  <c r="K49" i="64" s="1"/>
  <c r="K50" i="64" s="1"/>
  <c r="K51" i="64" s="1"/>
  <c r="L48" i="64"/>
  <c r="L63" i="64" s="1"/>
  <c r="L64" i="64" s="1"/>
  <c r="L65" i="64" s="1"/>
  <c r="L66" i="64" s="1"/>
  <c r="M48" i="64"/>
  <c r="M63" i="64" s="1"/>
  <c r="M64" i="64" s="1"/>
  <c r="M65" i="64" s="1"/>
  <c r="M66" i="64" s="1"/>
  <c r="N48" i="64"/>
  <c r="N63" i="64" s="1"/>
  <c r="N64" i="64" s="1"/>
  <c r="N65" i="64" s="1"/>
  <c r="N66" i="64" s="1"/>
  <c r="O48" i="64"/>
  <c r="P48" i="64"/>
  <c r="Q48" i="64"/>
  <c r="Q49" i="64" s="1"/>
  <c r="Q50" i="64" s="1"/>
  <c r="Q51" i="64" s="1"/>
  <c r="R48" i="64"/>
  <c r="R49" i="64" s="1"/>
  <c r="R50" i="64" s="1"/>
  <c r="R51" i="64" s="1"/>
  <c r="S48" i="64"/>
  <c r="S49" i="64" s="1"/>
  <c r="S50" i="64" s="1"/>
  <c r="S51" i="64" s="1"/>
  <c r="T48" i="64"/>
  <c r="U48" i="64"/>
  <c r="U63" i="64" s="1"/>
  <c r="U64" i="64" s="1"/>
  <c r="U65" i="64" s="1"/>
  <c r="U66" i="64" s="1"/>
  <c r="V48" i="64"/>
  <c r="V63" i="64" s="1"/>
  <c r="V64" i="64" s="1"/>
  <c r="V65" i="64" s="1"/>
  <c r="V66" i="64" s="1"/>
  <c r="W48" i="64"/>
  <c r="X48" i="64"/>
  <c r="X49" i="64" s="1"/>
  <c r="X50" i="64" s="1"/>
  <c r="X51" i="64" s="1"/>
  <c r="Y48" i="64"/>
  <c r="Z48" i="64"/>
  <c r="Z49" i="64" s="1"/>
  <c r="Z50" i="64" s="1"/>
  <c r="Z51" i="64" s="1"/>
  <c r="D48" i="64"/>
  <c r="D49" i="64" s="1"/>
  <c r="D50" i="64" s="1"/>
  <c r="D51" i="64" s="1"/>
  <c r="W64" i="64"/>
  <c r="W65" i="64" s="1"/>
  <c r="W66" i="64" s="1"/>
  <c r="R64" i="64"/>
  <c r="R65" i="64" s="1"/>
  <c r="R66" i="64" s="1"/>
  <c r="P64" i="64"/>
  <c r="P65" i="64" s="1"/>
  <c r="P66" i="64" s="1"/>
  <c r="H64" i="64"/>
  <c r="H65" i="64" s="1"/>
  <c r="H66" i="64" s="1"/>
  <c r="G64" i="64"/>
  <c r="G65" i="64" s="1"/>
  <c r="G66" i="64" s="1"/>
  <c r="F64" i="64"/>
  <c r="F65" i="64" s="1"/>
  <c r="F66" i="64" s="1"/>
  <c r="O59" i="64"/>
  <c r="O60" i="64" s="1"/>
  <c r="N59" i="64"/>
  <c r="N60" i="64" s="1"/>
  <c r="M59" i="64"/>
  <c r="L59" i="64"/>
  <c r="K59" i="64"/>
  <c r="J59" i="64"/>
  <c r="I59" i="64"/>
  <c r="H59" i="64"/>
  <c r="G59" i="64"/>
  <c r="F59" i="64"/>
  <c r="E59" i="64"/>
  <c r="D59" i="64"/>
  <c r="D54" i="64"/>
  <c r="W49" i="64"/>
  <c r="W50" i="64" s="1"/>
  <c r="W51" i="64" s="1"/>
  <c r="U49" i="64"/>
  <c r="U50" i="64" s="1"/>
  <c r="U51" i="64" s="1"/>
  <c r="O49" i="64"/>
  <c r="O50" i="64" s="1"/>
  <c r="O51" i="64" s="1"/>
  <c r="M49" i="64"/>
  <c r="M50" i="64" s="1"/>
  <c r="M51" i="64" s="1"/>
  <c r="G49" i="64"/>
  <c r="G50" i="64" s="1"/>
  <c r="G51" i="64" s="1"/>
  <c r="E49" i="64"/>
  <c r="E50" i="64" s="1"/>
  <c r="E51" i="64" s="1"/>
  <c r="Y49" i="64"/>
  <c r="Y50" i="64" s="1"/>
  <c r="Y51" i="64" s="1"/>
  <c r="V49" i="64"/>
  <c r="V50" i="64" s="1"/>
  <c r="V51" i="64" s="1"/>
  <c r="P49" i="64"/>
  <c r="P50" i="64" s="1"/>
  <c r="P51" i="64" s="1"/>
  <c r="N49" i="64"/>
  <c r="N50" i="64" s="1"/>
  <c r="N51" i="64" s="1"/>
  <c r="L49" i="64"/>
  <c r="L50" i="64" s="1"/>
  <c r="L51" i="64" s="1"/>
  <c r="I49" i="64"/>
  <c r="I50" i="64" s="1"/>
  <c r="I51" i="64" s="1"/>
  <c r="F49" i="64"/>
  <c r="F50" i="64" s="1"/>
  <c r="F51" i="64" s="1"/>
  <c r="O34" i="64"/>
  <c r="N34" i="64"/>
  <c r="M34" i="64"/>
  <c r="L34" i="64"/>
  <c r="K34" i="64"/>
  <c r="J34" i="64"/>
  <c r="I34" i="64"/>
  <c r="H34" i="64"/>
  <c r="G34" i="64"/>
  <c r="F34" i="64"/>
  <c r="E34" i="64"/>
  <c r="D34" i="64"/>
  <c r="F33" i="64"/>
  <c r="G33" i="64" s="1"/>
  <c r="H33" i="64" s="1"/>
  <c r="I33" i="64" s="1"/>
  <c r="J33" i="64" s="1"/>
  <c r="K33" i="64" s="1"/>
  <c r="L33" i="64" s="1"/>
  <c r="M33" i="64" s="1"/>
  <c r="N33" i="64" s="1"/>
  <c r="O33" i="64" s="1"/>
  <c r="E33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E15" i="64"/>
  <c r="E19" i="64" s="1"/>
  <c r="D19" i="64"/>
  <c r="P70" i="63"/>
  <c r="M71" i="63" s="1"/>
  <c r="Q70" i="63"/>
  <c r="R70" i="63"/>
  <c r="S70" i="63"/>
  <c r="T70" i="63"/>
  <c r="U70" i="63"/>
  <c r="V70" i="63"/>
  <c r="W70" i="63"/>
  <c r="X70" i="63"/>
  <c r="Y70" i="63"/>
  <c r="Z70" i="63"/>
  <c r="P82" i="63"/>
  <c r="Q82" i="63"/>
  <c r="R82" i="63"/>
  <c r="S82" i="63"/>
  <c r="O83" i="63" s="1"/>
  <c r="T82" i="63"/>
  <c r="U82" i="63"/>
  <c r="V82" i="63"/>
  <c r="W82" i="63"/>
  <c r="X82" i="63"/>
  <c r="Y82" i="63"/>
  <c r="Z82" i="63"/>
  <c r="L83" i="63"/>
  <c r="M83" i="63"/>
  <c r="N83" i="63"/>
  <c r="E82" i="63"/>
  <c r="F82" i="63"/>
  <c r="G82" i="63"/>
  <c r="H82" i="63"/>
  <c r="I82" i="63"/>
  <c r="G83" i="63" s="1"/>
  <c r="J82" i="63"/>
  <c r="J83" i="63" s="1"/>
  <c r="K82" i="63"/>
  <c r="K83" i="63" s="1"/>
  <c r="L82" i="63"/>
  <c r="M82" i="63"/>
  <c r="N82" i="63"/>
  <c r="O82" i="63"/>
  <c r="D82" i="63"/>
  <c r="D83" i="63" s="1"/>
  <c r="E71" i="63"/>
  <c r="F71" i="63"/>
  <c r="D71" i="63"/>
  <c r="D31" i="63"/>
  <c r="D15" i="63"/>
  <c r="E59" i="63"/>
  <c r="F59" i="63"/>
  <c r="F60" i="63" s="1"/>
  <c r="F61" i="63" s="1"/>
  <c r="F62" i="63" s="1"/>
  <c r="G59" i="63"/>
  <c r="G74" i="63" s="1"/>
  <c r="G75" i="63" s="1"/>
  <c r="G76" i="63" s="1"/>
  <c r="G77" i="63" s="1"/>
  <c r="H59" i="63"/>
  <c r="H74" i="63" s="1"/>
  <c r="H75" i="63" s="1"/>
  <c r="H76" i="63" s="1"/>
  <c r="H77" i="63" s="1"/>
  <c r="I59" i="63"/>
  <c r="I74" i="63" s="1"/>
  <c r="I75" i="63" s="1"/>
  <c r="I76" i="63" s="1"/>
  <c r="I77" i="63" s="1"/>
  <c r="J59" i="63"/>
  <c r="J74" i="63" s="1"/>
  <c r="J75" i="63" s="1"/>
  <c r="J76" i="63" s="1"/>
  <c r="J77" i="63" s="1"/>
  <c r="K59" i="63"/>
  <c r="K60" i="63" s="1"/>
  <c r="K61" i="63" s="1"/>
  <c r="K62" i="63" s="1"/>
  <c r="L59" i="63"/>
  <c r="M59" i="63"/>
  <c r="N59" i="63"/>
  <c r="O59" i="63"/>
  <c r="P59" i="63"/>
  <c r="P60" i="63" s="1"/>
  <c r="P61" i="63" s="1"/>
  <c r="P62" i="63" s="1"/>
  <c r="Q59" i="63"/>
  <c r="R59" i="63"/>
  <c r="R74" i="63" s="1"/>
  <c r="R75" i="63" s="1"/>
  <c r="R76" i="63" s="1"/>
  <c r="R77" i="63" s="1"/>
  <c r="S59" i="63"/>
  <c r="S74" i="63" s="1"/>
  <c r="S75" i="63" s="1"/>
  <c r="S76" i="63" s="1"/>
  <c r="S77" i="63" s="1"/>
  <c r="T59" i="63"/>
  <c r="T74" i="63" s="1"/>
  <c r="T75" i="63" s="1"/>
  <c r="T76" i="63" s="1"/>
  <c r="T77" i="63" s="1"/>
  <c r="U59" i="63"/>
  <c r="V59" i="63"/>
  <c r="V74" i="63" s="1"/>
  <c r="V75" i="63" s="1"/>
  <c r="V76" i="63" s="1"/>
  <c r="V77" i="63" s="1"/>
  <c r="W59" i="63"/>
  <c r="W74" i="63" s="1"/>
  <c r="W75" i="63" s="1"/>
  <c r="W76" i="63" s="1"/>
  <c r="W77" i="63" s="1"/>
  <c r="X59" i="63"/>
  <c r="Y59" i="63"/>
  <c r="Z59" i="63"/>
  <c r="Z74" i="63" s="1"/>
  <c r="Z75" i="63" s="1"/>
  <c r="Z76" i="63" s="1"/>
  <c r="Z77" i="63" s="1"/>
  <c r="D59" i="63"/>
  <c r="N74" i="63"/>
  <c r="N75" i="63" s="1"/>
  <c r="N76" i="63" s="1"/>
  <c r="N77" i="63" s="1"/>
  <c r="L74" i="63"/>
  <c r="L75" i="63" s="1"/>
  <c r="L76" i="63" s="1"/>
  <c r="L77" i="63" s="1"/>
  <c r="F74" i="63"/>
  <c r="F75" i="63" s="1"/>
  <c r="F76" i="63" s="1"/>
  <c r="F77" i="63" s="1"/>
  <c r="D74" i="63"/>
  <c r="D75" i="63" s="1"/>
  <c r="D76" i="63" s="1"/>
  <c r="D77" i="63" s="1"/>
  <c r="O70" i="63"/>
  <c r="N70" i="63"/>
  <c r="M70" i="63"/>
  <c r="L70" i="63"/>
  <c r="L71" i="63" s="1"/>
  <c r="K70" i="63"/>
  <c r="K71" i="63" s="1"/>
  <c r="J70" i="63"/>
  <c r="I70" i="63"/>
  <c r="H70" i="63"/>
  <c r="G70" i="63"/>
  <c r="F70" i="63"/>
  <c r="E70" i="63"/>
  <c r="D70" i="63"/>
  <c r="D65" i="63"/>
  <c r="N60" i="63"/>
  <c r="N61" i="63" s="1"/>
  <c r="N62" i="63" s="1"/>
  <c r="I60" i="63"/>
  <c r="I61" i="63" s="1"/>
  <c r="I62" i="63" s="1"/>
  <c r="U60" i="63"/>
  <c r="U61" i="63" s="1"/>
  <c r="U62" i="63" s="1"/>
  <c r="T60" i="63"/>
  <c r="T61" i="63" s="1"/>
  <c r="T62" i="63" s="1"/>
  <c r="P74" i="63"/>
  <c r="P75" i="63" s="1"/>
  <c r="P76" i="63" s="1"/>
  <c r="P77" i="63" s="1"/>
  <c r="O74" i="63"/>
  <c r="O75" i="63" s="1"/>
  <c r="O76" i="63" s="1"/>
  <c r="O77" i="63" s="1"/>
  <c r="M60" i="63"/>
  <c r="M61" i="63" s="1"/>
  <c r="M62" i="63" s="1"/>
  <c r="L60" i="63"/>
  <c r="L61" i="63" s="1"/>
  <c r="L62" i="63" s="1"/>
  <c r="K74" i="63"/>
  <c r="K75" i="63" s="1"/>
  <c r="K76" i="63" s="1"/>
  <c r="K77" i="63" s="1"/>
  <c r="E60" i="63"/>
  <c r="E61" i="63" s="1"/>
  <c r="E62" i="63" s="1"/>
  <c r="D60" i="63"/>
  <c r="D61" i="63" s="1"/>
  <c r="D62" i="63" s="1"/>
  <c r="O34" i="63"/>
  <c r="N34" i="63"/>
  <c r="M34" i="63"/>
  <c r="L34" i="63"/>
  <c r="K34" i="63"/>
  <c r="J34" i="63"/>
  <c r="I34" i="63"/>
  <c r="H34" i="63"/>
  <c r="G34" i="63"/>
  <c r="F34" i="63"/>
  <c r="E34" i="63"/>
  <c r="D34" i="63"/>
  <c r="D35" i="63" s="1"/>
  <c r="E33" i="63"/>
  <c r="F33" i="63" s="1"/>
  <c r="G33" i="63" s="1"/>
  <c r="H33" i="63" s="1"/>
  <c r="I33" i="63" s="1"/>
  <c r="J33" i="63" s="1"/>
  <c r="K33" i="63" s="1"/>
  <c r="L33" i="63" s="1"/>
  <c r="M33" i="63" s="1"/>
  <c r="N33" i="63" s="1"/>
  <c r="O33" i="63" s="1"/>
  <c r="E31" i="63"/>
  <c r="F31" i="63" s="1"/>
  <c r="D19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E15" i="63"/>
  <c r="D33" i="62"/>
  <c r="D15" i="62"/>
  <c r="E60" i="62"/>
  <c r="E61" i="62" s="1"/>
  <c r="E62" i="62" s="1"/>
  <c r="E63" i="62" s="1"/>
  <c r="F60" i="62"/>
  <c r="F75" i="62" s="1"/>
  <c r="F76" i="62" s="1"/>
  <c r="F77" i="62" s="1"/>
  <c r="F78" i="62" s="1"/>
  <c r="G60" i="62"/>
  <c r="G61" i="62" s="1"/>
  <c r="G62" i="62" s="1"/>
  <c r="G63" i="62" s="1"/>
  <c r="H60" i="62"/>
  <c r="H61" i="62" s="1"/>
  <c r="H62" i="62" s="1"/>
  <c r="H63" i="62" s="1"/>
  <c r="I60" i="62"/>
  <c r="J60" i="62"/>
  <c r="J75" i="62" s="1"/>
  <c r="J76" i="62" s="1"/>
  <c r="J77" i="62" s="1"/>
  <c r="J78" i="62" s="1"/>
  <c r="K60" i="62"/>
  <c r="K75" i="62" s="1"/>
  <c r="K76" i="62" s="1"/>
  <c r="K77" i="62" s="1"/>
  <c r="K78" i="62" s="1"/>
  <c r="L60" i="62"/>
  <c r="L61" i="62" s="1"/>
  <c r="L62" i="62" s="1"/>
  <c r="L63" i="62" s="1"/>
  <c r="M60" i="62"/>
  <c r="N60" i="62"/>
  <c r="N75" i="62" s="1"/>
  <c r="N76" i="62" s="1"/>
  <c r="N77" i="62" s="1"/>
  <c r="N78" i="62" s="1"/>
  <c r="O60" i="62"/>
  <c r="P60" i="62"/>
  <c r="P75" i="62" s="1"/>
  <c r="P76" i="62" s="1"/>
  <c r="P77" i="62" s="1"/>
  <c r="P78" i="62" s="1"/>
  <c r="Q60" i="62"/>
  <c r="R60" i="62"/>
  <c r="R75" i="62" s="1"/>
  <c r="R76" i="62" s="1"/>
  <c r="R77" i="62" s="1"/>
  <c r="R78" i="62" s="1"/>
  <c r="S60" i="62"/>
  <c r="S75" i="62" s="1"/>
  <c r="S76" i="62" s="1"/>
  <c r="S77" i="62" s="1"/>
  <c r="S78" i="62" s="1"/>
  <c r="T60" i="62"/>
  <c r="T75" i="62" s="1"/>
  <c r="T76" i="62" s="1"/>
  <c r="T77" i="62" s="1"/>
  <c r="T78" i="62" s="1"/>
  <c r="U60" i="62"/>
  <c r="U75" i="62" s="1"/>
  <c r="U76" i="62" s="1"/>
  <c r="U77" i="62" s="1"/>
  <c r="U78" i="62" s="1"/>
  <c r="V60" i="62"/>
  <c r="V75" i="62" s="1"/>
  <c r="V76" i="62" s="1"/>
  <c r="V77" i="62" s="1"/>
  <c r="V78" i="62" s="1"/>
  <c r="W60" i="62"/>
  <c r="W61" i="62" s="1"/>
  <c r="W62" i="62" s="1"/>
  <c r="W63" i="62" s="1"/>
  <c r="X60" i="62"/>
  <c r="X75" i="62" s="1"/>
  <c r="X76" i="62" s="1"/>
  <c r="X77" i="62" s="1"/>
  <c r="X78" i="62" s="1"/>
  <c r="Y60" i="62"/>
  <c r="Z60" i="62"/>
  <c r="Z75" i="62" s="1"/>
  <c r="Z76" i="62" s="1"/>
  <c r="Z77" i="62" s="1"/>
  <c r="Z78" i="62" s="1"/>
  <c r="D60" i="62"/>
  <c r="M75" i="62"/>
  <c r="M76" i="62" s="1"/>
  <c r="M77" i="62" s="1"/>
  <c r="M78" i="62" s="1"/>
  <c r="E75" i="62"/>
  <c r="E76" i="62" s="1"/>
  <c r="E77" i="62" s="1"/>
  <c r="E78" i="62" s="1"/>
  <c r="D75" i="62"/>
  <c r="D76" i="62" s="1"/>
  <c r="D77" i="62" s="1"/>
  <c r="D78" i="62" s="1"/>
  <c r="O71" i="62"/>
  <c r="O72" i="62" s="1"/>
  <c r="N71" i="62"/>
  <c r="M71" i="62"/>
  <c r="L71" i="62"/>
  <c r="K71" i="62"/>
  <c r="J71" i="62"/>
  <c r="I71" i="62"/>
  <c r="H71" i="62"/>
  <c r="G71" i="62"/>
  <c r="G72" i="62" s="1"/>
  <c r="F71" i="62"/>
  <c r="E71" i="62"/>
  <c r="D71" i="62"/>
  <c r="D66" i="62"/>
  <c r="Y75" i="62"/>
  <c r="Y76" i="62" s="1"/>
  <c r="Y77" i="62" s="1"/>
  <c r="Y78" i="62" s="1"/>
  <c r="W75" i="62"/>
  <c r="W76" i="62" s="1"/>
  <c r="W77" i="62" s="1"/>
  <c r="W78" i="62" s="1"/>
  <c r="U61" i="62"/>
  <c r="U62" i="62" s="1"/>
  <c r="U63" i="62" s="1"/>
  <c r="Q75" i="62"/>
  <c r="Q76" i="62" s="1"/>
  <c r="Q77" i="62" s="1"/>
  <c r="Q78" i="62" s="1"/>
  <c r="M61" i="62"/>
  <c r="M62" i="62" s="1"/>
  <c r="M63" i="62" s="1"/>
  <c r="I75" i="62"/>
  <c r="I76" i="62" s="1"/>
  <c r="I77" i="62" s="1"/>
  <c r="I78" i="62" s="1"/>
  <c r="G75" i="62"/>
  <c r="G76" i="62" s="1"/>
  <c r="G77" i="62" s="1"/>
  <c r="G78" i="62" s="1"/>
  <c r="D61" i="62"/>
  <c r="D62" i="62" s="1"/>
  <c r="D63" i="62" s="1"/>
  <c r="O36" i="62"/>
  <c r="N36" i="62"/>
  <c r="M36" i="62"/>
  <c r="L36" i="62"/>
  <c r="K36" i="62"/>
  <c r="J36" i="62"/>
  <c r="I36" i="62"/>
  <c r="H36" i="62"/>
  <c r="G36" i="62"/>
  <c r="F36" i="62"/>
  <c r="E36" i="62"/>
  <c r="D36" i="62"/>
  <c r="D37" i="62" s="1"/>
  <c r="F35" i="62"/>
  <c r="G35" i="62" s="1"/>
  <c r="H35" i="62" s="1"/>
  <c r="I35" i="62" s="1"/>
  <c r="J35" i="62" s="1"/>
  <c r="K35" i="62" s="1"/>
  <c r="L35" i="62" s="1"/>
  <c r="M35" i="62" s="1"/>
  <c r="N35" i="62" s="1"/>
  <c r="O35" i="62" s="1"/>
  <c r="E35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E15" i="62"/>
  <c r="F15" i="62" s="1"/>
  <c r="D19" i="62"/>
  <c r="D31" i="61"/>
  <c r="D15" i="61"/>
  <c r="E58" i="61"/>
  <c r="F58" i="61"/>
  <c r="F73" i="61" s="1"/>
  <c r="F74" i="61" s="1"/>
  <c r="F75" i="61" s="1"/>
  <c r="F76" i="61" s="1"/>
  <c r="G58" i="61"/>
  <c r="G73" i="61" s="1"/>
  <c r="G74" i="61" s="1"/>
  <c r="G75" i="61" s="1"/>
  <c r="G76" i="61" s="1"/>
  <c r="H58" i="61"/>
  <c r="H73" i="61" s="1"/>
  <c r="H74" i="61" s="1"/>
  <c r="H75" i="61" s="1"/>
  <c r="H76" i="61" s="1"/>
  <c r="I58" i="61"/>
  <c r="I59" i="61" s="1"/>
  <c r="I60" i="61" s="1"/>
  <c r="I61" i="61" s="1"/>
  <c r="J58" i="61"/>
  <c r="J73" i="61" s="1"/>
  <c r="J74" i="61" s="1"/>
  <c r="J75" i="61" s="1"/>
  <c r="J76" i="61" s="1"/>
  <c r="K58" i="61"/>
  <c r="K59" i="61" s="1"/>
  <c r="K60" i="61" s="1"/>
  <c r="K61" i="61" s="1"/>
  <c r="L58" i="61"/>
  <c r="L59" i="61" s="1"/>
  <c r="L60" i="61" s="1"/>
  <c r="L61" i="61" s="1"/>
  <c r="M58" i="61"/>
  <c r="N58" i="61"/>
  <c r="N59" i="61" s="1"/>
  <c r="N60" i="61" s="1"/>
  <c r="N61" i="61" s="1"/>
  <c r="O58" i="61"/>
  <c r="O59" i="61" s="1"/>
  <c r="O60" i="61" s="1"/>
  <c r="O61" i="61" s="1"/>
  <c r="P58" i="61"/>
  <c r="P73" i="61" s="1"/>
  <c r="P74" i="61" s="1"/>
  <c r="P75" i="61" s="1"/>
  <c r="P76" i="61" s="1"/>
  <c r="Q58" i="61"/>
  <c r="R58" i="61"/>
  <c r="S58" i="61"/>
  <c r="S73" i="61" s="1"/>
  <c r="S74" i="61" s="1"/>
  <c r="S75" i="61" s="1"/>
  <c r="S76" i="61" s="1"/>
  <c r="T58" i="61"/>
  <c r="T73" i="61" s="1"/>
  <c r="T74" i="61" s="1"/>
  <c r="T75" i="61" s="1"/>
  <c r="T76" i="61" s="1"/>
  <c r="U58" i="61"/>
  <c r="V58" i="61"/>
  <c r="V59" i="61" s="1"/>
  <c r="V60" i="61" s="1"/>
  <c r="V61" i="61" s="1"/>
  <c r="W58" i="61"/>
  <c r="W73" i="61" s="1"/>
  <c r="W74" i="61" s="1"/>
  <c r="W75" i="61" s="1"/>
  <c r="W76" i="61" s="1"/>
  <c r="X58" i="61"/>
  <c r="X73" i="61" s="1"/>
  <c r="X74" i="61" s="1"/>
  <c r="X75" i="61" s="1"/>
  <c r="X76" i="61" s="1"/>
  <c r="Y58" i="61"/>
  <c r="Y73" i="61" s="1"/>
  <c r="Y74" i="61" s="1"/>
  <c r="Y75" i="61" s="1"/>
  <c r="Y76" i="61" s="1"/>
  <c r="Z58" i="61"/>
  <c r="Z73" i="61" s="1"/>
  <c r="Z74" i="61" s="1"/>
  <c r="Z75" i="61" s="1"/>
  <c r="Z76" i="61" s="1"/>
  <c r="D58" i="61"/>
  <c r="D73" i="61" s="1"/>
  <c r="D74" i="61" s="1"/>
  <c r="D75" i="61" s="1"/>
  <c r="D76" i="61" s="1"/>
  <c r="O69" i="61"/>
  <c r="O70" i="61" s="1"/>
  <c r="N69" i="61"/>
  <c r="M69" i="61"/>
  <c r="L69" i="61"/>
  <c r="K69" i="61"/>
  <c r="J69" i="61"/>
  <c r="I69" i="61"/>
  <c r="H69" i="61"/>
  <c r="G69" i="61"/>
  <c r="F69" i="61"/>
  <c r="E69" i="61"/>
  <c r="D69" i="61"/>
  <c r="D64" i="61"/>
  <c r="S59" i="61"/>
  <c r="S60" i="61" s="1"/>
  <c r="S61" i="61" s="1"/>
  <c r="W59" i="61"/>
  <c r="W60" i="61" s="1"/>
  <c r="W61" i="61" s="1"/>
  <c r="U59" i="61"/>
  <c r="U60" i="61" s="1"/>
  <c r="U61" i="61" s="1"/>
  <c r="R73" i="61"/>
  <c r="R74" i="61" s="1"/>
  <c r="R75" i="61" s="1"/>
  <c r="R76" i="61" s="1"/>
  <c r="M59" i="61"/>
  <c r="M60" i="61" s="1"/>
  <c r="M61" i="61" s="1"/>
  <c r="G59" i="61"/>
  <c r="G60" i="61" s="1"/>
  <c r="G61" i="61" s="1"/>
  <c r="E59" i="61"/>
  <c r="E60" i="61" s="1"/>
  <c r="E61" i="61" s="1"/>
  <c r="D59" i="61"/>
  <c r="D60" i="61" s="1"/>
  <c r="D61" i="61" s="1"/>
  <c r="O34" i="61"/>
  <c r="N34" i="61"/>
  <c r="M34" i="61"/>
  <c r="L34" i="61"/>
  <c r="K34" i="61"/>
  <c r="J34" i="61"/>
  <c r="I34" i="61"/>
  <c r="H34" i="61"/>
  <c r="G34" i="61"/>
  <c r="F34" i="61"/>
  <c r="E34" i="61"/>
  <c r="D34" i="61"/>
  <c r="E33" i="61"/>
  <c r="F33" i="61" s="1"/>
  <c r="G33" i="61" s="1"/>
  <c r="H33" i="61" s="1"/>
  <c r="I33" i="61" s="1"/>
  <c r="J33" i="61" s="1"/>
  <c r="K33" i="61" s="1"/>
  <c r="L33" i="61" s="1"/>
  <c r="M33" i="61" s="1"/>
  <c r="N33" i="61" s="1"/>
  <c r="O33" i="61" s="1"/>
  <c r="E31" i="61"/>
  <c r="F31" i="61" s="1"/>
  <c r="D35" i="61"/>
  <c r="O18" i="61"/>
  <c r="N18" i="61"/>
  <c r="M18" i="61"/>
  <c r="L18" i="61"/>
  <c r="K18" i="61"/>
  <c r="J18" i="61"/>
  <c r="I18" i="61"/>
  <c r="H18" i="61"/>
  <c r="G18" i="61"/>
  <c r="F18" i="61"/>
  <c r="E18" i="61"/>
  <c r="D18" i="61"/>
  <c r="D33" i="60"/>
  <c r="D15" i="60"/>
  <c r="E15" i="60" s="1"/>
  <c r="F15" i="60" s="1"/>
  <c r="E60" i="60"/>
  <c r="E61" i="60" s="1"/>
  <c r="E62" i="60" s="1"/>
  <c r="E63" i="60" s="1"/>
  <c r="F60" i="60"/>
  <c r="F75" i="60" s="1"/>
  <c r="F76" i="60" s="1"/>
  <c r="F77" i="60" s="1"/>
  <c r="F78" i="60" s="1"/>
  <c r="G60" i="60"/>
  <c r="H60" i="60"/>
  <c r="H75" i="60" s="1"/>
  <c r="H76" i="60" s="1"/>
  <c r="H77" i="60" s="1"/>
  <c r="H78" i="60" s="1"/>
  <c r="I60" i="60"/>
  <c r="J60" i="60"/>
  <c r="K60" i="60"/>
  <c r="L60" i="60"/>
  <c r="L75" i="60" s="1"/>
  <c r="L76" i="60" s="1"/>
  <c r="L77" i="60" s="1"/>
  <c r="L78" i="60" s="1"/>
  <c r="M60" i="60"/>
  <c r="M61" i="60" s="1"/>
  <c r="M62" i="60" s="1"/>
  <c r="M63" i="60" s="1"/>
  <c r="N60" i="60"/>
  <c r="N61" i="60" s="1"/>
  <c r="N62" i="60" s="1"/>
  <c r="N63" i="60" s="1"/>
  <c r="O60" i="60"/>
  <c r="O61" i="60" s="1"/>
  <c r="O62" i="60" s="1"/>
  <c r="O63" i="60" s="1"/>
  <c r="P60" i="60"/>
  <c r="P75" i="60" s="1"/>
  <c r="P76" i="60" s="1"/>
  <c r="P77" i="60" s="1"/>
  <c r="P78" i="60" s="1"/>
  <c r="Q60" i="60"/>
  <c r="R60" i="60"/>
  <c r="S60" i="60"/>
  <c r="T60" i="60"/>
  <c r="T61" i="60" s="1"/>
  <c r="T62" i="60" s="1"/>
  <c r="T63" i="60" s="1"/>
  <c r="U60" i="60"/>
  <c r="U61" i="60" s="1"/>
  <c r="U62" i="60" s="1"/>
  <c r="U63" i="60" s="1"/>
  <c r="V60" i="60"/>
  <c r="W60" i="60"/>
  <c r="W75" i="60" s="1"/>
  <c r="W76" i="60" s="1"/>
  <c r="W77" i="60" s="1"/>
  <c r="W78" i="60" s="1"/>
  <c r="X60" i="60"/>
  <c r="X75" i="60" s="1"/>
  <c r="X76" i="60" s="1"/>
  <c r="X77" i="60" s="1"/>
  <c r="X78" i="60" s="1"/>
  <c r="Y60" i="60"/>
  <c r="Z60" i="60"/>
  <c r="D60" i="60"/>
  <c r="T75" i="60"/>
  <c r="T76" i="60" s="1"/>
  <c r="T77" i="60" s="1"/>
  <c r="T78" i="60" s="1"/>
  <c r="D75" i="60"/>
  <c r="D76" i="60" s="1"/>
  <c r="D77" i="60" s="1"/>
  <c r="D78" i="60" s="1"/>
  <c r="O71" i="60"/>
  <c r="O72" i="60" s="1"/>
  <c r="N71" i="60"/>
  <c r="N72" i="60" s="1"/>
  <c r="M71" i="60"/>
  <c r="L71" i="60"/>
  <c r="K71" i="60"/>
  <c r="J71" i="60"/>
  <c r="I71" i="60"/>
  <c r="H71" i="60"/>
  <c r="G71" i="60"/>
  <c r="F71" i="60"/>
  <c r="E71" i="60"/>
  <c r="D71" i="60"/>
  <c r="D66" i="60"/>
  <c r="I62" i="60"/>
  <c r="I63" i="60" s="1"/>
  <c r="Y61" i="60"/>
  <c r="Y62" i="60" s="1"/>
  <c r="Y63" i="60" s="1"/>
  <c r="W61" i="60"/>
  <c r="W62" i="60" s="1"/>
  <c r="W63" i="60" s="1"/>
  <c r="Q61" i="60"/>
  <c r="Q62" i="60" s="1"/>
  <c r="Q63" i="60" s="1"/>
  <c r="I61" i="60"/>
  <c r="F61" i="60"/>
  <c r="F62" i="60" s="1"/>
  <c r="F63" i="60" s="1"/>
  <c r="Z75" i="60"/>
  <c r="Z76" i="60" s="1"/>
  <c r="Z77" i="60" s="1"/>
  <c r="Z78" i="60" s="1"/>
  <c r="Y75" i="60"/>
  <c r="Y76" i="60" s="1"/>
  <c r="Y77" i="60" s="1"/>
  <c r="Y78" i="60" s="1"/>
  <c r="S75" i="60"/>
  <c r="S76" i="60" s="1"/>
  <c r="S77" i="60" s="1"/>
  <c r="S78" i="60" s="1"/>
  <c r="R75" i="60"/>
  <c r="R76" i="60" s="1"/>
  <c r="R77" i="60" s="1"/>
  <c r="R78" i="60" s="1"/>
  <c r="Q75" i="60"/>
  <c r="Q76" i="60" s="1"/>
  <c r="Q77" i="60" s="1"/>
  <c r="Q78" i="60" s="1"/>
  <c r="K75" i="60"/>
  <c r="K76" i="60" s="1"/>
  <c r="K77" i="60" s="1"/>
  <c r="K78" i="60" s="1"/>
  <c r="J75" i="60"/>
  <c r="J76" i="60" s="1"/>
  <c r="J77" i="60" s="1"/>
  <c r="J78" i="60" s="1"/>
  <c r="I75" i="60"/>
  <c r="I76" i="60" s="1"/>
  <c r="I77" i="60" s="1"/>
  <c r="I78" i="60" s="1"/>
  <c r="D61" i="60"/>
  <c r="D62" i="60" s="1"/>
  <c r="D63" i="60" s="1"/>
  <c r="O36" i="60"/>
  <c r="N36" i="60"/>
  <c r="M36" i="60"/>
  <c r="L36" i="60"/>
  <c r="K36" i="60"/>
  <c r="J36" i="60"/>
  <c r="I36" i="60"/>
  <c r="H36" i="60"/>
  <c r="G36" i="60"/>
  <c r="F36" i="60"/>
  <c r="E36" i="60"/>
  <c r="D36" i="60"/>
  <c r="E35" i="60"/>
  <c r="F35" i="60" s="1"/>
  <c r="G35" i="60" s="1"/>
  <c r="H35" i="60" s="1"/>
  <c r="I35" i="60" s="1"/>
  <c r="J35" i="60" s="1"/>
  <c r="K35" i="60" s="1"/>
  <c r="L35" i="60" s="1"/>
  <c r="M35" i="60" s="1"/>
  <c r="N35" i="60" s="1"/>
  <c r="O35" i="60" s="1"/>
  <c r="E33" i="60"/>
  <c r="F33" i="60" s="1"/>
  <c r="O18" i="60"/>
  <c r="N18" i="60"/>
  <c r="M18" i="60"/>
  <c r="L18" i="60"/>
  <c r="K18" i="60"/>
  <c r="J18" i="60"/>
  <c r="I18" i="60"/>
  <c r="H18" i="60"/>
  <c r="G18" i="60"/>
  <c r="F18" i="60"/>
  <c r="E18" i="60"/>
  <c r="D18" i="60"/>
  <c r="E30" i="59"/>
  <c r="F30" i="59" s="1"/>
  <c r="G30" i="59" s="1"/>
  <c r="H30" i="59" s="1"/>
  <c r="I30" i="59" s="1"/>
  <c r="J30" i="59" s="1"/>
  <c r="K30" i="59" s="1"/>
  <c r="L30" i="59" s="1"/>
  <c r="M30" i="59" s="1"/>
  <c r="N30" i="59" s="1"/>
  <c r="O30" i="59" s="1"/>
  <c r="E29" i="59"/>
  <c r="F29" i="59" s="1"/>
  <c r="G29" i="59" s="1"/>
  <c r="H29" i="59" s="1"/>
  <c r="I29" i="59" s="1"/>
  <c r="J29" i="59" s="1"/>
  <c r="K29" i="59" s="1"/>
  <c r="L29" i="59" s="1"/>
  <c r="M29" i="59" s="1"/>
  <c r="N29" i="59" s="1"/>
  <c r="O29" i="59" s="1"/>
  <c r="D26" i="59"/>
  <c r="D27" i="59" s="1"/>
  <c r="D28" i="59" s="1"/>
  <c r="D33" i="59" s="1"/>
  <c r="D34" i="59" s="1"/>
  <c r="D24" i="59"/>
  <c r="D25" i="59" s="1"/>
  <c r="G18" i="59"/>
  <c r="H18" i="59" s="1"/>
  <c r="I18" i="59" s="1"/>
  <c r="J18" i="59" s="1"/>
  <c r="K18" i="59" s="1"/>
  <c r="L18" i="59" s="1"/>
  <c r="M18" i="59" s="1"/>
  <c r="N18" i="59" s="1"/>
  <c r="O18" i="59" s="1"/>
  <c r="F18" i="59"/>
  <c r="E18" i="59"/>
  <c r="E17" i="59"/>
  <c r="F17" i="59" s="1"/>
  <c r="G17" i="59" s="1"/>
  <c r="H17" i="59" s="1"/>
  <c r="I17" i="59" s="1"/>
  <c r="J17" i="59" s="1"/>
  <c r="K17" i="59" s="1"/>
  <c r="L17" i="59" s="1"/>
  <c r="M17" i="59" s="1"/>
  <c r="N17" i="59" s="1"/>
  <c r="O17" i="59" s="1"/>
  <c r="D16" i="59"/>
  <c r="E12" i="59"/>
  <c r="E16" i="59" s="1"/>
  <c r="E6" i="59" s="1"/>
  <c r="D9" i="59"/>
  <c r="D14" i="59" s="1"/>
  <c r="D15" i="59" s="1"/>
  <c r="D8" i="59"/>
  <c r="G54" i="50"/>
  <c r="F55" i="50"/>
  <c r="D31" i="58"/>
  <c r="D15" i="58"/>
  <c r="E15" i="58" s="1"/>
  <c r="E49" i="58"/>
  <c r="E50" i="58" s="1"/>
  <c r="E51" i="58" s="1"/>
  <c r="E52" i="58" s="1"/>
  <c r="F49" i="58"/>
  <c r="F50" i="58" s="1"/>
  <c r="F51" i="58" s="1"/>
  <c r="F52" i="58" s="1"/>
  <c r="G49" i="58"/>
  <c r="H49" i="58"/>
  <c r="I49" i="58"/>
  <c r="J49" i="58"/>
  <c r="J50" i="58" s="1"/>
  <c r="J51" i="58" s="1"/>
  <c r="J52" i="58" s="1"/>
  <c r="K49" i="58"/>
  <c r="K50" i="58" s="1"/>
  <c r="K51" i="58" s="1"/>
  <c r="K52" i="58" s="1"/>
  <c r="L49" i="58"/>
  <c r="L50" i="58" s="1"/>
  <c r="L51" i="58" s="1"/>
  <c r="L52" i="58" s="1"/>
  <c r="M49" i="58"/>
  <c r="M50" i="58" s="1"/>
  <c r="M51" i="58" s="1"/>
  <c r="M52" i="58" s="1"/>
  <c r="N49" i="58"/>
  <c r="N50" i="58" s="1"/>
  <c r="N51" i="58" s="1"/>
  <c r="N52" i="58" s="1"/>
  <c r="O49" i="58"/>
  <c r="O50" i="58" s="1"/>
  <c r="O51" i="58" s="1"/>
  <c r="O52" i="58" s="1"/>
  <c r="P49" i="58"/>
  <c r="Q49" i="58"/>
  <c r="R49" i="58"/>
  <c r="R50" i="58" s="1"/>
  <c r="R51" i="58" s="1"/>
  <c r="R52" i="58" s="1"/>
  <c r="S49" i="58"/>
  <c r="S50" i="58" s="1"/>
  <c r="S51" i="58" s="1"/>
  <c r="S52" i="58" s="1"/>
  <c r="T49" i="58"/>
  <c r="T50" i="58" s="1"/>
  <c r="T51" i="58" s="1"/>
  <c r="T52" i="58" s="1"/>
  <c r="U49" i="58"/>
  <c r="U50" i="58" s="1"/>
  <c r="U51" i="58" s="1"/>
  <c r="U52" i="58" s="1"/>
  <c r="V49" i="58"/>
  <c r="V50" i="58" s="1"/>
  <c r="V51" i="58" s="1"/>
  <c r="V52" i="58" s="1"/>
  <c r="W49" i="58"/>
  <c r="W50" i="58" s="1"/>
  <c r="W51" i="58" s="1"/>
  <c r="W52" i="58" s="1"/>
  <c r="X49" i="58"/>
  <c r="Y49" i="58"/>
  <c r="Z49" i="58"/>
  <c r="Z50" i="58" s="1"/>
  <c r="Z51" i="58" s="1"/>
  <c r="Z52" i="58" s="1"/>
  <c r="D49" i="58"/>
  <c r="Z64" i="58"/>
  <c r="Z65" i="58" s="1"/>
  <c r="Z66" i="58" s="1"/>
  <c r="Z67" i="58" s="1"/>
  <c r="Y64" i="58"/>
  <c r="Y65" i="58" s="1"/>
  <c r="Y66" i="58" s="1"/>
  <c r="Y67" i="58" s="1"/>
  <c r="X64" i="58"/>
  <c r="X65" i="58" s="1"/>
  <c r="X66" i="58" s="1"/>
  <c r="X67" i="58" s="1"/>
  <c r="W64" i="58"/>
  <c r="W65" i="58" s="1"/>
  <c r="W66" i="58" s="1"/>
  <c r="W67" i="58" s="1"/>
  <c r="V64" i="58"/>
  <c r="V65" i="58" s="1"/>
  <c r="V66" i="58" s="1"/>
  <c r="V67" i="58" s="1"/>
  <c r="U64" i="58"/>
  <c r="U65" i="58" s="1"/>
  <c r="U66" i="58" s="1"/>
  <c r="U67" i="58" s="1"/>
  <c r="T64" i="58"/>
  <c r="T65" i="58" s="1"/>
  <c r="T66" i="58" s="1"/>
  <c r="T67" i="58" s="1"/>
  <c r="S64" i="58"/>
  <c r="S65" i="58" s="1"/>
  <c r="S66" i="58" s="1"/>
  <c r="S67" i="58" s="1"/>
  <c r="R64" i="58"/>
  <c r="R65" i="58" s="1"/>
  <c r="R66" i="58" s="1"/>
  <c r="R67" i="58" s="1"/>
  <c r="Q64" i="58"/>
  <c r="Q65" i="58" s="1"/>
  <c r="Q66" i="58" s="1"/>
  <c r="Q67" i="58" s="1"/>
  <c r="P64" i="58"/>
  <c r="P65" i="58" s="1"/>
  <c r="P66" i="58" s="1"/>
  <c r="P67" i="58" s="1"/>
  <c r="O64" i="58"/>
  <c r="O65" i="58" s="1"/>
  <c r="O66" i="58" s="1"/>
  <c r="O67" i="58" s="1"/>
  <c r="N64" i="58"/>
  <c r="N65" i="58" s="1"/>
  <c r="N66" i="58" s="1"/>
  <c r="N67" i="58" s="1"/>
  <c r="M64" i="58"/>
  <c r="M65" i="58" s="1"/>
  <c r="M66" i="58" s="1"/>
  <c r="M67" i="58" s="1"/>
  <c r="L64" i="58"/>
  <c r="L65" i="58" s="1"/>
  <c r="L66" i="58" s="1"/>
  <c r="L67" i="58" s="1"/>
  <c r="K64" i="58"/>
  <c r="K65" i="58" s="1"/>
  <c r="K66" i="58" s="1"/>
  <c r="K67" i="58" s="1"/>
  <c r="J64" i="58"/>
  <c r="J65" i="58" s="1"/>
  <c r="J66" i="58" s="1"/>
  <c r="J67" i="58" s="1"/>
  <c r="I64" i="58"/>
  <c r="I65" i="58" s="1"/>
  <c r="I66" i="58" s="1"/>
  <c r="I67" i="58" s="1"/>
  <c r="H64" i="58"/>
  <c r="H65" i="58" s="1"/>
  <c r="H66" i="58" s="1"/>
  <c r="H67" i="58" s="1"/>
  <c r="G64" i="58"/>
  <c r="G65" i="58" s="1"/>
  <c r="G66" i="58" s="1"/>
  <c r="G67" i="58" s="1"/>
  <c r="F64" i="58"/>
  <c r="F65" i="58" s="1"/>
  <c r="F66" i="58" s="1"/>
  <c r="F67" i="58" s="1"/>
  <c r="E64" i="58"/>
  <c r="E65" i="58" s="1"/>
  <c r="E66" i="58" s="1"/>
  <c r="E67" i="58" s="1"/>
  <c r="D64" i="58"/>
  <c r="D65" i="58" s="1"/>
  <c r="D66" i="58" s="1"/>
  <c r="D67" i="58" s="1"/>
  <c r="O60" i="58"/>
  <c r="O61" i="58" s="1"/>
  <c r="N60" i="58"/>
  <c r="M60" i="58"/>
  <c r="L60" i="58"/>
  <c r="K60" i="58"/>
  <c r="J60" i="58"/>
  <c r="I60" i="58"/>
  <c r="H60" i="58"/>
  <c r="G60" i="58"/>
  <c r="F60" i="58"/>
  <c r="E60" i="58"/>
  <c r="D60" i="58"/>
  <c r="D55" i="58"/>
  <c r="Y50" i="58"/>
  <c r="Y51" i="58" s="1"/>
  <c r="Y52" i="58" s="1"/>
  <c r="X50" i="58"/>
  <c r="X51" i="58" s="1"/>
  <c r="X52" i="58" s="1"/>
  <c r="Q50" i="58"/>
  <c r="Q51" i="58" s="1"/>
  <c r="Q52" i="58" s="1"/>
  <c r="P50" i="58"/>
  <c r="P51" i="58" s="1"/>
  <c r="P52" i="58" s="1"/>
  <c r="I50" i="58"/>
  <c r="I51" i="58" s="1"/>
  <c r="I52" i="58" s="1"/>
  <c r="H50" i="58"/>
  <c r="H51" i="58" s="1"/>
  <c r="H52" i="58" s="1"/>
  <c r="G50" i="58"/>
  <c r="G51" i="58" s="1"/>
  <c r="G52" i="58" s="1"/>
  <c r="D50" i="58"/>
  <c r="D51" i="58" s="1"/>
  <c r="D52" i="58" s="1"/>
  <c r="O34" i="58"/>
  <c r="N34" i="58"/>
  <c r="M34" i="58"/>
  <c r="L34" i="58"/>
  <c r="K34" i="58"/>
  <c r="J34" i="58"/>
  <c r="I34" i="58"/>
  <c r="H34" i="58"/>
  <c r="G34" i="58"/>
  <c r="F34" i="58"/>
  <c r="E34" i="58"/>
  <c r="D34" i="58"/>
  <c r="E33" i="58"/>
  <c r="F33" i="58" s="1"/>
  <c r="G33" i="58" s="1"/>
  <c r="H33" i="58" s="1"/>
  <c r="I33" i="58" s="1"/>
  <c r="J33" i="58" s="1"/>
  <c r="K33" i="58" s="1"/>
  <c r="L33" i="58" s="1"/>
  <c r="M33" i="58" s="1"/>
  <c r="N33" i="58" s="1"/>
  <c r="O33" i="58" s="1"/>
  <c r="O18" i="58"/>
  <c r="N18" i="58"/>
  <c r="M18" i="58"/>
  <c r="L18" i="58"/>
  <c r="K18" i="58"/>
  <c r="J18" i="58"/>
  <c r="I18" i="58"/>
  <c r="H18" i="58"/>
  <c r="G18" i="58"/>
  <c r="F18" i="58"/>
  <c r="E18" i="58"/>
  <c r="D18" i="58"/>
  <c r="D33" i="57"/>
  <c r="E66" i="57"/>
  <c r="F66" i="57"/>
  <c r="F67" i="57" s="1"/>
  <c r="F68" i="57" s="1"/>
  <c r="F69" i="57" s="1"/>
  <c r="G66" i="57"/>
  <c r="H66" i="57"/>
  <c r="I66" i="57"/>
  <c r="I67" i="57" s="1"/>
  <c r="I68" i="57" s="1"/>
  <c r="I69" i="57" s="1"/>
  <c r="J66" i="57"/>
  <c r="J67" i="57" s="1"/>
  <c r="J68" i="57" s="1"/>
  <c r="J69" i="57" s="1"/>
  <c r="K66" i="57"/>
  <c r="K67" i="57" s="1"/>
  <c r="K68" i="57" s="1"/>
  <c r="K69" i="57" s="1"/>
  <c r="L66" i="57"/>
  <c r="L67" i="57" s="1"/>
  <c r="L68" i="57" s="1"/>
  <c r="L69" i="57" s="1"/>
  <c r="M66" i="57"/>
  <c r="N66" i="57"/>
  <c r="N67" i="57" s="1"/>
  <c r="N68" i="57" s="1"/>
  <c r="N69" i="57" s="1"/>
  <c r="O66" i="57"/>
  <c r="P66" i="57"/>
  <c r="P67" i="57" s="1"/>
  <c r="P68" i="57" s="1"/>
  <c r="P69" i="57" s="1"/>
  <c r="Q66" i="57"/>
  <c r="R66" i="57"/>
  <c r="R67" i="57" s="1"/>
  <c r="R68" i="57" s="1"/>
  <c r="R69" i="57" s="1"/>
  <c r="S66" i="57"/>
  <c r="S67" i="57" s="1"/>
  <c r="S68" i="57" s="1"/>
  <c r="S69" i="57" s="1"/>
  <c r="T66" i="57"/>
  <c r="T67" i="57" s="1"/>
  <c r="T68" i="57" s="1"/>
  <c r="T69" i="57" s="1"/>
  <c r="U66" i="57"/>
  <c r="V66" i="57"/>
  <c r="W66" i="57"/>
  <c r="X66" i="57"/>
  <c r="X67" i="57" s="1"/>
  <c r="X68" i="57" s="1"/>
  <c r="X69" i="57" s="1"/>
  <c r="Y66" i="57"/>
  <c r="Y67" i="57" s="1"/>
  <c r="Y68" i="57" s="1"/>
  <c r="Y69" i="57" s="1"/>
  <c r="Z66" i="57"/>
  <c r="Z67" i="57" s="1"/>
  <c r="Z68" i="57" s="1"/>
  <c r="Z69" i="57" s="1"/>
  <c r="D66" i="57"/>
  <c r="D67" i="57" s="1"/>
  <c r="D68" i="57" s="1"/>
  <c r="D69" i="57" s="1"/>
  <c r="D15" i="57"/>
  <c r="E15" i="57" s="1"/>
  <c r="E51" i="57"/>
  <c r="F51" i="57"/>
  <c r="F52" i="57" s="1"/>
  <c r="F53" i="57" s="1"/>
  <c r="F54" i="57" s="1"/>
  <c r="G51" i="57"/>
  <c r="G52" i="57" s="1"/>
  <c r="G53" i="57" s="1"/>
  <c r="G54" i="57" s="1"/>
  <c r="H51" i="57"/>
  <c r="H52" i="57" s="1"/>
  <c r="H53" i="57" s="1"/>
  <c r="H54" i="57" s="1"/>
  <c r="I51" i="57"/>
  <c r="J51" i="57"/>
  <c r="K51" i="57"/>
  <c r="K52" i="57" s="1"/>
  <c r="K53" i="57" s="1"/>
  <c r="K54" i="57" s="1"/>
  <c r="L51" i="57"/>
  <c r="M51" i="57"/>
  <c r="N51" i="57"/>
  <c r="N52" i="57" s="1"/>
  <c r="N53" i="57" s="1"/>
  <c r="N54" i="57" s="1"/>
  <c r="O51" i="57"/>
  <c r="O52" i="57" s="1"/>
  <c r="O53" i="57" s="1"/>
  <c r="O54" i="57" s="1"/>
  <c r="P51" i="57"/>
  <c r="P52" i="57" s="1"/>
  <c r="P53" i="57" s="1"/>
  <c r="P54" i="57" s="1"/>
  <c r="Q51" i="57"/>
  <c r="Q52" i="57" s="1"/>
  <c r="Q53" i="57" s="1"/>
  <c r="Q54" i="57" s="1"/>
  <c r="R51" i="57"/>
  <c r="S51" i="57"/>
  <c r="S52" i="57" s="1"/>
  <c r="S53" i="57" s="1"/>
  <c r="S54" i="57" s="1"/>
  <c r="T51" i="57"/>
  <c r="U51" i="57"/>
  <c r="V51" i="57"/>
  <c r="W51" i="57"/>
  <c r="W52" i="57" s="1"/>
  <c r="W53" i="57" s="1"/>
  <c r="W54" i="57" s="1"/>
  <c r="X51" i="57"/>
  <c r="X52" i="57" s="1"/>
  <c r="X53" i="57" s="1"/>
  <c r="X54" i="57" s="1"/>
  <c r="Y51" i="57"/>
  <c r="Y52" i="57" s="1"/>
  <c r="Y53" i="57" s="1"/>
  <c r="Y54" i="57" s="1"/>
  <c r="Z51" i="57"/>
  <c r="D51" i="57"/>
  <c r="W67" i="57"/>
  <c r="W68" i="57" s="1"/>
  <c r="W69" i="57" s="1"/>
  <c r="V67" i="57"/>
  <c r="V68" i="57" s="1"/>
  <c r="V69" i="57" s="1"/>
  <c r="U67" i="57"/>
  <c r="U68" i="57" s="1"/>
  <c r="U69" i="57" s="1"/>
  <c r="Q67" i="57"/>
  <c r="Q68" i="57" s="1"/>
  <c r="Q69" i="57" s="1"/>
  <c r="O67" i="57"/>
  <c r="O68" i="57" s="1"/>
  <c r="O69" i="57" s="1"/>
  <c r="M67" i="57"/>
  <c r="M68" i="57" s="1"/>
  <c r="M69" i="57" s="1"/>
  <c r="H67" i="57"/>
  <c r="H68" i="57" s="1"/>
  <c r="H69" i="57" s="1"/>
  <c r="G67" i="57"/>
  <c r="G68" i="57" s="1"/>
  <c r="G69" i="57" s="1"/>
  <c r="E67" i="57"/>
  <c r="E68" i="57" s="1"/>
  <c r="E69" i="57" s="1"/>
  <c r="O62" i="57"/>
  <c r="O63" i="57" s="1"/>
  <c r="N62" i="57"/>
  <c r="N63" i="57" s="1"/>
  <c r="M62" i="57"/>
  <c r="L62" i="57"/>
  <c r="L63" i="57" s="1"/>
  <c r="K62" i="57"/>
  <c r="K63" i="57" s="1"/>
  <c r="J62" i="57"/>
  <c r="J63" i="57" s="1"/>
  <c r="I62" i="57"/>
  <c r="H62" i="57"/>
  <c r="G62" i="57"/>
  <c r="F62" i="57"/>
  <c r="E62" i="57"/>
  <c r="D62" i="57"/>
  <c r="D57" i="57"/>
  <c r="Z52" i="57"/>
  <c r="Z53" i="57" s="1"/>
  <c r="Z54" i="57" s="1"/>
  <c r="V52" i="57"/>
  <c r="V53" i="57" s="1"/>
  <c r="V54" i="57" s="1"/>
  <c r="U52" i="57"/>
  <c r="U53" i="57" s="1"/>
  <c r="U54" i="57" s="1"/>
  <c r="T52" i="57"/>
  <c r="T53" i="57" s="1"/>
  <c r="T54" i="57" s="1"/>
  <c r="R52" i="57"/>
  <c r="R53" i="57" s="1"/>
  <c r="R54" i="57" s="1"/>
  <c r="M52" i="57"/>
  <c r="M53" i="57" s="1"/>
  <c r="M54" i="57" s="1"/>
  <c r="L52" i="57"/>
  <c r="L53" i="57" s="1"/>
  <c r="L54" i="57" s="1"/>
  <c r="J52" i="57"/>
  <c r="J53" i="57" s="1"/>
  <c r="J54" i="57" s="1"/>
  <c r="I52" i="57"/>
  <c r="I53" i="57" s="1"/>
  <c r="I54" i="57" s="1"/>
  <c r="E52" i="57"/>
  <c r="E53" i="57" s="1"/>
  <c r="E54" i="57" s="1"/>
  <c r="D52" i="57"/>
  <c r="D53" i="57" s="1"/>
  <c r="D54" i="57" s="1"/>
  <c r="O36" i="57"/>
  <c r="N36" i="57"/>
  <c r="M36" i="57"/>
  <c r="L36" i="57"/>
  <c r="K36" i="57"/>
  <c r="J36" i="57"/>
  <c r="I36" i="57"/>
  <c r="H36" i="57"/>
  <c r="G36" i="57"/>
  <c r="F36" i="57"/>
  <c r="E36" i="57"/>
  <c r="D36" i="57"/>
  <c r="F35" i="57"/>
  <c r="G35" i="57" s="1"/>
  <c r="H35" i="57" s="1"/>
  <c r="I35" i="57" s="1"/>
  <c r="J35" i="57" s="1"/>
  <c r="K35" i="57" s="1"/>
  <c r="L35" i="57" s="1"/>
  <c r="M35" i="57" s="1"/>
  <c r="N35" i="57" s="1"/>
  <c r="O35" i="57" s="1"/>
  <c r="E35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I30" i="56"/>
  <c r="J30" i="56" s="1"/>
  <c r="K30" i="56" s="1"/>
  <c r="L30" i="56" s="1"/>
  <c r="M30" i="56" s="1"/>
  <c r="N30" i="56" s="1"/>
  <c r="O30" i="56" s="1"/>
  <c r="E30" i="56"/>
  <c r="F30" i="56" s="1"/>
  <c r="G30" i="56" s="1"/>
  <c r="H30" i="56" s="1"/>
  <c r="E29" i="56"/>
  <c r="D26" i="56"/>
  <c r="D27" i="56" s="1"/>
  <c r="D28" i="56" s="1"/>
  <c r="D33" i="56" s="1"/>
  <c r="D34" i="56" s="1"/>
  <c r="D24" i="56"/>
  <c r="D25" i="56" s="1"/>
  <c r="E18" i="56"/>
  <c r="F18" i="56" s="1"/>
  <c r="G18" i="56" s="1"/>
  <c r="H18" i="56" s="1"/>
  <c r="I18" i="56" s="1"/>
  <c r="J18" i="56" s="1"/>
  <c r="K18" i="56" s="1"/>
  <c r="L18" i="56" s="1"/>
  <c r="M18" i="56" s="1"/>
  <c r="N18" i="56" s="1"/>
  <c r="O18" i="56" s="1"/>
  <c r="E17" i="56"/>
  <c r="F17" i="56" s="1"/>
  <c r="G17" i="56" s="1"/>
  <c r="H17" i="56" s="1"/>
  <c r="I17" i="56" s="1"/>
  <c r="J17" i="56" s="1"/>
  <c r="K17" i="56" s="1"/>
  <c r="L17" i="56" s="1"/>
  <c r="M17" i="56" s="1"/>
  <c r="N17" i="56" s="1"/>
  <c r="O17" i="56" s="1"/>
  <c r="E16" i="56"/>
  <c r="D16" i="56"/>
  <c r="E12" i="56"/>
  <c r="F12" i="56" s="1"/>
  <c r="D9" i="56"/>
  <c r="D14" i="56" s="1"/>
  <c r="D15" i="56" s="1"/>
  <c r="D19" i="56" s="1"/>
  <c r="D20" i="56" s="1"/>
  <c r="D8" i="56"/>
  <c r="J64" i="49"/>
  <c r="J66" i="49" s="1"/>
  <c r="E30" i="55"/>
  <c r="F30" i="55" s="1"/>
  <c r="G30" i="55" s="1"/>
  <c r="H30" i="55" s="1"/>
  <c r="I30" i="55" s="1"/>
  <c r="J30" i="55" s="1"/>
  <c r="K30" i="55" s="1"/>
  <c r="L30" i="55" s="1"/>
  <c r="M30" i="55" s="1"/>
  <c r="N30" i="55" s="1"/>
  <c r="O30" i="55" s="1"/>
  <c r="E29" i="55"/>
  <c r="F29" i="55" s="1"/>
  <c r="G29" i="55" s="1"/>
  <c r="H29" i="55" s="1"/>
  <c r="I29" i="55" s="1"/>
  <c r="J29" i="55" s="1"/>
  <c r="K29" i="55" s="1"/>
  <c r="L29" i="55" s="1"/>
  <c r="M29" i="55" s="1"/>
  <c r="N29" i="55" s="1"/>
  <c r="O29" i="55" s="1"/>
  <c r="D26" i="55"/>
  <c r="D27" i="55" s="1"/>
  <c r="D28" i="55" s="1"/>
  <c r="D33" i="55" s="1"/>
  <c r="D34" i="55" s="1"/>
  <c r="D24" i="55"/>
  <c r="D25" i="55" s="1"/>
  <c r="E18" i="55"/>
  <c r="F18" i="55" s="1"/>
  <c r="G18" i="55" s="1"/>
  <c r="H18" i="55" s="1"/>
  <c r="I18" i="55" s="1"/>
  <c r="J18" i="55" s="1"/>
  <c r="K18" i="55" s="1"/>
  <c r="L18" i="55" s="1"/>
  <c r="M18" i="55" s="1"/>
  <c r="N18" i="55" s="1"/>
  <c r="O18" i="55" s="1"/>
  <c r="E17" i="55"/>
  <c r="F17" i="55" s="1"/>
  <c r="G17" i="55" s="1"/>
  <c r="H17" i="55" s="1"/>
  <c r="I17" i="55" s="1"/>
  <c r="J17" i="55" s="1"/>
  <c r="K17" i="55" s="1"/>
  <c r="L17" i="55" s="1"/>
  <c r="M17" i="55" s="1"/>
  <c r="N17" i="55" s="1"/>
  <c r="O17" i="55" s="1"/>
  <c r="D16" i="55"/>
  <c r="F12" i="55"/>
  <c r="F16" i="55" s="1"/>
  <c r="E12" i="55"/>
  <c r="E16" i="55" s="1"/>
  <c r="D9" i="55"/>
  <c r="D14" i="55" s="1"/>
  <c r="D15" i="55" s="1"/>
  <c r="D19" i="55" s="1"/>
  <c r="D20" i="55" s="1"/>
  <c r="D8" i="55"/>
  <c r="S75" i="47"/>
  <c r="Q76" i="47"/>
  <c r="H45" i="52"/>
  <c r="Z82" i="53"/>
  <c r="Y82" i="53"/>
  <c r="X82" i="53"/>
  <c r="W82" i="53"/>
  <c r="V82" i="53"/>
  <c r="U82" i="53"/>
  <c r="T82" i="53"/>
  <c r="S82" i="53"/>
  <c r="R82" i="53"/>
  <c r="Q82" i="53"/>
  <c r="P82" i="53"/>
  <c r="O82" i="53"/>
  <c r="N82" i="53"/>
  <c r="M82" i="53"/>
  <c r="L82" i="53"/>
  <c r="K82" i="53"/>
  <c r="J82" i="53"/>
  <c r="I82" i="53"/>
  <c r="H82" i="53"/>
  <c r="G82" i="53"/>
  <c r="F82" i="53"/>
  <c r="E82" i="53"/>
  <c r="D82" i="53"/>
  <c r="Z75" i="53"/>
  <c r="Y75" i="53"/>
  <c r="X75" i="53"/>
  <c r="W75" i="53"/>
  <c r="V75" i="53"/>
  <c r="U75" i="53"/>
  <c r="T75" i="53"/>
  <c r="S75" i="53"/>
  <c r="R75" i="53"/>
  <c r="Q75" i="53"/>
  <c r="P75" i="53"/>
  <c r="O75" i="53"/>
  <c r="O76" i="53" s="1"/>
  <c r="N75" i="53"/>
  <c r="N76" i="53" s="1"/>
  <c r="N77" i="53" s="1"/>
  <c r="N78" i="53" s="1"/>
  <c r="M75" i="53"/>
  <c r="M76" i="53" s="1"/>
  <c r="M77" i="53" s="1"/>
  <c r="M78" i="53" s="1"/>
  <c r="L75" i="53"/>
  <c r="L76" i="53" s="1"/>
  <c r="L77" i="53" s="1"/>
  <c r="L78" i="53" s="1"/>
  <c r="K75" i="53"/>
  <c r="K76" i="53" s="1"/>
  <c r="K77" i="53" s="1"/>
  <c r="K78" i="53" s="1"/>
  <c r="J75" i="53"/>
  <c r="J76" i="53" s="1"/>
  <c r="J77" i="53" s="1"/>
  <c r="J78" i="53" s="1"/>
  <c r="I75" i="53"/>
  <c r="I76" i="53" s="1"/>
  <c r="I77" i="53" s="1"/>
  <c r="I78" i="53" s="1"/>
  <c r="H75" i="53"/>
  <c r="H76" i="53" s="1"/>
  <c r="H77" i="53" s="1"/>
  <c r="H78" i="53" s="1"/>
  <c r="G75" i="53"/>
  <c r="G76" i="53" s="1"/>
  <c r="G77" i="53" s="1"/>
  <c r="G78" i="53" s="1"/>
  <c r="F75" i="53"/>
  <c r="F76" i="53" s="1"/>
  <c r="F77" i="53" s="1"/>
  <c r="F78" i="53" s="1"/>
  <c r="E75" i="53"/>
  <c r="E76" i="53" s="1"/>
  <c r="E77" i="53" s="1"/>
  <c r="E78" i="53" s="1"/>
  <c r="D75" i="53"/>
  <c r="D76" i="53" s="1"/>
  <c r="D77" i="53" s="1"/>
  <c r="D78" i="53" s="1"/>
  <c r="Z71" i="53"/>
  <c r="Y71" i="53"/>
  <c r="X71" i="53"/>
  <c r="W71" i="53"/>
  <c r="V71" i="53"/>
  <c r="U71" i="53"/>
  <c r="T71" i="53"/>
  <c r="S71" i="53"/>
  <c r="R71" i="53"/>
  <c r="Q71" i="53"/>
  <c r="P71" i="53"/>
  <c r="O71" i="53"/>
  <c r="N71" i="53"/>
  <c r="M71" i="53"/>
  <c r="L71" i="53"/>
  <c r="K71" i="53"/>
  <c r="J71" i="53"/>
  <c r="I71" i="53"/>
  <c r="H71" i="53"/>
  <c r="G71" i="53"/>
  <c r="F71" i="53"/>
  <c r="E71" i="53"/>
  <c r="D71" i="53"/>
  <c r="D66" i="53"/>
  <c r="Z64" i="53"/>
  <c r="Y64" i="53"/>
  <c r="X64" i="53"/>
  <c r="W64" i="53"/>
  <c r="V64" i="53"/>
  <c r="U64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D61" i="53" s="1"/>
  <c r="E33" i="53"/>
  <c r="F33" i="53" s="1"/>
  <c r="G33" i="53" s="1"/>
  <c r="H33" i="53" s="1"/>
  <c r="I33" i="53" s="1"/>
  <c r="J33" i="53" s="1"/>
  <c r="K33" i="53" s="1"/>
  <c r="L33" i="53" s="1"/>
  <c r="M33" i="53" s="1"/>
  <c r="N33" i="53" s="1"/>
  <c r="O33" i="53" s="1"/>
  <c r="D31" i="53"/>
  <c r="E25" i="53"/>
  <c r="F25" i="53" s="1"/>
  <c r="G25" i="53" s="1"/>
  <c r="H25" i="53" s="1"/>
  <c r="I25" i="53" s="1"/>
  <c r="J25" i="53" s="1"/>
  <c r="K25" i="53" s="1"/>
  <c r="L25" i="53" s="1"/>
  <c r="M25" i="53" s="1"/>
  <c r="N25" i="53" s="1"/>
  <c r="O25" i="53" s="1"/>
  <c r="D22" i="53"/>
  <c r="D34" i="53" s="1"/>
  <c r="E15" i="53"/>
  <c r="F15" i="53" s="1"/>
  <c r="G15" i="53" s="1"/>
  <c r="H15" i="53" s="1"/>
  <c r="I15" i="53" s="1"/>
  <c r="J15" i="53" s="1"/>
  <c r="K15" i="53" s="1"/>
  <c r="L15" i="53" s="1"/>
  <c r="M15" i="53" s="1"/>
  <c r="N15" i="53" s="1"/>
  <c r="O15" i="53" s="1"/>
  <c r="D6" i="53"/>
  <c r="D8" i="53" s="1"/>
  <c r="G30" i="52"/>
  <c r="H30" i="52" s="1"/>
  <c r="I30" i="52" s="1"/>
  <c r="J30" i="52" s="1"/>
  <c r="K30" i="52" s="1"/>
  <c r="L30" i="52" s="1"/>
  <c r="M30" i="52" s="1"/>
  <c r="N30" i="52" s="1"/>
  <c r="O30" i="52" s="1"/>
  <c r="F30" i="52"/>
  <c r="E30" i="52"/>
  <c r="E29" i="52"/>
  <c r="E23" i="52" s="1"/>
  <c r="D26" i="52"/>
  <c r="D27" i="52" s="1"/>
  <c r="D28" i="52" s="1"/>
  <c r="D33" i="52" s="1"/>
  <c r="D34" i="52" s="1"/>
  <c r="D24" i="52"/>
  <c r="D25" i="52" s="1"/>
  <c r="E18" i="52"/>
  <c r="F18" i="52" s="1"/>
  <c r="G18" i="52" s="1"/>
  <c r="H18" i="52" s="1"/>
  <c r="I18" i="52" s="1"/>
  <c r="J18" i="52" s="1"/>
  <c r="K18" i="52" s="1"/>
  <c r="L18" i="52" s="1"/>
  <c r="M18" i="52" s="1"/>
  <c r="N18" i="52" s="1"/>
  <c r="O18" i="52" s="1"/>
  <c r="G17" i="52"/>
  <c r="H17" i="52" s="1"/>
  <c r="I17" i="52" s="1"/>
  <c r="J17" i="52" s="1"/>
  <c r="K17" i="52" s="1"/>
  <c r="L17" i="52" s="1"/>
  <c r="M17" i="52" s="1"/>
  <c r="N17" i="52" s="1"/>
  <c r="O17" i="52" s="1"/>
  <c r="F17" i="52"/>
  <c r="E17" i="52"/>
  <c r="D16" i="52"/>
  <c r="E12" i="52"/>
  <c r="D9" i="52"/>
  <c r="D14" i="52" s="1"/>
  <c r="D15" i="52" s="1"/>
  <c r="D19" i="52" s="1"/>
  <c r="D20" i="52" s="1"/>
  <c r="D8" i="52"/>
  <c r="H78" i="63" l="1"/>
  <c r="D50" i="66"/>
  <c r="D51" i="66" s="1"/>
  <c r="D52" i="66" s="1"/>
  <c r="D64" i="66"/>
  <c r="D65" i="66" s="1"/>
  <c r="D66" i="66" s="1"/>
  <c r="D67" i="66" s="1"/>
  <c r="T50" i="66"/>
  <c r="T51" i="66" s="1"/>
  <c r="T52" i="66" s="1"/>
  <c r="T64" i="66"/>
  <c r="T65" i="66" s="1"/>
  <c r="T66" i="66" s="1"/>
  <c r="T67" i="66" s="1"/>
  <c r="H60" i="63"/>
  <c r="H61" i="63" s="1"/>
  <c r="H62" i="63" s="1"/>
  <c r="F83" i="63"/>
  <c r="J60" i="64"/>
  <c r="F12" i="59"/>
  <c r="F16" i="59" s="1"/>
  <c r="S50" i="66"/>
  <c r="S51" i="66" s="1"/>
  <c r="S52" i="66" s="1"/>
  <c r="S64" i="66"/>
  <c r="S65" i="66" s="1"/>
  <c r="S66" i="66" s="1"/>
  <c r="S67" i="66" s="1"/>
  <c r="O68" i="66" s="1"/>
  <c r="M61" i="58"/>
  <c r="H83" i="63"/>
  <c r="L64" i="66"/>
  <c r="L65" i="66" s="1"/>
  <c r="L66" i="66" s="1"/>
  <c r="L67" i="66" s="1"/>
  <c r="D37" i="57"/>
  <c r="X61" i="62"/>
  <c r="X62" i="62" s="1"/>
  <c r="X63" i="62" s="1"/>
  <c r="I63" i="63"/>
  <c r="Y60" i="63"/>
  <c r="Y61" i="63" s="1"/>
  <c r="Y62" i="63" s="1"/>
  <c r="Y74" i="63"/>
  <c r="Y75" i="63" s="1"/>
  <c r="Y76" i="63" s="1"/>
  <c r="Y77" i="63" s="1"/>
  <c r="Q74" i="63"/>
  <c r="Q75" i="63" s="1"/>
  <c r="Q76" i="63" s="1"/>
  <c r="Q77" i="63" s="1"/>
  <c r="N78" i="63" s="1"/>
  <c r="Q60" i="63"/>
  <c r="Q61" i="63" s="1"/>
  <c r="Q62" i="63" s="1"/>
  <c r="E83" i="63"/>
  <c r="S63" i="64"/>
  <c r="S64" i="64" s="1"/>
  <c r="S65" i="64" s="1"/>
  <c r="S66" i="64" s="1"/>
  <c r="K61" i="66"/>
  <c r="D35" i="69"/>
  <c r="K64" i="66"/>
  <c r="K65" i="66" s="1"/>
  <c r="K66" i="66" s="1"/>
  <c r="K67" i="66" s="1"/>
  <c r="G68" i="66" s="1"/>
  <c r="D70" i="57"/>
  <c r="Q73" i="61"/>
  <c r="Q74" i="61" s="1"/>
  <c r="Q75" i="61" s="1"/>
  <c r="Q76" i="61" s="1"/>
  <c r="Q59" i="61"/>
  <c r="Q60" i="61" s="1"/>
  <c r="Q61" i="61" s="1"/>
  <c r="H71" i="63"/>
  <c r="X60" i="63"/>
  <c r="X61" i="63" s="1"/>
  <c r="X62" i="63" s="1"/>
  <c r="X74" i="63"/>
  <c r="X75" i="63" s="1"/>
  <c r="X76" i="63" s="1"/>
  <c r="X77" i="63" s="1"/>
  <c r="N71" i="63"/>
  <c r="G63" i="67"/>
  <c r="K74" i="68"/>
  <c r="K75" i="68" s="1"/>
  <c r="K76" i="68" s="1"/>
  <c r="K77" i="68" s="1"/>
  <c r="K60" i="68"/>
  <c r="K61" i="68" s="1"/>
  <c r="K62" i="68" s="1"/>
  <c r="S74" i="68"/>
  <c r="S75" i="68" s="1"/>
  <c r="S76" i="68" s="1"/>
  <c r="S77" i="68" s="1"/>
  <c r="S60" i="68"/>
  <c r="S61" i="68" s="1"/>
  <c r="S62" i="68" s="1"/>
  <c r="D55" i="57"/>
  <c r="E16" i="52"/>
  <c r="F12" i="52"/>
  <c r="F72" i="60"/>
  <c r="G75" i="60"/>
  <c r="G76" i="60" s="1"/>
  <c r="G77" i="60" s="1"/>
  <c r="G78" i="60" s="1"/>
  <c r="G61" i="60"/>
  <c r="G62" i="60" s="1"/>
  <c r="G63" i="60" s="1"/>
  <c r="I71" i="63"/>
  <c r="F78" i="63"/>
  <c r="G78" i="63"/>
  <c r="K82" i="65"/>
  <c r="I82" i="65"/>
  <c r="I17" i="72"/>
  <c r="D17" i="72"/>
  <c r="K17" i="72" s="1"/>
  <c r="F18" i="72"/>
  <c r="O61" i="62"/>
  <c r="O62" i="62" s="1"/>
  <c r="O63" i="62" s="1"/>
  <c r="O75" i="62"/>
  <c r="O76" i="62" s="1"/>
  <c r="O77" i="62" s="1"/>
  <c r="O78" i="62" s="1"/>
  <c r="N79" i="62" s="1"/>
  <c r="I83" i="63"/>
  <c r="K63" i="64"/>
  <c r="K64" i="64" s="1"/>
  <c r="K65" i="64" s="1"/>
  <c r="K66" i="64" s="1"/>
  <c r="H75" i="62"/>
  <c r="H76" i="62" s="1"/>
  <c r="H77" i="62" s="1"/>
  <c r="H78" i="62" s="1"/>
  <c r="P61" i="62"/>
  <c r="P62" i="62" s="1"/>
  <c r="P63" i="62" s="1"/>
  <c r="E6" i="56"/>
  <c r="G72" i="60"/>
  <c r="V75" i="60"/>
  <c r="V76" i="60" s="1"/>
  <c r="V77" i="60" s="1"/>
  <c r="V78" i="60" s="1"/>
  <c r="V61" i="60"/>
  <c r="V62" i="60" s="1"/>
  <c r="V63" i="60" s="1"/>
  <c r="O78" i="63"/>
  <c r="J71" i="63"/>
  <c r="G71" i="63"/>
  <c r="T49" i="64"/>
  <c r="T50" i="64" s="1"/>
  <c r="T51" i="64" s="1"/>
  <c r="T63" i="64"/>
  <c r="T64" i="64" s="1"/>
  <c r="T65" i="64" s="1"/>
  <c r="T66" i="64" s="1"/>
  <c r="D63" i="64"/>
  <c r="D64" i="64" s="1"/>
  <c r="D65" i="64" s="1"/>
  <c r="D66" i="64" s="1"/>
  <c r="D35" i="64"/>
  <c r="D37" i="64" s="1"/>
  <c r="D35" i="68"/>
  <c r="D37" i="68" s="1"/>
  <c r="E31" i="68"/>
  <c r="G71" i="68"/>
  <c r="G70" i="70"/>
  <c r="O70" i="70"/>
  <c r="D63" i="57"/>
  <c r="G70" i="61"/>
  <c r="E60" i="64"/>
  <c r="I60" i="64"/>
  <c r="D19" i="65"/>
  <c r="E82" i="65"/>
  <c r="M82" i="65"/>
  <c r="O87" i="65"/>
  <c r="O88" i="65" s="1"/>
  <c r="E31" i="66"/>
  <c r="F31" i="66" s="1"/>
  <c r="I63" i="67"/>
  <c r="E15" i="68"/>
  <c r="L74" i="68"/>
  <c r="L75" i="68" s="1"/>
  <c r="L76" i="68" s="1"/>
  <c r="L77" i="68" s="1"/>
  <c r="F78" i="68" s="1"/>
  <c r="D19" i="70"/>
  <c r="F66" i="49"/>
  <c r="I70" i="70"/>
  <c r="E63" i="57"/>
  <c r="M63" i="57"/>
  <c r="K72" i="62"/>
  <c r="F60" i="64"/>
  <c r="F82" i="65"/>
  <c r="N82" i="65"/>
  <c r="P50" i="66"/>
  <c r="P51" i="66" s="1"/>
  <c r="P52" i="66" s="1"/>
  <c r="G61" i="66"/>
  <c r="J63" i="67"/>
  <c r="K71" i="68"/>
  <c r="M74" i="68"/>
  <c r="M75" i="68" s="1"/>
  <c r="M76" i="68" s="1"/>
  <c r="M77" i="68" s="1"/>
  <c r="F63" i="57"/>
  <c r="P61" i="60"/>
  <c r="P62" i="60" s="1"/>
  <c r="P63" i="60" s="1"/>
  <c r="N73" i="61"/>
  <c r="N74" i="61" s="1"/>
  <c r="N75" i="61" s="1"/>
  <c r="N76" i="61" s="1"/>
  <c r="O73" i="61"/>
  <c r="O74" i="61" s="1"/>
  <c r="O75" i="61" s="1"/>
  <c r="O76" i="61" s="1"/>
  <c r="D72" i="62"/>
  <c r="L72" i="62"/>
  <c r="V60" i="63"/>
  <c r="V61" i="63" s="1"/>
  <c r="V62" i="63" s="1"/>
  <c r="O71" i="63"/>
  <c r="G60" i="64"/>
  <c r="G82" i="65"/>
  <c r="O82" i="65"/>
  <c r="D37" i="67"/>
  <c r="K63" i="67"/>
  <c r="G70" i="67"/>
  <c r="O70" i="67"/>
  <c r="P60" i="68"/>
  <c r="P61" i="68" s="1"/>
  <c r="P62" i="68" s="1"/>
  <c r="D71" i="68"/>
  <c r="L71" i="68"/>
  <c r="T74" i="68"/>
  <c r="T75" i="68" s="1"/>
  <c r="T76" i="68" s="1"/>
  <c r="T77" i="68" s="1"/>
  <c r="D70" i="70"/>
  <c r="L70" i="70"/>
  <c r="H36" i="72"/>
  <c r="I36" i="72" s="1"/>
  <c r="H33" i="72"/>
  <c r="I33" i="72" s="1"/>
  <c r="D82" i="65"/>
  <c r="K55" i="67"/>
  <c r="P23" i="74"/>
  <c r="P24" i="74" s="1"/>
  <c r="P25" i="74" s="1"/>
  <c r="P26" i="74" s="1"/>
  <c r="G63" i="57"/>
  <c r="E19" i="57"/>
  <c r="D72" i="60"/>
  <c r="I72" i="60"/>
  <c r="D19" i="61"/>
  <c r="E72" i="62"/>
  <c r="J72" i="62"/>
  <c r="H60" i="64"/>
  <c r="H82" i="65"/>
  <c r="E35" i="66"/>
  <c r="V50" i="66"/>
  <c r="V51" i="66" s="1"/>
  <c r="V52" i="66" s="1"/>
  <c r="I61" i="66"/>
  <c r="D63" i="67"/>
  <c r="L63" i="67"/>
  <c r="E71" i="68"/>
  <c r="M71" i="68"/>
  <c r="U74" i="68"/>
  <c r="U75" i="68" s="1"/>
  <c r="U76" i="68" s="1"/>
  <c r="U77" i="68" s="1"/>
  <c r="H37" i="72"/>
  <c r="I37" i="72" s="1"/>
  <c r="H34" i="72"/>
  <c r="I34" i="72" s="1"/>
  <c r="L82" i="65"/>
  <c r="H63" i="57"/>
  <c r="D19" i="59"/>
  <c r="D20" i="59" s="1"/>
  <c r="D19" i="60"/>
  <c r="D39" i="60" s="1"/>
  <c r="E72" i="60"/>
  <c r="M72" i="60"/>
  <c r="F72" i="62"/>
  <c r="N72" i="62"/>
  <c r="I64" i="66"/>
  <c r="I65" i="66" s="1"/>
  <c r="I66" i="66" s="1"/>
  <c r="I67" i="66" s="1"/>
  <c r="Y64" i="66"/>
  <c r="Y65" i="66" s="1"/>
  <c r="Y66" i="66" s="1"/>
  <c r="Y67" i="66" s="1"/>
  <c r="E63" i="67"/>
  <c r="M63" i="67"/>
  <c r="F71" i="68"/>
  <c r="N71" i="68"/>
  <c r="E19" i="70"/>
  <c r="F70" i="70"/>
  <c r="N70" i="70"/>
  <c r="J62" i="49"/>
  <c r="F62" i="49"/>
  <c r="D38" i="70"/>
  <c r="D77" i="70"/>
  <c r="F77" i="70"/>
  <c r="G77" i="70"/>
  <c r="F31" i="70"/>
  <c r="E35" i="70"/>
  <c r="E38" i="70" s="1"/>
  <c r="Q74" i="70"/>
  <c r="P75" i="70"/>
  <c r="P76" i="70" s="1"/>
  <c r="D61" i="70"/>
  <c r="E60" i="70"/>
  <c r="E77" i="70"/>
  <c r="F15" i="70"/>
  <c r="G15" i="70" s="1"/>
  <c r="H15" i="70" s="1"/>
  <c r="I15" i="70" s="1"/>
  <c r="J15" i="70" s="1"/>
  <c r="K15" i="70" s="1"/>
  <c r="L15" i="70" s="1"/>
  <c r="M15" i="70" s="1"/>
  <c r="N15" i="70" s="1"/>
  <c r="O15" i="70" s="1"/>
  <c r="O19" i="70" s="1"/>
  <c r="E59" i="70"/>
  <c r="F59" i="70" s="1"/>
  <c r="G59" i="70" s="1"/>
  <c r="H59" i="70" s="1"/>
  <c r="I59" i="70" s="1"/>
  <c r="J59" i="70" s="1"/>
  <c r="K59" i="70" s="1"/>
  <c r="L59" i="70" s="1"/>
  <c r="M59" i="70" s="1"/>
  <c r="N59" i="70" s="1"/>
  <c r="O59" i="70" s="1"/>
  <c r="P59" i="70" s="1"/>
  <c r="Q59" i="70" s="1"/>
  <c r="R59" i="70" s="1"/>
  <c r="S59" i="70" s="1"/>
  <c r="T59" i="70" s="1"/>
  <c r="U59" i="70" s="1"/>
  <c r="V59" i="70" s="1"/>
  <c r="W59" i="70" s="1"/>
  <c r="X59" i="70" s="1"/>
  <c r="Y59" i="70" s="1"/>
  <c r="Z59" i="70" s="1"/>
  <c r="O75" i="70"/>
  <c r="O76" i="70" s="1"/>
  <c r="J70" i="70"/>
  <c r="K70" i="70"/>
  <c r="E70" i="70"/>
  <c r="M70" i="70"/>
  <c r="Y59" i="61"/>
  <c r="Y60" i="61" s="1"/>
  <c r="Y61" i="61" s="1"/>
  <c r="D70" i="61"/>
  <c r="L70" i="61"/>
  <c r="F59" i="61"/>
  <c r="F60" i="61" s="1"/>
  <c r="F61" i="61" s="1"/>
  <c r="F70" i="61"/>
  <c r="N70" i="61"/>
  <c r="V73" i="61"/>
  <c r="V74" i="61" s="1"/>
  <c r="V75" i="61" s="1"/>
  <c r="V76" i="61" s="1"/>
  <c r="I70" i="61"/>
  <c r="I73" i="61"/>
  <c r="I74" i="61" s="1"/>
  <c r="I75" i="61" s="1"/>
  <c r="I76" i="61" s="1"/>
  <c r="G61" i="58"/>
  <c r="J61" i="58"/>
  <c r="K61" i="58"/>
  <c r="D61" i="58"/>
  <c r="L61" i="58"/>
  <c r="F61" i="58"/>
  <c r="N61" i="58"/>
  <c r="H80" i="69"/>
  <c r="D91" i="69"/>
  <c r="K91" i="69"/>
  <c r="J91" i="69"/>
  <c r="H87" i="69"/>
  <c r="O91" i="69"/>
  <c r="G91" i="69"/>
  <c r="D80" i="69"/>
  <c r="E80" i="69"/>
  <c r="L80" i="69"/>
  <c r="F80" i="69"/>
  <c r="N80" i="69"/>
  <c r="J87" i="69"/>
  <c r="E87" i="69"/>
  <c r="G80" i="69"/>
  <c r="O80" i="69"/>
  <c r="I87" i="69"/>
  <c r="D87" i="69"/>
  <c r="F87" i="69"/>
  <c r="G87" i="69"/>
  <c r="E91" i="69"/>
  <c r="I80" i="69"/>
  <c r="F91" i="69"/>
  <c r="M91" i="69"/>
  <c r="K80" i="69"/>
  <c r="J80" i="69"/>
  <c r="I91" i="69"/>
  <c r="M80" i="69"/>
  <c r="H91" i="69"/>
  <c r="L19" i="69"/>
  <c r="F19" i="69"/>
  <c r="G19" i="69"/>
  <c r="H19" i="69"/>
  <c r="D19" i="69"/>
  <c r="I19" i="69"/>
  <c r="E19" i="69"/>
  <c r="J19" i="69"/>
  <c r="P84" i="69"/>
  <c r="O85" i="69"/>
  <c r="O86" i="69" s="1"/>
  <c r="K87" i="69" s="1"/>
  <c r="K19" i="69"/>
  <c r="M19" i="69"/>
  <c r="N19" i="69"/>
  <c r="O19" i="69"/>
  <c r="E35" i="69"/>
  <c r="E37" i="69" s="1"/>
  <c r="F31" i="69"/>
  <c r="D70" i="69"/>
  <c r="E69" i="69"/>
  <c r="F69" i="69" s="1"/>
  <c r="G69" i="69" s="1"/>
  <c r="H69" i="69" s="1"/>
  <c r="I69" i="69" s="1"/>
  <c r="J69" i="69" s="1"/>
  <c r="K69" i="69" s="1"/>
  <c r="L69" i="69" s="1"/>
  <c r="M69" i="69" s="1"/>
  <c r="N69" i="69" s="1"/>
  <c r="O69" i="69" s="1"/>
  <c r="P69" i="69" s="1"/>
  <c r="Q69" i="69" s="1"/>
  <c r="R69" i="69" s="1"/>
  <c r="S69" i="69" s="1"/>
  <c r="T69" i="69" s="1"/>
  <c r="U69" i="69" s="1"/>
  <c r="V69" i="69" s="1"/>
  <c r="W69" i="69" s="1"/>
  <c r="X69" i="69" s="1"/>
  <c r="Y69" i="69" s="1"/>
  <c r="Z69" i="69" s="1"/>
  <c r="D78" i="68"/>
  <c r="E78" i="68"/>
  <c r="O78" i="68"/>
  <c r="I71" i="68"/>
  <c r="N74" i="68"/>
  <c r="N75" i="68" s="1"/>
  <c r="N76" i="68" s="1"/>
  <c r="N77" i="68" s="1"/>
  <c r="N78" i="68" s="1"/>
  <c r="F60" i="68"/>
  <c r="F61" i="68" s="1"/>
  <c r="F62" i="68" s="1"/>
  <c r="V60" i="68"/>
  <c r="V61" i="68" s="1"/>
  <c r="V62" i="68" s="1"/>
  <c r="H71" i="68"/>
  <c r="I60" i="68"/>
  <c r="I61" i="68" s="1"/>
  <c r="I62" i="68" s="1"/>
  <c r="Q60" i="68"/>
  <c r="Q61" i="68" s="1"/>
  <c r="Q62" i="68" s="1"/>
  <c r="Y60" i="68"/>
  <c r="Y61" i="68" s="1"/>
  <c r="Y62" i="68" s="1"/>
  <c r="J71" i="68"/>
  <c r="J60" i="68"/>
  <c r="J61" i="68" s="1"/>
  <c r="J62" i="68" s="1"/>
  <c r="R60" i="68"/>
  <c r="R61" i="68" s="1"/>
  <c r="R62" i="68" s="1"/>
  <c r="Z60" i="68"/>
  <c r="Z61" i="68" s="1"/>
  <c r="Z62" i="68" s="1"/>
  <c r="F55" i="67"/>
  <c r="L70" i="67"/>
  <c r="D55" i="67"/>
  <c r="L55" i="67"/>
  <c r="N55" i="67"/>
  <c r="M70" i="67"/>
  <c r="D70" i="67"/>
  <c r="E55" i="67"/>
  <c r="M55" i="67"/>
  <c r="G55" i="67"/>
  <c r="O55" i="67"/>
  <c r="H70" i="67"/>
  <c r="H55" i="67"/>
  <c r="I70" i="67"/>
  <c r="F70" i="67"/>
  <c r="F15" i="67"/>
  <c r="E19" i="67"/>
  <c r="I55" i="67"/>
  <c r="J70" i="67"/>
  <c r="N70" i="67"/>
  <c r="J55" i="67"/>
  <c r="K70" i="67"/>
  <c r="E70" i="67"/>
  <c r="D19" i="67"/>
  <c r="D39" i="67" s="1"/>
  <c r="H63" i="67"/>
  <c r="E33" i="67"/>
  <c r="G31" i="66"/>
  <c r="F35" i="66"/>
  <c r="E53" i="66"/>
  <c r="N68" i="66"/>
  <c r="F15" i="66"/>
  <c r="E19" i="66"/>
  <c r="E37" i="66" s="1"/>
  <c r="F68" i="66"/>
  <c r="D19" i="66"/>
  <c r="D37" i="66" s="1"/>
  <c r="H61" i="66"/>
  <c r="G50" i="66"/>
  <c r="G51" i="66" s="1"/>
  <c r="G52" i="66" s="1"/>
  <c r="O50" i="66"/>
  <c r="O51" i="66" s="1"/>
  <c r="O52" i="66" s="1"/>
  <c r="W50" i="66"/>
  <c r="W51" i="66" s="1"/>
  <c r="W52" i="66" s="1"/>
  <c r="E64" i="66"/>
  <c r="E65" i="66" s="1"/>
  <c r="E66" i="66" s="1"/>
  <c r="E67" i="66" s="1"/>
  <c r="E68" i="66" s="1"/>
  <c r="M64" i="66"/>
  <c r="M65" i="66" s="1"/>
  <c r="M66" i="66" s="1"/>
  <c r="M67" i="66" s="1"/>
  <c r="M68" i="66" s="1"/>
  <c r="U64" i="66"/>
  <c r="U65" i="66" s="1"/>
  <c r="U66" i="66" s="1"/>
  <c r="U67" i="66" s="1"/>
  <c r="J61" i="66"/>
  <c r="J50" i="66"/>
  <c r="J51" i="66" s="1"/>
  <c r="J52" i="66" s="1"/>
  <c r="J53" i="66" s="1"/>
  <c r="R50" i="66"/>
  <c r="R51" i="66" s="1"/>
  <c r="R52" i="66" s="1"/>
  <c r="Z50" i="66"/>
  <c r="Z51" i="66" s="1"/>
  <c r="Z52" i="66" s="1"/>
  <c r="E61" i="66"/>
  <c r="M61" i="66"/>
  <c r="D35" i="58"/>
  <c r="D37" i="65"/>
  <c r="D39" i="65"/>
  <c r="K19" i="65"/>
  <c r="L19" i="65"/>
  <c r="M19" i="65"/>
  <c r="F19" i="65"/>
  <c r="E19" i="65"/>
  <c r="D72" i="65"/>
  <c r="E71" i="65"/>
  <c r="F71" i="65" s="1"/>
  <c r="G71" i="65" s="1"/>
  <c r="H71" i="65" s="1"/>
  <c r="I71" i="65" s="1"/>
  <c r="J71" i="65" s="1"/>
  <c r="K71" i="65" s="1"/>
  <c r="L71" i="65" s="1"/>
  <c r="M71" i="65" s="1"/>
  <c r="N71" i="65" s="1"/>
  <c r="O71" i="65" s="1"/>
  <c r="P71" i="65" s="1"/>
  <c r="Q71" i="65" s="1"/>
  <c r="R71" i="65" s="1"/>
  <c r="S71" i="65" s="1"/>
  <c r="T71" i="65" s="1"/>
  <c r="U71" i="65" s="1"/>
  <c r="V71" i="65" s="1"/>
  <c r="W71" i="65" s="1"/>
  <c r="X71" i="65" s="1"/>
  <c r="Y71" i="65" s="1"/>
  <c r="Z71" i="65" s="1"/>
  <c r="E89" i="65"/>
  <c r="E37" i="65"/>
  <c r="F33" i="65"/>
  <c r="N19" i="65"/>
  <c r="Q86" i="65"/>
  <c r="P87" i="65"/>
  <c r="P88" i="65" s="1"/>
  <c r="G19" i="65"/>
  <c r="O19" i="65"/>
  <c r="G89" i="65"/>
  <c r="H19" i="65"/>
  <c r="F89" i="65"/>
  <c r="J19" i="65"/>
  <c r="I19" i="65"/>
  <c r="D89" i="65"/>
  <c r="H89" i="65"/>
  <c r="F67" i="64"/>
  <c r="G67" i="64"/>
  <c r="I52" i="64"/>
  <c r="F52" i="64"/>
  <c r="N52" i="64"/>
  <c r="M52" i="64"/>
  <c r="O52" i="64"/>
  <c r="J67" i="64"/>
  <c r="H52" i="64"/>
  <c r="K67" i="64"/>
  <c r="D67" i="64"/>
  <c r="E67" i="64"/>
  <c r="M67" i="64"/>
  <c r="H67" i="64"/>
  <c r="K52" i="64"/>
  <c r="E52" i="64"/>
  <c r="I67" i="64"/>
  <c r="D52" i="64"/>
  <c r="L52" i="64"/>
  <c r="G52" i="64"/>
  <c r="O67" i="64"/>
  <c r="L67" i="64"/>
  <c r="J52" i="64"/>
  <c r="N67" i="64"/>
  <c r="F15" i="64"/>
  <c r="K60" i="64"/>
  <c r="D60" i="64"/>
  <c r="L60" i="64"/>
  <c r="E31" i="64"/>
  <c r="M60" i="64"/>
  <c r="E35" i="63"/>
  <c r="S60" i="63"/>
  <c r="S61" i="63" s="1"/>
  <c r="S62" i="63" s="1"/>
  <c r="D37" i="63"/>
  <c r="G31" i="63"/>
  <c r="F35" i="63"/>
  <c r="F15" i="63"/>
  <c r="E19" i="63"/>
  <c r="E37" i="63" s="1"/>
  <c r="G60" i="63"/>
  <c r="G61" i="63" s="1"/>
  <c r="G62" i="63" s="1"/>
  <c r="D63" i="63" s="1"/>
  <c r="O60" i="63"/>
  <c r="O61" i="63" s="1"/>
  <c r="O62" i="63" s="1"/>
  <c r="W60" i="63"/>
  <c r="W61" i="63" s="1"/>
  <c r="W62" i="63" s="1"/>
  <c r="E74" i="63"/>
  <c r="E75" i="63" s="1"/>
  <c r="E76" i="63" s="1"/>
  <c r="E77" i="63" s="1"/>
  <c r="M74" i="63"/>
  <c r="M75" i="63" s="1"/>
  <c r="M76" i="63" s="1"/>
  <c r="M77" i="63" s="1"/>
  <c r="M78" i="63" s="1"/>
  <c r="U74" i="63"/>
  <c r="U75" i="63" s="1"/>
  <c r="U76" i="63" s="1"/>
  <c r="U77" i="63" s="1"/>
  <c r="J60" i="63"/>
  <c r="J61" i="63" s="1"/>
  <c r="J62" i="63" s="1"/>
  <c r="J63" i="63" s="1"/>
  <c r="R60" i="63"/>
  <c r="R61" i="63" s="1"/>
  <c r="R62" i="63" s="1"/>
  <c r="Z60" i="63"/>
  <c r="Z61" i="63" s="1"/>
  <c r="Z62" i="63" s="1"/>
  <c r="D39" i="62"/>
  <c r="L75" i="62"/>
  <c r="L76" i="62" s="1"/>
  <c r="L77" i="62" s="1"/>
  <c r="L78" i="62" s="1"/>
  <c r="F79" i="62" s="1"/>
  <c r="T61" i="62"/>
  <c r="T62" i="62" s="1"/>
  <c r="T63" i="62" s="1"/>
  <c r="G15" i="62"/>
  <c r="F19" i="62"/>
  <c r="D79" i="62"/>
  <c r="L79" i="62"/>
  <c r="F61" i="62"/>
  <c r="F62" i="62" s="1"/>
  <c r="F63" i="62" s="1"/>
  <c r="N61" i="62"/>
  <c r="N62" i="62" s="1"/>
  <c r="N63" i="62" s="1"/>
  <c r="V61" i="62"/>
  <c r="V62" i="62" s="1"/>
  <c r="V63" i="62" s="1"/>
  <c r="H72" i="62"/>
  <c r="I72" i="62"/>
  <c r="I61" i="62"/>
  <c r="I62" i="62" s="1"/>
  <c r="I63" i="62" s="1"/>
  <c r="Q61" i="62"/>
  <c r="Q62" i="62" s="1"/>
  <c r="Q63" i="62" s="1"/>
  <c r="Y61" i="62"/>
  <c r="Y62" i="62" s="1"/>
  <c r="Y63" i="62" s="1"/>
  <c r="J61" i="62"/>
  <c r="J62" i="62" s="1"/>
  <c r="J63" i="62" s="1"/>
  <c r="R61" i="62"/>
  <c r="R62" i="62" s="1"/>
  <c r="R63" i="62" s="1"/>
  <c r="Z61" i="62"/>
  <c r="Z62" i="62" s="1"/>
  <c r="Z63" i="62" s="1"/>
  <c r="E33" i="62"/>
  <c r="K61" i="62"/>
  <c r="K62" i="62" s="1"/>
  <c r="K63" i="62" s="1"/>
  <c r="K64" i="62" s="1"/>
  <c r="S61" i="62"/>
  <c r="S62" i="62" s="1"/>
  <c r="S63" i="62" s="1"/>
  <c r="M72" i="62"/>
  <c r="E19" i="62"/>
  <c r="E35" i="61"/>
  <c r="L73" i="61"/>
  <c r="L74" i="61" s="1"/>
  <c r="L75" i="61" s="1"/>
  <c r="L76" i="61" s="1"/>
  <c r="K73" i="61"/>
  <c r="K74" i="61" s="1"/>
  <c r="K75" i="61" s="1"/>
  <c r="K76" i="61" s="1"/>
  <c r="T59" i="61"/>
  <c r="T60" i="61" s="1"/>
  <c r="T61" i="61" s="1"/>
  <c r="G31" i="61"/>
  <c r="F35" i="61"/>
  <c r="D37" i="61"/>
  <c r="E15" i="61"/>
  <c r="E73" i="61"/>
  <c r="E74" i="61" s="1"/>
  <c r="E75" i="61" s="1"/>
  <c r="E76" i="61" s="1"/>
  <c r="M73" i="61"/>
  <c r="M74" i="61" s="1"/>
  <c r="M75" i="61" s="1"/>
  <c r="M76" i="61" s="1"/>
  <c r="M77" i="61" s="1"/>
  <c r="U73" i="61"/>
  <c r="U74" i="61" s="1"/>
  <c r="U75" i="61" s="1"/>
  <c r="U76" i="61" s="1"/>
  <c r="N77" i="61" s="1"/>
  <c r="H70" i="61"/>
  <c r="H59" i="61"/>
  <c r="H60" i="61" s="1"/>
  <c r="H61" i="61" s="1"/>
  <c r="P59" i="61"/>
  <c r="P60" i="61" s="1"/>
  <c r="P61" i="61" s="1"/>
  <c r="X59" i="61"/>
  <c r="X60" i="61" s="1"/>
  <c r="X61" i="61" s="1"/>
  <c r="J70" i="61"/>
  <c r="J59" i="61"/>
  <c r="J60" i="61" s="1"/>
  <c r="J61" i="61" s="1"/>
  <c r="R59" i="61"/>
  <c r="R60" i="61" s="1"/>
  <c r="R61" i="61" s="1"/>
  <c r="Z59" i="61"/>
  <c r="Z60" i="61" s="1"/>
  <c r="Z61" i="61" s="1"/>
  <c r="E70" i="61"/>
  <c r="M70" i="61"/>
  <c r="K70" i="61"/>
  <c r="E37" i="60"/>
  <c r="D37" i="60"/>
  <c r="N75" i="60"/>
  <c r="N76" i="60" s="1"/>
  <c r="N77" i="60" s="1"/>
  <c r="N78" i="60" s="1"/>
  <c r="H61" i="60"/>
  <c r="H62" i="60" s="1"/>
  <c r="H63" i="60" s="1"/>
  <c r="X61" i="60"/>
  <c r="X62" i="60" s="1"/>
  <c r="X63" i="60" s="1"/>
  <c r="O75" i="60"/>
  <c r="O76" i="60" s="1"/>
  <c r="O77" i="60" s="1"/>
  <c r="O78" i="60" s="1"/>
  <c r="L61" i="60"/>
  <c r="L62" i="60" s="1"/>
  <c r="L63" i="60" s="1"/>
  <c r="F19" i="60"/>
  <c r="G15" i="60"/>
  <c r="G33" i="60"/>
  <c r="F37" i="60"/>
  <c r="J61" i="60"/>
  <c r="J62" i="60" s="1"/>
  <c r="J63" i="60" s="1"/>
  <c r="R61" i="60"/>
  <c r="R62" i="60" s="1"/>
  <c r="R63" i="60" s="1"/>
  <c r="Z61" i="60"/>
  <c r="Z62" i="60" s="1"/>
  <c r="Z63" i="60" s="1"/>
  <c r="L72" i="60"/>
  <c r="M75" i="60"/>
  <c r="M76" i="60" s="1"/>
  <c r="M77" i="60" s="1"/>
  <c r="M78" i="60" s="1"/>
  <c r="E19" i="60"/>
  <c r="J72" i="60"/>
  <c r="K72" i="60"/>
  <c r="K61" i="60"/>
  <c r="K62" i="60" s="1"/>
  <c r="K63" i="60" s="1"/>
  <c r="S61" i="60"/>
  <c r="S62" i="60" s="1"/>
  <c r="S63" i="60" s="1"/>
  <c r="E75" i="60"/>
  <c r="E76" i="60" s="1"/>
  <c r="E77" i="60" s="1"/>
  <c r="E78" i="60" s="1"/>
  <c r="E79" i="60" s="1"/>
  <c r="H72" i="60"/>
  <c r="U75" i="60"/>
  <c r="U76" i="60" s="1"/>
  <c r="U77" i="60" s="1"/>
  <c r="U78" i="60" s="1"/>
  <c r="E8" i="59"/>
  <c r="E9" i="59"/>
  <c r="E14" i="59"/>
  <c r="E15" i="59" s="1"/>
  <c r="E19" i="59" s="1"/>
  <c r="E20" i="59" s="1"/>
  <c r="F6" i="59"/>
  <c r="G12" i="59"/>
  <c r="E23" i="59"/>
  <c r="D19" i="58"/>
  <c r="D37" i="58" s="1"/>
  <c r="H53" i="58"/>
  <c r="O68" i="58"/>
  <c r="G68" i="58"/>
  <c r="I53" i="58"/>
  <c r="H68" i="58"/>
  <c r="J53" i="58"/>
  <c r="I68" i="58"/>
  <c r="K53" i="58"/>
  <c r="F53" i="58"/>
  <c r="D53" i="58"/>
  <c r="L53" i="58"/>
  <c r="N53" i="58"/>
  <c r="K68" i="58"/>
  <c r="E68" i="58"/>
  <c r="F15" i="58"/>
  <c r="E19" i="58"/>
  <c r="E53" i="58"/>
  <c r="M53" i="58"/>
  <c r="D68" i="58"/>
  <c r="L68" i="58"/>
  <c r="F68" i="58"/>
  <c r="J68" i="58"/>
  <c r="N68" i="58"/>
  <c r="G53" i="58"/>
  <c r="O53" i="58"/>
  <c r="M68" i="58"/>
  <c r="I61" i="58"/>
  <c r="H61" i="58"/>
  <c r="E31" i="58"/>
  <c r="E61" i="58"/>
  <c r="I70" i="57"/>
  <c r="D19" i="57"/>
  <c r="D39" i="57" s="1"/>
  <c r="H55" i="57"/>
  <c r="I55" i="57"/>
  <c r="J70" i="57"/>
  <c r="J55" i="57"/>
  <c r="K70" i="57"/>
  <c r="F70" i="57"/>
  <c r="K55" i="57"/>
  <c r="G55" i="57"/>
  <c r="L70" i="57"/>
  <c r="H70" i="57"/>
  <c r="L55" i="57"/>
  <c r="O55" i="57"/>
  <c r="E70" i="57"/>
  <c r="M70" i="57"/>
  <c r="N70" i="57"/>
  <c r="E55" i="57"/>
  <c r="M55" i="57"/>
  <c r="F55" i="57"/>
  <c r="N55" i="57"/>
  <c r="G70" i="57"/>
  <c r="O70" i="57"/>
  <c r="F15" i="57"/>
  <c r="I63" i="57"/>
  <c r="E33" i="57"/>
  <c r="E8" i="56"/>
  <c r="E9" i="56"/>
  <c r="E14" i="56" s="1"/>
  <c r="E15" i="56" s="1"/>
  <c r="E19" i="56" s="1"/>
  <c r="E20" i="56" s="1"/>
  <c r="F29" i="56"/>
  <c r="G29" i="56" s="1"/>
  <c r="H29" i="56" s="1"/>
  <c r="I29" i="56" s="1"/>
  <c r="J29" i="56" s="1"/>
  <c r="K29" i="56" s="1"/>
  <c r="L29" i="56" s="1"/>
  <c r="M29" i="56" s="1"/>
  <c r="N29" i="56" s="1"/>
  <c r="O29" i="56" s="1"/>
  <c r="E23" i="56"/>
  <c r="F16" i="56"/>
  <c r="F6" i="56" s="1"/>
  <c r="G12" i="56"/>
  <c r="D37" i="55"/>
  <c r="G12" i="55"/>
  <c r="E6" i="55"/>
  <c r="E23" i="55"/>
  <c r="E61" i="53"/>
  <c r="F61" i="53" s="1"/>
  <c r="G61" i="53" s="1"/>
  <c r="H61" i="53" s="1"/>
  <c r="I61" i="53" s="1"/>
  <c r="J61" i="53" s="1"/>
  <c r="K61" i="53" s="1"/>
  <c r="L61" i="53" s="1"/>
  <c r="M61" i="53" s="1"/>
  <c r="N61" i="53" s="1"/>
  <c r="O61" i="53" s="1"/>
  <c r="P61" i="53" s="1"/>
  <c r="Q61" i="53" s="1"/>
  <c r="R61" i="53" s="1"/>
  <c r="S61" i="53" s="1"/>
  <c r="T61" i="53" s="1"/>
  <c r="U61" i="53" s="1"/>
  <c r="V61" i="53" s="1"/>
  <c r="W61" i="53" s="1"/>
  <c r="X61" i="53" s="1"/>
  <c r="Y61" i="53" s="1"/>
  <c r="Z61" i="53" s="1"/>
  <c r="D62" i="53"/>
  <c r="E62" i="53" s="1"/>
  <c r="D35" i="53"/>
  <c r="H72" i="53"/>
  <c r="L72" i="53"/>
  <c r="O83" i="53"/>
  <c r="E22" i="53"/>
  <c r="E34" i="53" s="1"/>
  <c r="O77" i="53"/>
  <c r="O78" i="53" s="1"/>
  <c r="H79" i="53" s="1"/>
  <c r="P76" i="53"/>
  <c r="I72" i="53"/>
  <c r="G72" i="53"/>
  <c r="E72" i="53"/>
  <c r="D72" i="53"/>
  <c r="J72" i="53"/>
  <c r="F83" i="53"/>
  <c r="D83" i="53"/>
  <c r="N83" i="53"/>
  <c r="L83" i="53"/>
  <c r="K72" i="53"/>
  <c r="F79" i="53"/>
  <c r="D18" i="53"/>
  <c r="D19" i="53" s="1"/>
  <c r="D37" i="53" s="1"/>
  <c r="E31" i="53"/>
  <c r="E79" i="53"/>
  <c r="O72" i="53"/>
  <c r="M72" i="53"/>
  <c r="N72" i="53"/>
  <c r="G79" i="53"/>
  <c r="I83" i="53"/>
  <c r="F72" i="53"/>
  <c r="D79" i="53"/>
  <c r="K83" i="53"/>
  <c r="J83" i="53"/>
  <c r="H83" i="53"/>
  <c r="G83" i="53"/>
  <c r="E83" i="53"/>
  <c r="M83" i="53"/>
  <c r="D63" i="53"/>
  <c r="E26" i="52"/>
  <c r="E27" i="52" s="1"/>
  <c r="E28" i="52" s="1"/>
  <c r="E33" i="52" s="1"/>
  <c r="E34" i="52" s="1"/>
  <c r="E24" i="52"/>
  <c r="E25" i="52" s="1"/>
  <c r="F29" i="52"/>
  <c r="G29" i="52" s="1"/>
  <c r="H29" i="52" s="1"/>
  <c r="I29" i="52" s="1"/>
  <c r="J29" i="52" s="1"/>
  <c r="K29" i="52" s="1"/>
  <c r="L29" i="52" s="1"/>
  <c r="M29" i="52" s="1"/>
  <c r="N29" i="52" s="1"/>
  <c r="O29" i="52" s="1"/>
  <c r="E6" i="52"/>
  <c r="M58" i="14"/>
  <c r="M55" i="14"/>
  <c r="L55" i="14"/>
  <c r="K55" i="14"/>
  <c r="J55" i="14"/>
  <c r="D49" i="14"/>
  <c r="D48" i="14"/>
  <c r="D47" i="14"/>
  <c r="D46" i="14"/>
  <c r="D43" i="14"/>
  <c r="D42" i="14"/>
  <c r="D41" i="14"/>
  <c r="D40" i="14"/>
  <c r="D37" i="14"/>
  <c r="D36" i="14"/>
  <c r="D35" i="14"/>
  <c r="D34" i="14"/>
  <c r="C68" i="50"/>
  <c r="C81" i="49"/>
  <c r="C88" i="47"/>
  <c r="C60" i="14"/>
  <c r="C61" i="14" s="1"/>
  <c r="K63" i="14" s="1"/>
  <c r="D60" i="14"/>
  <c r="D61" i="14" s="1"/>
  <c r="L63" i="14" s="1"/>
  <c r="E60" i="14"/>
  <c r="E61" i="14" s="1"/>
  <c r="M63" i="14" s="1"/>
  <c r="B60" i="14"/>
  <c r="J58" i="14" s="1"/>
  <c r="D30" i="14"/>
  <c r="D29" i="14"/>
  <c r="D28" i="14"/>
  <c r="C66" i="50"/>
  <c r="C67" i="50"/>
  <c r="C65" i="50"/>
  <c r="C52" i="50"/>
  <c r="C53" i="50"/>
  <c r="C51" i="50"/>
  <c r="C86" i="47"/>
  <c r="C87" i="47"/>
  <c r="C85" i="47"/>
  <c r="C79" i="49"/>
  <c r="C80" i="49"/>
  <c r="C78" i="49"/>
  <c r="C60" i="49"/>
  <c r="C61" i="49"/>
  <c r="C59" i="49"/>
  <c r="C72" i="47"/>
  <c r="C73" i="47"/>
  <c r="C71" i="47"/>
  <c r="E30" i="50"/>
  <c r="F30" i="50" s="1"/>
  <c r="G30" i="50" s="1"/>
  <c r="H30" i="50" s="1"/>
  <c r="I30" i="50" s="1"/>
  <c r="J30" i="50" s="1"/>
  <c r="K30" i="50" s="1"/>
  <c r="L30" i="50" s="1"/>
  <c r="M30" i="50" s="1"/>
  <c r="N30" i="50" s="1"/>
  <c r="O30" i="50" s="1"/>
  <c r="E29" i="50"/>
  <c r="F29" i="50" s="1"/>
  <c r="G29" i="50" s="1"/>
  <c r="H29" i="50" s="1"/>
  <c r="I29" i="50" s="1"/>
  <c r="J29" i="50" s="1"/>
  <c r="K29" i="50" s="1"/>
  <c r="L29" i="50" s="1"/>
  <c r="M29" i="50" s="1"/>
  <c r="N29" i="50" s="1"/>
  <c r="O29" i="50" s="1"/>
  <c r="D26" i="50"/>
  <c r="D27" i="50" s="1"/>
  <c r="D28" i="50" s="1"/>
  <c r="D33" i="50" s="1"/>
  <c r="D34" i="50" s="1"/>
  <c r="D24" i="50"/>
  <c r="D25" i="50" s="1"/>
  <c r="E18" i="50"/>
  <c r="F18" i="50" s="1"/>
  <c r="G18" i="50" s="1"/>
  <c r="H18" i="50" s="1"/>
  <c r="I18" i="50" s="1"/>
  <c r="J18" i="50" s="1"/>
  <c r="K18" i="50" s="1"/>
  <c r="L18" i="50" s="1"/>
  <c r="M18" i="50" s="1"/>
  <c r="N18" i="50" s="1"/>
  <c r="O18" i="50" s="1"/>
  <c r="E17" i="50"/>
  <c r="F17" i="50" s="1"/>
  <c r="G17" i="50" s="1"/>
  <c r="H17" i="50" s="1"/>
  <c r="I17" i="50" s="1"/>
  <c r="J17" i="50" s="1"/>
  <c r="K17" i="50" s="1"/>
  <c r="L17" i="50" s="1"/>
  <c r="M17" i="50" s="1"/>
  <c r="N17" i="50" s="1"/>
  <c r="O17" i="50" s="1"/>
  <c r="D16" i="50"/>
  <c r="E12" i="50"/>
  <c r="F12" i="50" s="1"/>
  <c r="D9" i="50"/>
  <c r="D14" i="50" s="1"/>
  <c r="D15" i="50" s="1"/>
  <c r="D19" i="50" s="1"/>
  <c r="D20" i="50" s="1"/>
  <c r="D8" i="50"/>
  <c r="E30" i="49"/>
  <c r="F30" i="49" s="1"/>
  <c r="G30" i="49" s="1"/>
  <c r="H30" i="49" s="1"/>
  <c r="I30" i="49" s="1"/>
  <c r="J30" i="49" s="1"/>
  <c r="K30" i="49" s="1"/>
  <c r="L30" i="49" s="1"/>
  <c r="M30" i="49" s="1"/>
  <c r="N30" i="49" s="1"/>
  <c r="O30" i="49" s="1"/>
  <c r="E29" i="49"/>
  <c r="E23" i="49" s="1"/>
  <c r="D26" i="49"/>
  <c r="D27" i="49" s="1"/>
  <c r="D28" i="49" s="1"/>
  <c r="D33" i="49" s="1"/>
  <c r="D34" i="49" s="1"/>
  <c r="D24" i="49"/>
  <c r="D25" i="49" s="1"/>
  <c r="E18" i="49"/>
  <c r="F18" i="49" s="1"/>
  <c r="G18" i="49" s="1"/>
  <c r="H18" i="49" s="1"/>
  <c r="I18" i="49" s="1"/>
  <c r="J18" i="49" s="1"/>
  <c r="K18" i="49" s="1"/>
  <c r="L18" i="49" s="1"/>
  <c r="M18" i="49" s="1"/>
  <c r="N18" i="49" s="1"/>
  <c r="O18" i="49" s="1"/>
  <c r="E17" i="49"/>
  <c r="F17" i="49" s="1"/>
  <c r="G17" i="49" s="1"/>
  <c r="H17" i="49" s="1"/>
  <c r="I17" i="49" s="1"/>
  <c r="J17" i="49" s="1"/>
  <c r="K17" i="49" s="1"/>
  <c r="L17" i="49" s="1"/>
  <c r="M17" i="49" s="1"/>
  <c r="N17" i="49" s="1"/>
  <c r="O17" i="49" s="1"/>
  <c r="D16" i="49"/>
  <c r="E12" i="49"/>
  <c r="F12" i="49" s="1"/>
  <c r="D9" i="49"/>
  <c r="D14" i="49" s="1"/>
  <c r="D15" i="49" s="1"/>
  <c r="D8" i="49"/>
  <c r="F30" i="47"/>
  <c r="G30" i="47" s="1"/>
  <c r="H30" i="47" s="1"/>
  <c r="I30" i="47" s="1"/>
  <c r="J30" i="47" s="1"/>
  <c r="K30" i="47" s="1"/>
  <c r="L30" i="47" s="1"/>
  <c r="M30" i="47" s="1"/>
  <c r="N30" i="47" s="1"/>
  <c r="O30" i="47" s="1"/>
  <c r="E30" i="47"/>
  <c r="E29" i="47"/>
  <c r="F29" i="47" s="1"/>
  <c r="G29" i="47" s="1"/>
  <c r="H29" i="47" s="1"/>
  <c r="I29" i="47" s="1"/>
  <c r="J29" i="47" s="1"/>
  <c r="K29" i="47" s="1"/>
  <c r="L29" i="47" s="1"/>
  <c r="M29" i="47" s="1"/>
  <c r="N29" i="47" s="1"/>
  <c r="O29" i="47" s="1"/>
  <c r="D26" i="47"/>
  <c r="D27" i="47" s="1"/>
  <c r="D28" i="47" s="1"/>
  <c r="D33" i="47" s="1"/>
  <c r="D34" i="47" s="1"/>
  <c r="D24" i="47"/>
  <c r="D25" i="47" s="1"/>
  <c r="E18" i="47"/>
  <c r="F18" i="47" s="1"/>
  <c r="G18" i="47" s="1"/>
  <c r="H18" i="47" s="1"/>
  <c r="I18" i="47" s="1"/>
  <c r="J18" i="47" s="1"/>
  <c r="K18" i="47" s="1"/>
  <c r="L18" i="47" s="1"/>
  <c r="M18" i="47" s="1"/>
  <c r="N18" i="47" s="1"/>
  <c r="O18" i="47" s="1"/>
  <c r="G17" i="47"/>
  <c r="H17" i="47" s="1"/>
  <c r="I17" i="47" s="1"/>
  <c r="J17" i="47" s="1"/>
  <c r="K17" i="47" s="1"/>
  <c r="L17" i="47" s="1"/>
  <c r="M17" i="47" s="1"/>
  <c r="N17" i="47" s="1"/>
  <c r="O17" i="47" s="1"/>
  <c r="F17" i="47"/>
  <c r="E17" i="47"/>
  <c r="D16" i="47"/>
  <c r="F12" i="47"/>
  <c r="F16" i="47" s="1"/>
  <c r="E12" i="47"/>
  <c r="E16" i="47" s="1"/>
  <c r="D9" i="47"/>
  <c r="D14" i="47" s="1"/>
  <c r="D15" i="47" s="1"/>
  <c r="D8" i="47"/>
  <c r="P29" i="44"/>
  <c r="P18" i="44"/>
  <c r="P17" i="44"/>
  <c r="F12" i="10"/>
  <c r="G12" i="10" s="1"/>
  <c r="H12" i="10" s="1"/>
  <c r="I12" i="10" s="1"/>
  <c r="J12" i="10" s="1"/>
  <c r="K12" i="10" s="1"/>
  <c r="L12" i="10" s="1"/>
  <c r="M12" i="10" s="1"/>
  <c r="N12" i="10" s="1"/>
  <c r="O12" i="10" s="1"/>
  <c r="E12" i="10"/>
  <c r="E12" i="1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D18" i="34"/>
  <c r="H10" i="36"/>
  <c r="H9" i="36"/>
  <c r="K9" i="36" s="1"/>
  <c r="H8" i="36"/>
  <c r="H7" i="36"/>
  <c r="H6" i="36"/>
  <c r="H5" i="36"/>
  <c r="K5" i="36" s="1"/>
  <c r="H4" i="36"/>
  <c r="K4" i="36" s="1"/>
  <c r="H3" i="36"/>
  <c r="E9" i="38"/>
  <c r="E8" i="38"/>
  <c r="E7" i="38"/>
  <c r="E6" i="38"/>
  <c r="E5" i="38"/>
  <c r="E4" i="38"/>
  <c r="E3" i="38"/>
  <c r="E2" i="38"/>
  <c r="D10" i="38"/>
  <c r="G10" i="38" s="1"/>
  <c r="I11" i="36"/>
  <c r="E5" i="37"/>
  <c r="I5" i="37" s="1"/>
  <c r="E6" i="37"/>
  <c r="I6" i="37" s="1"/>
  <c r="E7" i="37"/>
  <c r="I7" i="37" s="1"/>
  <c r="E8" i="37"/>
  <c r="I8" i="37" s="1"/>
  <c r="E9" i="37"/>
  <c r="I9" i="37" s="1"/>
  <c r="E10" i="37"/>
  <c r="I10" i="37" s="1"/>
  <c r="E4" i="37"/>
  <c r="I4" i="37" s="1"/>
  <c r="G4" i="36"/>
  <c r="G5" i="36"/>
  <c r="G6" i="36"/>
  <c r="G7" i="36"/>
  <c r="G8" i="36"/>
  <c r="G9" i="36"/>
  <c r="G10" i="36"/>
  <c r="G3" i="36"/>
  <c r="E86" i="26"/>
  <c r="F86" i="26"/>
  <c r="G86" i="26"/>
  <c r="H86" i="26"/>
  <c r="I86" i="26"/>
  <c r="J86" i="26"/>
  <c r="J87" i="26" s="1"/>
  <c r="K86" i="26"/>
  <c r="L86" i="26"/>
  <c r="M86" i="26"/>
  <c r="N86" i="26"/>
  <c r="O86" i="26"/>
  <c r="P86" i="26"/>
  <c r="Q86" i="26"/>
  <c r="R86" i="26"/>
  <c r="N87" i="26" s="1"/>
  <c r="S86" i="26"/>
  <c r="T86" i="26"/>
  <c r="U86" i="26"/>
  <c r="V86" i="26"/>
  <c r="W86" i="26"/>
  <c r="X86" i="26"/>
  <c r="Y86" i="26"/>
  <c r="Z86" i="26"/>
  <c r="D86" i="26"/>
  <c r="E60" i="34"/>
  <c r="E61" i="34" s="1"/>
  <c r="F60" i="34"/>
  <c r="F61" i="34" s="1"/>
  <c r="G60" i="34"/>
  <c r="G61" i="34" s="1"/>
  <c r="H60" i="34"/>
  <c r="H61" i="34" s="1"/>
  <c r="I60" i="34"/>
  <c r="I61" i="34" s="1"/>
  <c r="J60" i="34"/>
  <c r="K60" i="34"/>
  <c r="L60" i="34"/>
  <c r="L61" i="34" s="1"/>
  <c r="M60" i="34"/>
  <c r="M61" i="34" s="1"/>
  <c r="N60" i="34"/>
  <c r="J61" i="34" s="1"/>
  <c r="O60" i="34"/>
  <c r="K61" i="34" s="1"/>
  <c r="P60" i="34"/>
  <c r="Q60" i="34"/>
  <c r="R60" i="34"/>
  <c r="S60" i="34"/>
  <c r="T60" i="34"/>
  <c r="U60" i="34"/>
  <c r="V60" i="34"/>
  <c r="W60" i="34"/>
  <c r="X60" i="34"/>
  <c r="Y60" i="34"/>
  <c r="Z60" i="34"/>
  <c r="D60" i="34"/>
  <c r="D61" i="34" s="1"/>
  <c r="D33" i="35"/>
  <c r="D15" i="35"/>
  <c r="F65" i="35"/>
  <c r="F66" i="35" s="1"/>
  <c r="F67" i="35" s="1"/>
  <c r="F68" i="35" s="1"/>
  <c r="H65" i="35"/>
  <c r="H66" i="35" s="1"/>
  <c r="H67" i="35" s="1"/>
  <c r="H68" i="35" s="1"/>
  <c r="Y65" i="35"/>
  <c r="Y66" i="35" s="1"/>
  <c r="Y67" i="35" s="1"/>
  <c r="Y68" i="35" s="1"/>
  <c r="E50" i="35"/>
  <c r="E65" i="35" s="1"/>
  <c r="E66" i="35" s="1"/>
  <c r="E67" i="35" s="1"/>
  <c r="E68" i="35" s="1"/>
  <c r="F50" i="35"/>
  <c r="F51" i="35" s="1"/>
  <c r="F52" i="35" s="1"/>
  <c r="F53" i="35" s="1"/>
  <c r="G50" i="35"/>
  <c r="G51" i="35" s="1"/>
  <c r="G52" i="35" s="1"/>
  <c r="G53" i="35" s="1"/>
  <c r="H50" i="35"/>
  <c r="I50" i="35"/>
  <c r="I51" i="35" s="1"/>
  <c r="I52" i="35" s="1"/>
  <c r="I53" i="35" s="1"/>
  <c r="J50" i="35"/>
  <c r="J65" i="35" s="1"/>
  <c r="J66" i="35" s="1"/>
  <c r="J67" i="35" s="1"/>
  <c r="J68" i="35" s="1"/>
  <c r="K50" i="35"/>
  <c r="K65" i="35" s="1"/>
  <c r="K66" i="35" s="1"/>
  <c r="K67" i="35" s="1"/>
  <c r="K68" i="35" s="1"/>
  <c r="L50" i="35"/>
  <c r="L51" i="35" s="1"/>
  <c r="L52" i="35" s="1"/>
  <c r="L53" i="35" s="1"/>
  <c r="M50" i="35"/>
  <c r="M65" i="35" s="1"/>
  <c r="M66" i="35" s="1"/>
  <c r="M67" i="35" s="1"/>
  <c r="M68" i="35" s="1"/>
  <c r="N50" i="35"/>
  <c r="N51" i="35" s="1"/>
  <c r="N52" i="35" s="1"/>
  <c r="N53" i="35" s="1"/>
  <c r="O50" i="35"/>
  <c r="O51" i="35" s="1"/>
  <c r="O52" i="35" s="1"/>
  <c r="O53" i="35" s="1"/>
  <c r="P50" i="35"/>
  <c r="P65" i="35" s="1"/>
  <c r="P66" i="35" s="1"/>
  <c r="P67" i="35" s="1"/>
  <c r="P68" i="35" s="1"/>
  <c r="Q50" i="35"/>
  <c r="Q51" i="35" s="1"/>
  <c r="Q52" i="35" s="1"/>
  <c r="Q53" i="35" s="1"/>
  <c r="R50" i="35"/>
  <c r="R65" i="35" s="1"/>
  <c r="R66" i="35" s="1"/>
  <c r="R67" i="35" s="1"/>
  <c r="R68" i="35" s="1"/>
  <c r="S50" i="35"/>
  <c r="S65" i="35" s="1"/>
  <c r="S66" i="35" s="1"/>
  <c r="S67" i="35" s="1"/>
  <c r="S68" i="35" s="1"/>
  <c r="T50" i="35"/>
  <c r="T51" i="35" s="1"/>
  <c r="T52" i="35" s="1"/>
  <c r="T53" i="35" s="1"/>
  <c r="U50" i="35"/>
  <c r="U51" i="35" s="1"/>
  <c r="U52" i="35" s="1"/>
  <c r="U53" i="35" s="1"/>
  <c r="V50" i="35"/>
  <c r="V65" i="35" s="1"/>
  <c r="V66" i="35" s="1"/>
  <c r="V67" i="35" s="1"/>
  <c r="V68" i="35" s="1"/>
  <c r="W50" i="35"/>
  <c r="W51" i="35" s="1"/>
  <c r="W52" i="35" s="1"/>
  <c r="W53" i="35" s="1"/>
  <c r="X50" i="35"/>
  <c r="X65" i="35" s="1"/>
  <c r="X66" i="35" s="1"/>
  <c r="X67" i="35" s="1"/>
  <c r="X68" i="35" s="1"/>
  <c r="Y50" i="35"/>
  <c r="Y51" i="35" s="1"/>
  <c r="Y52" i="35" s="1"/>
  <c r="Y53" i="35" s="1"/>
  <c r="Z50" i="35"/>
  <c r="Z65" i="35" s="1"/>
  <c r="Z66" i="35" s="1"/>
  <c r="Z67" i="35" s="1"/>
  <c r="Z68" i="35" s="1"/>
  <c r="D50" i="35"/>
  <c r="D65" i="35" s="1"/>
  <c r="D66" i="35" s="1"/>
  <c r="D67" i="35" s="1"/>
  <c r="D68" i="35" s="1"/>
  <c r="O61" i="35"/>
  <c r="O62" i="35" s="1"/>
  <c r="N61" i="35"/>
  <c r="M61" i="35"/>
  <c r="L61" i="35"/>
  <c r="K61" i="35"/>
  <c r="J61" i="35"/>
  <c r="I61" i="35"/>
  <c r="H61" i="35"/>
  <c r="G61" i="35"/>
  <c r="F61" i="35"/>
  <c r="E61" i="35"/>
  <c r="D61" i="35"/>
  <c r="D56" i="35"/>
  <c r="P51" i="35"/>
  <c r="P52" i="35" s="1"/>
  <c r="P53" i="35" s="1"/>
  <c r="H51" i="35"/>
  <c r="H52" i="35" s="1"/>
  <c r="H53" i="35" s="1"/>
  <c r="V51" i="35"/>
  <c r="V52" i="35" s="1"/>
  <c r="V53" i="35" s="1"/>
  <c r="S51" i="35"/>
  <c r="S52" i="35" s="1"/>
  <c r="S53" i="35" s="1"/>
  <c r="K51" i="35"/>
  <c r="K52" i="35" s="1"/>
  <c r="K53" i="35" s="1"/>
  <c r="D51" i="35"/>
  <c r="D52" i="35" s="1"/>
  <c r="D53" i="35" s="1"/>
  <c r="O36" i="35"/>
  <c r="N36" i="35"/>
  <c r="M36" i="35"/>
  <c r="L36" i="35"/>
  <c r="K36" i="35"/>
  <c r="J36" i="35"/>
  <c r="I36" i="35"/>
  <c r="H36" i="35"/>
  <c r="G36" i="35"/>
  <c r="F36" i="35"/>
  <c r="E36" i="35"/>
  <c r="D36" i="35"/>
  <c r="E35" i="35"/>
  <c r="F35" i="35" s="1"/>
  <c r="G35" i="35" s="1"/>
  <c r="H35" i="35" s="1"/>
  <c r="I35" i="35" s="1"/>
  <c r="J35" i="35" s="1"/>
  <c r="K35" i="35" s="1"/>
  <c r="L35" i="35" s="1"/>
  <c r="M35" i="35" s="1"/>
  <c r="N35" i="35" s="1"/>
  <c r="O35" i="35" s="1"/>
  <c r="E33" i="35"/>
  <c r="E37" i="35" s="1"/>
  <c r="D37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E15" i="35"/>
  <c r="E3" i="32"/>
  <c r="D31" i="34"/>
  <c r="D35" i="34" s="1"/>
  <c r="E53" i="34"/>
  <c r="F53" i="34"/>
  <c r="G53" i="34"/>
  <c r="G54" i="34" s="1"/>
  <c r="G55" i="34" s="1"/>
  <c r="G56" i="34" s="1"/>
  <c r="H53" i="34"/>
  <c r="H54" i="34" s="1"/>
  <c r="H55" i="34" s="1"/>
  <c r="H56" i="34" s="1"/>
  <c r="I53" i="34"/>
  <c r="I54" i="34" s="1"/>
  <c r="I55" i="34" s="1"/>
  <c r="I56" i="34" s="1"/>
  <c r="J53" i="34"/>
  <c r="J54" i="34" s="1"/>
  <c r="J55" i="34" s="1"/>
  <c r="J56" i="34" s="1"/>
  <c r="K53" i="34"/>
  <c r="K54" i="34" s="1"/>
  <c r="K55" i="34" s="1"/>
  <c r="K56" i="34" s="1"/>
  <c r="L53" i="34"/>
  <c r="L54" i="34" s="1"/>
  <c r="L55" i="34" s="1"/>
  <c r="L56" i="34" s="1"/>
  <c r="M53" i="34"/>
  <c r="M54" i="34" s="1"/>
  <c r="M55" i="34" s="1"/>
  <c r="M56" i="34" s="1"/>
  <c r="N53" i="34"/>
  <c r="O53" i="34"/>
  <c r="O54" i="34" s="1"/>
  <c r="P53" i="34"/>
  <c r="Q53" i="34"/>
  <c r="R53" i="34"/>
  <c r="S53" i="34"/>
  <c r="T53" i="34"/>
  <c r="U53" i="34"/>
  <c r="V53" i="34"/>
  <c r="W53" i="34"/>
  <c r="X53" i="34"/>
  <c r="Y53" i="34"/>
  <c r="Z53" i="34"/>
  <c r="D53" i="34"/>
  <c r="D54" i="34" s="1"/>
  <c r="D55" i="34" s="1"/>
  <c r="D56" i="34" s="1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D38" i="34"/>
  <c r="D39" i="34" s="1"/>
  <c r="N54" i="34"/>
  <c r="N55" i="34" s="1"/>
  <c r="N56" i="34" s="1"/>
  <c r="F54" i="34"/>
  <c r="F55" i="34" s="1"/>
  <c r="F56" i="34" s="1"/>
  <c r="E54" i="34"/>
  <c r="E55" i="34" s="1"/>
  <c r="E56" i="34" s="1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E49" i="34"/>
  <c r="D49" i="34"/>
  <c r="D4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E33" i="34"/>
  <c r="F33" i="34" s="1"/>
  <c r="G33" i="34" s="1"/>
  <c r="H33" i="34" s="1"/>
  <c r="I33" i="34" s="1"/>
  <c r="J33" i="34" s="1"/>
  <c r="K33" i="34" s="1"/>
  <c r="L33" i="34" s="1"/>
  <c r="M33" i="34" s="1"/>
  <c r="N33" i="34" s="1"/>
  <c r="O33" i="34" s="1"/>
  <c r="E31" i="34"/>
  <c r="E35" i="34" s="1"/>
  <c r="E25" i="34"/>
  <c r="F25" i="34" s="1"/>
  <c r="G25" i="34" s="1"/>
  <c r="H25" i="34" s="1"/>
  <c r="I25" i="34" s="1"/>
  <c r="J25" i="34" s="1"/>
  <c r="K25" i="34" s="1"/>
  <c r="L25" i="34" s="1"/>
  <c r="M25" i="34" s="1"/>
  <c r="N25" i="34" s="1"/>
  <c r="O25" i="34" s="1"/>
  <c r="O18" i="34"/>
  <c r="N18" i="34"/>
  <c r="M18" i="34"/>
  <c r="L18" i="34"/>
  <c r="K18" i="34"/>
  <c r="J18" i="34"/>
  <c r="I18" i="34"/>
  <c r="H18" i="34"/>
  <c r="G18" i="34"/>
  <c r="F18" i="34"/>
  <c r="E18" i="34"/>
  <c r="E15" i="34"/>
  <c r="F15" i="34" s="1"/>
  <c r="G15" i="34" s="1"/>
  <c r="H15" i="34" s="1"/>
  <c r="I15" i="34" s="1"/>
  <c r="J15" i="34" s="1"/>
  <c r="K15" i="34" s="1"/>
  <c r="L15" i="34" s="1"/>
  <c r="M15" i="34" s="1"/>
  <c r="N15" i="34" s="1"/>
  <c r="O15" i="34" s="1"/>
  <c r="E8" i="34"/>
  <c r="D8" i="34"/>
  <c r="D19" i="34" s="1"/>
  <c r="O7" i="34"/>
  <c r="O8" i="34" s="1"/>
  <c r="N7" i="34"/>
  <c r="N8" i="34" s="1"/>
  <c r="M7" i="34"/>
  <c r="M8" i="34" s="1"/>
  <c r="L7" i="34"/>
  <c r="L8" i="34" s="1"/>
  <c r="K7" i="34"/>
  <c r="K8" i="34" s="1"/>
  <c r="J7" i="34"/>
  <c r="J8" i="34" s="1"/>
  <c r="I7" i="34"/>
  <c r="I8" i="34" s="1"/>
  <c r="H7" i="34"/>
  <c r="H8" i="34" s="1"/>
  <c r="G7" i="34"/>
  <c r="G8" i="34" s="1"/>
  <c r="F7" i="34"/>
  <c r="F8" i="34" s="1"/>
  <c r="N9" i="32"/>
  <c r="D31" i="33"/>
  <c r="D15" i="33"/>
  <c r="E15" i="33" s="1"/>
  <c r="F15" i="33" s="1"/>
  <c r="E59" i="33"/>
  <c r="E60" i="33" s="1"/>
  <c r="E61" i="33" s="1"/>
  <c r="E62" i="33" s="1"/>
  <c r="F59" i="33"/>
  <c r="F74" i="33" s="1"/>
  <c r="F75" i="33" s="1"/>
  <c r="F76" i="33" s="1"/>
  <c r="F77" i="33" s="1"/>
  <c r="G59" i="33"/>
  <c r="G74" i="33" s="1"/>
  <c r="G75" i="33" s="1"/>
  <c r="G76" i="33" s="1"/>
  <c r="G77" i="33" s="1"/>
  <c r="H59" i="33"/>
  <c r="H74" i="33" s="1"/>
  <c r="H75" i="33" s="1"/>
  <c r="H76" i="33" s="1"/>
  <c r="H77" i="33" s="1"/>
  <c r="I59" i="33"/>
  <c r="I74" i="33" s="1"/>
  <c r="I75" i="33" s="1"/>
  <c r="I76" i="33" s="1"/>
  <c r="I77" i="33" s="1"/>
  <c r="J59" i="33"/>
  <c r="J74" i="33" s="1"/>
  <c r="J75" i="33" s="1"/>
  <c r="J76" i="33" s="1"/>
  <c r="J77" i="33" s="1"/>
  <c r="K59" i="33"/>
  <c r="K60" i="33" s="1"/>
  <c r="K61" i="33" s="1"/>
  <c r="K62" i="33" s="1"/>
  <c r="L59" i="33"/>
  <c r="L60" i="33" s="1"/>
  <c r="L61" i="33" s="1"/>
  <c r="L62" i="33" s="1"/>
  <c r="M59" i="33"/>
  <c r="M60" i="33" s="1"/>
  <c r="M61" i="33" s="1"/>
  <c r="M62" i="33" s="1"/>
  <c r="N59" i="33"/>
  <c r="N74" i="33" s="1"/>
  <c r="N75" i="33" s="1"/>
  <c r="N76" i="33" s="1"/>
  <c r="N77" i="33" s="1"/>
  <c r="O59" i="33"/>
  <c r="O74" i="33" s="1"/>
  <c r="O75" i="33" s="1"/>
  <c r="O76" i="33" s="1"/>
  <c r="O77" i="33" s="1"/>
  <c r="P59" i="33"/>
  <c r="Q59" i="33"/>
  <c r="Q60" i="33" s="1"/>
  <c r="Q61" i="33" s="1"/>
  <c r="Q62" i="33" s="1"/>
  <c r="R59" i="33"/>
  <c r="R74" i="33" s="1"/>
  <c r="R75" i="33" s="1"/>
  <c r="R76" i="33" s="1"/>
  <c r="R77" i="33" s="1"/>
  <c r="S59" i="33"/>
  <c r="S60" i="33" s="1"/>
  <c r="S61" i="33" s="1"/>
  <c r="S62" i="33" s="1"/>
  <c r="T59" i="33"/>
  <c r="T60" i="33" s="1"/>
  <c r="T61" i="33" s="1"/>
  <c r="T62" i="33" s="1"/>
  <c r="U59" i="33"/>
  <c r="U60" i="33" s="1"/>
  <c r="U61" i="33" s="1"/>
  <c r="U62" i="33" s="1"/>
  <c r="V59" i="33"/>
  <c r="V74" i="33" s="1"/>
  <c r="V75" i="33" s="1"/>
  <c r="V76" i="33" s="1"/>
  <c r="V77" i="33" s="1"/>
  <c r="W59" i="33"/>
  <c r="W60" i="33" s="1"/>
  <c r="W61" i="33" s="1"/>
  <c r="W62" i="33" s="1"/>
  <c r="X59" i="33"/>
  <c r="X74" i="33" s="1"/>
  <c r="X75" i="33" s="1"/>
  <c r="X76" i="33" s="1"/>
  <c r="X77" i="33" s="1"/>
  <c r="Y59" i="33"/>
  <c r="Y60" i="33" s="1"/>
  <c r="Y61" i="33" s="1"/>
  <c r="Y62" i="33" s="1"/>
  <c r="Z59" i="33"/>
  <c r="D59" i="33"/>
  <c r="D60" i="33" s="1"/>
  <c r="D61" i="33" s="1"/>
  <c r="D62" i="33" s="1"/>
  <c r="O70" i="33"/>
  <c r="O71" i="33" s="1"/>
  <c r="N70" i="33"/>
  <c r="M70" i="33"/>
  <c r="L70" i="33"/>
  <c r="K70" i="33"/>
  <c r="J70" i="33"/>
  <c r="I70" i="33"/>
  <c r="H70" i="33"/>
  <c r="G70" i="33"/>
  <c r="F70" i="33"/>
  <c r="E70" i="33"/>
  <c r="D70" i="33"/>
  <c r="D65" i="33"/>
  <c r="F60" i="33"/>
  <c r="F61" i="33" s="1"/>
  <c r="F62" i="33" s="1"/>
  <c r="Z74" i="33"/>
  <c r="Z75" i="33" s="1"/>
  <c r="Z76" i="33" s="1"/>
  <c r="Z77" i="33" s="1"/>
  <c r="P74" i="33"/>
  <c r="P75" i="33" s="1"/>
  <c r="P76" i="33" s="1"/>
  <c r="P77" i="33" s="1"/>
  <c r="O34" i="33"/>
  <c r="N34" i="33"/>
  <c r="M34" i="33"/>
  <c r="L34" i="33"/>
  <c r="K34" i="33"/>
  <c r="J34" i="33"/>
  <c r="I34" i="33"/>
  <c r="H34" i="33"/>
  <c r="G34" i="33"/>
  <c r="F34" i="33"/>
  <c r="E34" i="33"/>
  <c r="D34" i="33"/>
  <c r="D35" i="33" s="1"/>
  <c r="E33" i="33"/>
  <c r="F33" i="33" s="1"/>
  <c r="G33" i="33" s="1"/>
  <c r="H33" i="33" s="1"/>
  <c r="I33" i="33" s="1"/>
  <c r="J33" i="33" s="1"/>
  <c r="K33" i="33" s="1"/>
  <c r="L33" i="33" s="1"/>
  <c r="M33" i="33" s="1"/>
  <c r="N33" i="33" s="1"/>
  <c r="O33" i="33" s="1"/>
  <c r="O18" i="33"/>
  <c r="N18" i="33"/>
  <c r="M18" i="33"/>
  <c r="L18" i="33"/>
  <c r="K18" i="33"/>
  <c r="J18" i="33"/>
  <c r="I18" i="33"/>
  <c r="H18" i="33"/>
  <c r="G18" i="33"/>
  <c r="F18" i="33"/>
  <c r="E18" i="33"/>
  <c r="D18" i="33"/>
  <c r="N7" i="32"/>
  <c r="N8" i="32"/>
  <c r="N6" i="32"/>
  <c r="K6" i="32"/>
  <c r="K7" i="32"/>
  <c r="K10" i="32"/>
  <c r="K5" i="32"/>
  <c r="H5" i="32"/>
  <c r="H6" i="32"/>
  <c r="H7" i="32"/>
  <c r="H10" i="32"/>
  <c r="H4" i="32"/>
  <c r="E5" i="32"/>
  <c r="E6" i="32"/>
  <c r="E4" i="32"/>
  <c r="D31" i="31"/>
  <c r="E31" i="31" s="1"/>
  <c r="D15" i="31"/>
  <c r="E49" i="31"/>
  <c r="F49" i="31"/>
  <c r="F64" i="31" s="1"/>
  <c r="F65" i="31" s="1"/>
  <c r="F66" i="31" s="1"/>
  <c r="F67" i="31" s="1"/>
  <c r="G49" i="31"/>
  <c r="G50" i="31" s="1"/>
  <c r="G51" i="31" s="1"/>
  <c r="G52" i="31" s="1"/>
  <c r="H49" i="31"/>
  <c r="H64" i="31" s="1"/>
  <c r="H65" i="31" s="1"/>
  <c r="H66" i="31" s="1"/>
  <c r="H67" i="31" s="1"/>
  <c r="I49" i="31"/>
  <c r="I64" i="31" s="1"/>
  <c r="I65" i="31" s="1"/>
  <c r="I66" i="31" s="1"/>
  <c r="I67" i="31" s="1"/>
  <c r="J49" i="31"/>
  <c r="K49" i="31"/>
  <c r="K64" i="31" s="1"/>
  <c r="K65" i="31" s="1"/>
  <c r="K66" i="31" s="1"/>
  <c r="K67" i="31" s="1"/>
  <c r="L49" i="31"/>
  <c r="L64" i="31" s="1"/>
  <c r="L65" i="31" s="1"/>
  <c r="L66" i="31" s="1"/>
  <c r="L67" i="31" s="1"/>
  <c r="M49" i="31"/>
  <c r="M50" i="31" s="1"/>
  <c r="M51" i="31" s="1"/>
  <c r="M52" i="31" s="1"/>
  <c r="N49" i="31"/>
  <c r="N50" i="31" s="1"/>
  <c r="N51" i="31" s="1"/>
  <c r="N52" i="31" s="1"/>
  <c r="O49" i="31"/>
  <c r="O50" i="31" s="1"/>
  <c r="O51" i="31" s="1"/>
  <c r="O52" i="31" s="1"/>
  <c r="P49" i="31"/>
  <c r="Q49" i="31"/>
  <c r="Q64" i="31" s="1"/>
  <c r="Q65" i="31" s="1"/>
  <c r="Q66" i="31" s="1"/>
  <c r="Q67" i="31" s="1"/>
  <c r="R49" i="31"/>
  <c r="S49" i="31"/>
  <c r="S64" i="31" s="1"/>
  <c r="S65" i="31" s="1"/>
  <c r="S66" i="31" s="1"/>
  <c r="S67" i="31" s="1"/>
  <c r="T49" i="31"/>
  <c r="T64" i="31" s="1"/>
  <c r="T65" i="31" s="1"/>
  <c r="T66" i="31" s="1"/>
  <c r="T67" i="31" s="1"/>
  <c r="U49" i="31"/>
  <c r="U50" i="31" s="1"/>
  <c r="U51" i="31" s="1"/>
  <c r="U52" i="31" s="1"/>
  <c r="V49" i="31"/>
  <c r="V50" i="31" s="1"/>
  <c r="V51" i="31" s="1"/>
  <c r="V52" i="31" s="1"/>
  <c r="W49" i="31"/>
  <c r="W50" i="31" s="1"/>
  <c r="W51" i="31" s="1"/>
  <c r="W52" i="31" s="1"/>
  <c r="X49" i="31"/>
  <c r="X64" i="31" s="1"/>
  <c r="X65" i="31" s="1"/>
  <c r="X66" i="31" s="1"/>
  <c r="X67" i="31" s="1"/>
  <c r="Y49" i="31"/>
  <c r="Y64" i="31" s="1"/>
  <c r="Y65" i="31" s="1"/>
  <c r="Y66" i="31" s="1"/>
  <c r="Y67" i="31" s="1"/>
  <c r="Z49" i="31"/>
  <c r="Z64" i="31" s="1"/>
  <c r="Z65" i="31" s="1"/>
  <c r="Z66" i="31" s="1"/>
  <c r="Z67" i="31" s="1"/>
  <c r="D49" i="31"/>
  <c r="D64" i="31" s="1"/>
  <c r="D65" i="31" s="1"/>
  <c r="D66" i="31" s="1"/>
  <c r="D67" i="31" s="1"/>
  <c r="O60" i="31"/>
  <c r="N60" i="31"/>
  <c r="M60" i="31"/>
  <c r="M61" i="31" s="1"/>
  <c r="L60" i="31"/>
  <c r="K60" i="31"/>
  <c r="J60" i="31"/>
  <c r="I60" i="31"/>
  <c r="H60" i="31"/>
  <c r="G60" i="31"/>
  <c r="F60" i="31"/>
  <c r="E60" i="31"/>
  <c r="E61" i="31" s="1"/>
  <c r="D60" i="31"/>
  <c r="D55" i="31"/>
  <c r="R64" i="31"/>
  <c r="R65" i="31" s="1"/>
  <c r="R66" i="31" s="1"/>
  <c r="R67" i="31" s="1"/>
  <c r="P64" i="31"/>
  <c r="P65" i="31" s="1"/>
  <c r="P66" i="31" s="1"/>
  <c r="P67" i="31" s="1"/>
  <c r="J64" i="31"/>
  <c r="J65" i="31" s="1"/>
  <c r="J66" i="31" s="1"/>
  <c r="J67" i="31" s="1"/>
  <c r="E50" i="31"/>
  <c r="E51" i="31" s="1"/>
  <c r="E52" i="31" s="1"/>
  <c r="O34" i="31"/>
  <c r="N34" i="31"/>
  <c r="M34" i="31"/>
  <c r="L34" i="31"/>
  <c r="K34" i="31"/>
  <c r="J34" i="31"/>
  <c r="I34" i="31"/>
  <c r="H34" i="31"/>
  <c r="G34" i="31"/>
  <c r="F34" i="31"/>
  <c r="E34" i="31"/>
  <c r="D34" i="31"/>
  <c r="E33" i="31"/>
  <c r="F33" i="31" s="1"/>
  <c r="G33" i="31" s="1"/>
  <c r="H33" i="31" s="1"/>
  <c r="I33" i="31" s="1"/>
  <c r="J33" i="31" s="1"/>
  <c r="K33" i="31" s="1"/>
  <c r="L33" i="31" s="1"/>
  <c r="M33" i="31" s="1"/>
  <c r="N33" i="31" s="1"/>
  <c r="O33" i="31" s="1"/>
  <c r="O18" i="31"/>
  <c r="N18" i="31"/>
  <c r="M18" i="31"/>
  <c r="L18" i="31"/>
  <c r="K18" i="31"/>
  <c r="J18" i="31"/>
  <c r="I18" i="31"/>
  <c r="H18" i="31"/>
  <c r="G18" i="31"/>
  <c r="F18" i="31"/>
  <c r="E18" i="31"/>
  <c r="D18" i="31"/>
  <c r="D19" i="31" s="1"/>
  <c r="E15" i="31"/>
  <c r="F15" i="31" s="1"/>
  <c r="D31" i="30"/>
  <c r="E31" i="30" s="1"/>
  <c r="F31" i="30" s="1"/>
  <c r="D15" i="30"/>
  <c r="E60" i="30"/>
  <c r="E61" i="30" s="1"/>
  <c r="E62" i="30" s="1"/>
  <c r="E63" i="30" s="1"/>
  <c r="F60" i="30"/>
  <c r="G60" i="30"/>
  <c r="G75" i="30" s="1"/>
  <c r="G76" i="30" s="1"/>
  <c r="G77" i="30" s="1"/>
  <c r="G78" i="30" s="1"/>
  <c r="H60" i="30"/>
  <c r="H75" i="30" s="1"/>
  <c r="H76" i="30" s="1"/>
  <c r="H77" i="30" s="1"/>
  <c r="H78" i="30" s="1"/>
  <c r="I60" i="30"/>
  <c r="J60" i="30"/>
  <c r="J61" i="30" s="1"/>
  <c r="J62" i="30" s="1"/>
  <c r="J63" i="30" s="1"/>
  <c r="K60" i="30"/>
  <c r="K61" i="30" s="1"/>
  <c r="K62" i="30" s="1"/>
  <c r="K63" i="30" s="1"/>
  <c r="L60" i="30"/>
  <c r="L61" i="30" s="1"/>
  <c r="L62" i="30" s="1"/>
  <c r="L63" i="30" s="1"/>
  <c r="M60" i="30"/>
  <c r="N60" i="30"/>
  <c r="O60" i="30"/>
  <c r="O75" i="30" s="1"/>
  <c r="O76" i="30" s="1"/>
  <c r="O77" i="30" s="1"/>
  <c r="O78" i="30" s="1"/>
  <c r="P60" i="30"/>
  <c r="P75" i="30" s="1"/>
  <c r="P76" i="30" s="1"/>
  <c r="P77" i="30" s="1"/>
  <c r="P78" i="30" s="1"/>
  <c r="Q60" i="30"/>
  <c r="R60" i="30"/>
  <c r="R75" i="30" s="1"/>
  <c r="R76" i="30" s="1"/>
  <c r="R77" i="30" s="1"/>
  <c r="R78" i="30" s="1"/>
  <c r="S60" i="30"/>
  <c r="S75" i="30" s="1"/>
  <c r="S76" i="30" s="1"/>
  <c r="S77" i="30" s="1"/>
  <c r="S78" i="30" s="1"/>
  <c r="T60" i="30"/>
  <c r="T75" i="30" s="1"/>
  <c r="T76" i="30" s="1"/>
  <c r="T77" i="30" s="1"/>
  <c r="T78" i="30" s="1"/>
  <c r="U60" i="30"/>
  <c r="U61" i="30" s="1"/>
  <c r="U62" i="30" s="1"/>
  <c r="U63" i="30" s="1"/>
  <c r="V60" i="30"/>
  <c r="W60" i="30"/>
  <c r="W75" i="30" s="1"/>
  <c r="W76" i="30" s="1"/>
  <c r="W77" i="30" s="1"/>
  <c r="W78" i="30" s="1"/>
  <c r="X60" i="30"/>
  <c r="X75" i="30" s="1"/>
  <c r="X76" i="30" s="1"/>
  <c r="X77" i="30" s="1"/>
  <c r="X78" i="30" s="1"/>
  <c r="Y60" i="30"/>
  <c r="Z60" i="30"/>
  <c r="Z61" i="30" s="1"/>
  <c r="Z62" i="30" s="1"/>
  <c r="Z63" i="30" s="1"/>
  <c r="D60" i="30"/>
  <c r="D75" i="30" s="1"/>
  <c r="D76" i="30" s="1"/>
  <c r="D77" i="30" s="1"/>
  <c r="D78" i="30" s="1"/>
  <c r="O71" i="30"/>
  <c r="O72" i="30" s="1"/>
  <c r="N71" i="30"/>
  <c r="M71" i="30"/>
  <c r="L71" i="30"/>
  <c r="K71" i="30"/>
  <c r="J71" i="30"/>
  <c r="I71" i="30"/>
  <c r="H71" i="30"/>
  <c r="G71" i="30"/>
  <c r="F71" i="30"/>
  <c r="E71" i="30"/>
  <c r="D71" i="30"/>
  <c r="D66" i="30"/>
  <c r="V61" i="30"/>
  <c r="V62" i="30" s="1"/>
  <c r="V63" i="30" s="1"/>
  <c r="O61" i="30"/>
  <c r="O62" i="30" s="1"/>
  <c r="O63" i="30" s="1"/>
  <c r="N61" i="30"/>
  <c r="N62" i="30" s="1"/>
  <c r="N63" i="30" s="1"/>
  <c r="F61" i="30"/>
  <c r="F62" i="30" s="1"/>
  <c r="F63" i="30" s="1"/>
  <c r="Y75" i="30"/>
  <c r="Y76" i="30" s="1"/>
  <c r="Y77" i="30" s="1"/>
  <c r="Y78" i="30" s="1"/>
  <c r="V75" i="30"/>
  <c r="V76" i="30" s="1"/>
  <c r="V77" i="30" s="1"/>
  <c r="V78" i="30" s="1"/>
  <c r="Q75" i="30"/>
  <c r="Q76" i="30" s="1"/>
  <c r="Q77" i="30" s="1"/>
  <c r="Q78" i="30" s="1"/>
  <c r="N75" i="30"/>
  <c r="N76" i="30" s="1"/>
  <c r="N77" i="30" s="1"/>
  <c r="N78" i="30" s="1"/>
  <c r="M61" i="30"/>
  <c r="M62" i="30" s="1"/>
  <c r="M63" i="30" s="1"/>
  <c r="I75" i="30"/>
  <c r="I76" i="30" s="1"/>
  <c r="I77" i="30" s="1"/>
  <c r="I78" i="30" s="1"/>
  <c r="F75" i="30"/>
  <c r="F76" i="30" s="1"/>
  <c r="F77" i="30" s="1"/>
  <c r="F78" i="30" s="1"/>
  <c r="O34" i="30"/>
  <c r="N34" i="30"/>
  <c r="M34" i="30"/>
  <c r="L34" i="30"/>
  <c r="K34" i="30"/>
  <c r="J34" i="30"/>
  <c r="I34" i="30"/>
  <c r="H34" i="30"/>
  <c r="G34" i="30"/>
  <c r="F34" i="30"/>
  <c r="E34" i="30"/>
  <c r="D34" i="30"/>
  <c r="E33" i="30"/>
  <c r="F33" i="30" s="1"/>
  <c r="G33" i="30" s="1"/>
  <c r="H33" i="30" s="1"/>
  <c r="I33" i="30" s="1"/>
  <c r="J33" i="30" s="1"/>
  <c r="K33" i="30" s="1"/>
  <c r="L33" i="30" s="1"/>
  <c r="M33" i="30" s="1"/>
  <c r="N33" i="30" s="1"/>
  <c r="O33" i="30" s="1"/>
  <c r="O18" i="30"/>
  <c r="N18" i="30"/>
  <c r="M18" i="30"/>
  <c r="L18" i="30"/>
  <c r="K18" i="30"/>
  <c r="J18" i="30"/>
  <c r="I18" i="30"/>
  <c r="H18" i="30"/>
  <c r="G18" i="30"/>
  <c r="F18" i="30"/>
  <c r="E18" i="30"/>
  <c r="D18" i="30"/>
  <c r="D19" i="30" s="1"/>
  <c r="E15" i="30"/>
  <c r="E19" i="30" s="1"/>
  <c r="E61" i="29"/>
  <c r="F61" i="29"/>
  <c r="F62" i="29" s="1"/>
  <c r="F63" i="29" s="1"/>
  <c r="F64" i="29" s="1"/>
  <c r="G61" i="29"/>
  <c r="H61" i="29"/>
  <c r="H62" i="29" s="1"/>
  <c r="H63" i="29" s="1"/>
  <c r="H64" i="29" s="1"/>
  <c r="I61" i="29"/>
  <c r="J61" i="29"/>
  <c r="K61" i="29"/>
  <c r="K76" i="29" s="1"/>
  <c r="K77" i="29" s="1"/>
  <c r="K78" i="29" s="1"/>
  <c r="K79" i="29" s="1"/>
  <c r="L61" i="29"/>
  <c r="L62" i="29" s="1"/>
  <c r="L63" i="29" s="1"/>
  <c r="L64" i="29" s="1"/>
  <c r="M61" i="29"/>
  <c r="N61" i="29"/>
  <c r="O61" i="29"/>
  <c r="P61" i="29"/>
  <c r="P76" i="29" s="1"/>
  <c r="P77" i="29" s="1"/>
  <c r="P78" i="29" s="1"/>
  <c r="P79" i="29" s="1"/>
  <c r="Q61" i="29"/>
  <c r="R61" i="29"/>
  <c r="R76" i="29" s="1"/>
  <c r="R77" i="29" s="1"/>
  <c r="R78" i="29" s="1"/>
  <c r="R79" i="29" s="1"/>
  <c r="S61" i="29"/>
  <c r="S76" i="29" s="1"/>
  <c r="S77" i="29" s="1"/>
  <c r="S78" i="29" s="1"/>
  <c r="S79" i="29" s="1"/>
  <c r="T61" i="29"/>
  <c r="T76" i="29" s="1"/>
  <c r="T77" i="29" s="1"/>
  <c r="T78" i="29" s="1"/>
  <c r="T79" i="29" s="1"/>
  <c r="U61" i="29"/>
  <c r="V61" i="29"/>
  <c r="V76" i="29" s="1"/>
  <c r="V77" i="29" s="1"/>
  <c r="V78" i="29" s="1"/>
  <c r="V79" i="29" s="1"/>
  <c r="W61" i="29"/>
  <c r="X61" i="29"/>
  <c r="X76" i="29" s="1"/>
  <c r="X77" i="29" s="1"/>
  <c r="X78" i="29" s="1"/>
  <c r="X79" i="29" s="1"/>
  <c r="Y61" i="29"/>
  <c r="Z61" i="29"/>
  <c r="D61" i="29"/>
  <c r="D62" i="29" s="1"/>
  <c r="D63" i="29" s="1"/>
  <c r="D64" i="29" s="1"/>
  <c r="Z76" i="29"/>
  <c r="Z77" i="29" s="1"/>
  <c r="Z78" i="29" s="1"/>
  <c r="Z79" i="29" s="1"/>
  <c r="J76" i="29"/>
  <c r="J77" i="29" s="1"/>
  <c r="J78" i="29" s="1"/>
  <c r="J79" i="29" s="1"/>
  <c r="O72" i="29"/>
  <c r="O73" i="29" s="1"/>
  <c r="N72" i="29"/>
  <c r="N73" i="29" s="1"/>
  <c r="M72" i="29"/>
  <c r="L72" i="29"/>
  <c r="K72" i="29"/>
  <c r="J72" i="29"/>
  <c r="I72" i="29"/>
  <c r="H72" i="29"/>
  <c r="G72" i="29"/>
  <c r="F72" i="29"/>
  <c r="E72" i="29"/>
  <c r="D72" i="29"/>
  <c r="D67" i="29"/>
  <c r="Z62" i="29"/>
  <c r="Z63" i="29" s="1"/>
  <c r="Z64" i="29" s="1"/>
  <c r="W62" i="29"/>
  <c r="W63" i="29" s="1"/>
  <c r="W64" i="29" s="1"/>
  <c r="O62" i="29"/>
  <c r="O63" i="29" s="1"/>
  <c r="O64" i="29" s="1"/>
  <c r="N62" i="29"/>
  <c r="N63" i="29" s="1"/>
  <c r="N64" i="29" s="1"/>
  <c r="J62" i="29"/>
  <c r="J63" i="29" s="1"/>
  <c r="J64" i="29" s="1"/>
  <c r="G62" i="29"/>
  <c r="G63" i="29" s="1"/>
  <c r="G64" i="29" s="1"/>
  <c r="Y76" i="29"/>
  <c r="Y77" i="29" s="1"/>
  <c r="Y78" i="29" s="1"/>
  <c r="Y79" i="29" s="1"/>
  <c r="W76" i="29"/>
  <c r="W77" i="29" s="1"/>
  <c r="W78" i="29" s="1"/>
  <c r="W79" i="29" s="1"/>
  <c r="U62" i="29"/>
  <c r="U63" i="29" s="1"/>
  <c r="U64" i="29" s="1"/>
  <c r="Q76" i="29"/>
  <c r="Q77" i="29" s="1"/>
  <c r="Q78" i="29" s="1"/>
  <c r="Q79" i="29" s="1"/>
  <c r="O76" i="29"/>
  <c r="O77" i="29" s="1"/>
  <c r="O78" i="29" s="1"/>
  <c r="O79" i="29" s="1"/>
  <c r="N76" i="29"/>
  <c r="N77" i="29" s="1"/>
  <c r="N78" i="29" s="1"/>
  <c r="N79" i="29" s="1"/>
  <c r="M62" i="29"/>
  <c r="M63" i="29" s="1"/>
  <c r="M64" i="29" s="1"/>
  <c r="I76" i="29"/>
  <c r="I77" i="29" s="1"/>
  <c r="I78" i="29" s="1"/>
  <c r="I79" i="29" s="1"/>
  <c r="G76" i="29"/>
  <c r="G77" i="29" s="1"/>
  <c r="G78" i="29" s="1"/>
  <c r="G79" i="29" s="1"/>
  <c r="F76" i="29"/>
  <c r="F77" i="29" s="1"/>
  <c r="F78" i="29" s="1"/>
  <c r="F79" i="29" s="1"/>
  <c r="E62" i="29"/>
  <c r="E63" i="29" s="1"/>
  <c r="E64" i="29" s="1"/>
  <c r="O36" i="29"/>
  <c r="N36" i="29"/>
  <c r="M36" i="29"/>
  <c r="L36" i="29"/>
  <c r="K36" i="29"/>
  <c r="J36" i="29"/>
  <c r="I36" i="29"/>
  <c r="H36" i="29"/>
  <c r="G36" i="29"/>
  <c r="F36" i="29"/>
  <c r="E36" i="29"/>
  <c r="D36" i="29"/>
  <c r="D37" i="29" s="1"/>
  <c r="E35" i="29"/>
  <c r="F35" i="29" s="1"/>
  <c r="G35" i="29" s="1"/>
  <c r="H35" i="29" s="1"/>
  <c r="I35" i="29" s="1"/>
  <c r="J35" i="29" s="1"/>
  <c r="K35" i="29" s="1"/>
  <c r="L35" i="29" s="1"/>
  <c r="M35" i="29" s="1"/>
  <c r="N35" i="29" s="1"/>
  <c r="O35" i="29" s="1"/>
  <c r="E33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D19" i="29" s="1"/>
  <c r="D39" i="29" s="1"/>
  <c r="E15" i="29"/>
  <c r="F15" i="29" s="1"/>
  <c r="E58" i="28"/>
  <c r="F58" i="28"/>
  <c r="F73" i="28" s="1"/>
  <c r="F74" i="28" s="1"/>
  <c r="F75" i="28" s="1"/>
  <c r="F76" i="28" s="1"/>
  <c r="G58" i="28"/>
  <c r="G73" i="28" s="1"/>
  <c r="G74" i="28" s="1"/>
  <c r="G75" i="28" s="1"/>
  <c r="G76" i="28" s="1"/>
  <c r="H58" i="28"/>
  <c r="H59" i="28" s="1"/>
  <c r="H60" i="28" s="1"/>
  <c r="H61" i="28" s="1"/>
  <c r="I58" i="28"/>
  <c r="I73" i="28" s="1"/>
  <c r="I74" i="28" s="1"/>
  <c r="I75" i="28" s="1"/>
  <c r="I76" i="28" s="1"/>
  <c r="J58" i="28"/>
  <c r="K58" i="28"/>
  <c r="K73" i="28" s="1"/>
  <c r="K74" i="28" s="1"/>
  <c r="K75" i="28" s="1"/>
  <c r="K76" i="28" s="1"/>
  <c r="L58" i="28"/>
  <c r="L59" i="28" s="1"/>
  <c r="L60" i="28" s="1"/>
  <c r="L61" i="28" s="1"/>
  <c r="M58" i="28"/>
  <c r="N58" i="28"/>
  <c r="N73" i="28" s="1"/>
  <c r="N74" i="28" s="1"/>
  <c r="N75" i="28" s="1"/>
  <c r="N76" i="28" s="1"/>
  <c r="O58" i="28"/>
  <c r="O73" i="28" s="1"/>
  <c r="O74" i="28" s="1"/>
  <c r="O75" i="28" s="1"/>
  <c r="O76" i="28" s="1"/>
  <c r="P58" i="28"/>
  <c r="P59" i="28" s="1"/>
  <c r="P60" i="28" s="1"/>
  <c r="P61" i="28" s="1"/>
  <c r="Q58" i="28"/>
  <c r="Q59" i="28" s="1"/>
  <c r="Q60" i="28" s="1"/>
  <c r="Q61" i="28" s="1"/>
  <c r="R58" i="28"/>
  <c r="R73" i="28" s="1"/>
  <c r="R74" i="28" s="1"/>
  <c r="R75" i="28" s="1"/>
  <c r="R76" i="28" s="1"/>
  <c r="S58" i="28"/>
  <c r="S73" i="28" s="1"/>
  <c r="S74" i="28" s="1"/>
  <c r="S75" i="28" s="1"/>
  <c r="S76" i="28" s="1"/>
  <c r="T58" i="28"/>
  <c r="T73" i="28" s="1"/>
  <c r="T74" i="28" s="1"/>
  <c r="T75" i="28" s="1"/>
  <c r="T76" i="28" s="1"/>
  <c r="U58" i="28"/>
  <c r="V58" i="28"/>
  <c r="V73" i="28" s="1"/>
  <c r="V74" i="28" s="1"/>
  <c r="V75" i="28" s="1"/>
  <c r="V76" i="28" s="1"/>
  <c r="W58" i="28"/>
  <c r="W73" i="28" s="1"/>
  <c r="W74" i="28" s="1"/>
  <c r="W75" i="28" s="1"/>
  <c r="W76" i="28" s="1"/>
  <c r="X58" i="28"/>
  <c r="X73" i="28" s="1"/>
  <c r="X74" i="28" s="1"/>
  <c r="X75" i="28" s="1"/>
  <c r="X76" i="28" s="1"/>
  <c r="Y58" i="28"/>
  <c r="Z58" i="28"/>
  <c r="Z59" i="28" s="1"/>
  <c r="Z60" i="28" s="1"/>
  <c r="Z61" i="28" s="1"/>
  <c r="D58" i="28"/>
  <c r="D73" i="28" s="1"/>
  <c r="D74" i="28" s="1"/>
  <c r="D75" i="28" s="1"/>
  <c r="D76" i="28" s="1"/>
  <c r="U73" i="28"/>
  <c r="U74" i="28" s="1"/>
  <c r="U75" i="28" s="1"/>
  <c r="U76" i="28" s="1"/>
  <c r="M73" i="28"/>
  <c r="M74" i="28" s="1"/>
  <c r="M75" i="28" s="1"/>
  <c r="M76" i="28" s="1"/>
  <c r="J73" i="28"/>
  <c r="J74" i="28" s="1"/>
  <c r="J75" i="28" s="1"/>
  <c r="J76" i="28" s="1"/>
  <c r="E73" i="28"/>
  <c r="E74" i="28" s="1"/>
  <c r="E75" i="28" s="1"/>
  <c r="E76" i="28" s="1"/>
  <c r="O69" i="28"/>
  <c r="O70" i="28" s="1"/>
  <c r="N69" i="28"/>
  <c r="M69" i="28"/>
  <c r="L69" i="28"/>
  <c r="K69" i="28"/>
  <c r="J69" i="28"/>
  <c r="I69" i="28"/>
  <c r="H69" i="28"/>
  <c r="G69" i="28"/>
  <c r="F69" i="28"/>
  <c r="E69" i="28"/>
  <c r="D69" i="28"/>
  <c r="D64" i="28"/>
  <c r="Y59" i="28"/>
  <c r="Y60" i="28" s="1"/>
  <c r="Y61" i="28" s="1"/>
  <c r="J59" i="28"/>
  <c r="J60" i="28" s="1"/>
  <c r="J61" i="28" s="1"/>
  <c r="I59" i="28"/>
  <c r="I60" i="28" s="1"/>
  <c r="I61" i="28" s="1"/>
  <c r="Y73" i="28"/>
  <c r="Y74" i="28" s="1"/>
  <c r="Y75" i="28" s="1"/>
  <c r="Y76" i="28" s="1"/>
  <c r="U59" i="28"/>
  <c r="U60" i="28" s="1"/>
  <c r="U61" i="28" s="1"/>
  <c r="S59" i="28"/>
  <c r="S60" i="28" s="1"/>
  <c r="S61" i="28" s="1"/>
  <c r="Q73" i="28"/>
  <c r="Q74" i="28" s="1"/>
  <c r="Q75" i="28" s="1"/>
  <c r="Q76" i="28" s="1"/>
  <c r="P73" i="28"/>
  <c r="P74" i="28" s="1"/>
  <c r="P75" i="28" s="1"/>
  <c r="P76" i="28" s="1"/>
  <c r="M59" i="28"/>
  <c r="M60" i="28" s="1"/>
  <c r="M61" i="28" s="1"/>
  <c r="K59" i="28"/>
  <c r="K60" i="28" s="1"/>
  <c r="K61" i="28" s="1"/>
  <c r="F59" i="28"/>
  <c r="F60" i="28" s="1"/>
  <c r="F61" i="28" s="1"/>
  <c r="E59" i="28"/>
  <c r="E60" i="28" s="1"/>
  <c r="E61" i="28" s="1"/>
  <c r="D59" i="28"/>
  <c r="D60" i="28" s="1"/>
  <c r="D61" i="28" s="1"/>
  <c r="O34" i="28"/>
  <c r="N34" i="28"/>
  <c r="M34" i="28"/>
  <c r="L34" i="28"/>
  <c r="K34" i="28"/>
  <c r="J34" i="28"/>
  <c r="I34" i="28"/>
  <c r="H34" i="28"/>
  <c r="G34" i="28"/>
  <c r="F34" i="28"/>
  <c r="E34" i="28"/>
  <c r="D34" i="28"/>
  <c r="D35" i="28" s="1"/>
  <c r="E33" i="28"/>
  <c r="F33" i="28" s="1"/>
  <c r="G33" i="28" s="1"/>
  <c r="H33" i="28" s="1"/>
  <c r="I33" i="28" s="1"/>
  <c r="J33" i="28" s="1"/>
  <c r="K33" i="28" s="1"/>
  <c r="L33" i="28" s="1"/>
  <c r="M33" i="28" s="1"/>
  <c r="N33" i="28" s="1"/>
  <c r="O33" i="28" s="1"/>
  <c r="E31" i="28"/>
  <c r="F31" i="28" s="1"/>
  <c r="O18" i="28"/>
  <c r="N18" i="28"/>
  <c r="M18" i="28"/>
  <c r="L18" i="28"/>
  <c r="K18" i="28"/>
  <c r="J18" i="28"/>
  <c r="I18" i="28"/>
  <c r="H18" i="28"/>
  <c r="G18" i="28"/>
  <c r="F18" i="28"/>
  <c r="E18" i="28"/>
  <c r="D18" i="28"/>
  <c r="D19" i="28" s="1"/>
  <c r="D37" i="28" s="1"/>
  <c r="E15" i="28"/>
  <c r="D31" i="27"/>
  <c r="D15" i="27"/>
  <c r="E59" i="27"/>
  <c r="E60" i="27" s="1"/>
  <c r="E61" i="27" s="1"/>
  <c r="E62" i="27" s="1"/>
  <c r="F59" i="27"/>
  <c r="F60" i="27" s="1"/>
  <c r="F61" i="27" s="1"/>
  <c r="F62" i="27" s="1"/>
  <c r="G59" i="27"/>
  <c r="G74" i="27" s="1"/>
  <c r="G75" i="27" s="1"/>
  <c r="G76" i="27" s="1"/>
  <c r="G77" i="27" s="1"/>
  <c r="H59" i="27"/>
  <c r="H74" i="27" s="1"/>
  <c r="H75" i="27" s="1"/>
  <c r="H76" i="27" s="1"/>
  <c r="H77" i="27" s="1"/>
  <c r="I59" i="27"/>
  <c r="I60" i="27" s="1"/>
  <c r="I61" i="27" s="1"/>
  <c r="I62" i="27" s="1"/>
  <c r="J59" i="27"/>
  <c r="J74" i="27" s="1"/>
  <c r="J75" i="27" s="1"/>
  <c r="J76" i="27" s="1"/>
  <c r="J77" i="27" s="1"/>
  <c r="K59" i="27"/>
  <c r="K74" i="27" s="1"/>
  <c r="K75" i="27" s="1"/>
  <c r="K76" i="27" s="1"/>
  <c r="K77" i="27" s="1"/>
  <c r="L59" i="27"/>
  <c r="L60" i="27" s="1"/>
  <c r="L61" i="27" s="1"/>
  <c r="L62" i="27" s="1"/>
  <c r="M59" i="27"/>
  <c r="M74" i="27" s="1"/>
  <c r="M75" i="27" s="1"/>
  <c r="M76" i="27" s="1"/>
  <c r="M77" i="27" s="1"/>
  <c r="N59" i="27"/>
  <c r="N60" i="27" s="1"/>
  <c r="N61" i="27" s="1"/>
  <c r="N62" i="27" s="1"/>
  <c r="O59" i="27"/>
  <c r="O74" i="27" s="1"/>
  <c r="O75" i="27" s="1"/>
  <c r="O76" i="27" s="1"/>
  <c r="O77" i="27" s="1"/>
  <c r="P59" i="27"/>
  <c r="P74" i="27" s="1"/>
  <c r="P75" i="27" s="1"/>
  <c r="P76" i="27" s="1"/>
  <c r="P77" i="27" s="1"/>
  <c r="Q59" i="27"/>
  <c r="Q60" i="27" s="1"/>
  <c r="Q61" i="27" s="1"/>
  <c r="Q62" i="27" s="1"/>
  <c r="R59" i="27"/>
  <c r="R74" i="27" s="1"/>
  <c r="R75" i="27" s="1"/>
  <c r="R76" i="27" s="1"/>
  <c r="R77" i="27" s="1"/>
  <c r="S59" i="27"/>
  <c r="S74" i="27" s="1"/>
  <c r="S75" i="27" s="1"/>
  <c r="S76" i="27" s="1"/>
  <c r="S77" i="27" s="1"/>
  <c r="T59" i="27"/>
  <c r="T60" i="27" s="1"/>
  <c r="T61" i="27" s="1"/>
  <c r="T62" i="27" s="1"/>
  <c r="U59" i="27"/>
  <c r="U74" i="27" s="1"/>
  <c r="U75" i="27" s="1"/>
  <c r="U76" i="27" s="1"/>
  <c r="U77" i="27" s="1"/>
  <c r="V59" i="27"/>
  <c r="V60" i="27" s="1"/>
  <c r="V61" i="27" s="1"/>
  <c r="V62" i="27" s="1"/>
  <c r="W59" i="27"/>
  <c r="W74" i="27" s="1"/>
  <c r="W75" i="27" s="1"/>
  <c r="W76" i="27" s="1"/>
  <c r="W77" i="27" s="1"/>
  <c r="X59" i="27"/>
  <c r="X74" i="27" s="1"/>
  <c r="X75" i="27" s="1"/>
  <c r="X76" i="27" s="1"/>
  <c r="X77" i="27" s="1"/>
  <c r="Y59" i="27"/>
  <c r="Y60" i="27" s="1"/>
  <c r="Y61" i="27" s="1"/>
  <c r="Y62" i="27" s="1"/>
  <c r="Z59" i="27"/>
  <c r="Z74" i="27" s="1"/>
  <c r="Z75" i="27" s="1"/>
  <c r="Z76" i="27" s="1"/>
  <c r="Z77" i="27" s="1"/>
  <c r="D59" i="27"/>
  <c r="D74" i="27" s="1"/>
  <c r="D75" i="27" s="1"/>
  <c r="D76" i="27" s="1"/>
  <c r="D77" i="27" s="1"/>
  <c r="O70" i="27"/>
  <c r="O71" i="27" s="1"/>
  <c r="N70" i="27"/>
  <c r="M70" i="27"/>
  <c r="L70" i="27"/>
  <c r="K70" i="27"/>
  <c r="J70" i="27"/>
  <c r="I70" i="27"/>
  <c r="H70" i="27"/>
  <c r="G70" i="27"/>
  <c r="F70" i="27"/>
  <c r="E70" i="27"/>
  <c r="D70" i="27"/>
  <c r="D65" i="27"/>
  <c r="X60" i="27"/>
  <c r="X61" i="27" s="1"/>
  <c r="X62" i="27" s="1"/>
  <c r="P60" i="27"/>
  <c r="P61" i="27" s="1"/>
  <c r="P62" i="27" s="1"/>
  <c r="H60" i="27"/>
  <c r="H61" i="27" s="1"/>
  <c r="H62" i="27" s="1"/>
  <c r="D60" i="27"/>
  <c r="D61" i="27" s="1"/>
  <c r="D62" i="27" s="1"/>
  <c r="S60" i="27"/>
  <c r="S61" i="27" s="1"/>
  <c r="S62" i="27" s="1"/>
  <c r="K60" i="27"/>
  <c r="K61" i="27" s="1"/>
  <c r="K62" i="27" s="1"/>
  <c r="D34" i="27"/>
  <c r="E33" i="27"/>
  <c r="F33" i="27" s="1"/>
  <c r="G33" i="27" s="1"/>
  <c r="H33" i="27" s="1"/>
  <c r="I33" i="27" s="1"/>
  <c r="J33" i="27" s="1"/>
  <c r="K33" i="27" s="1"/>
  <c r="L33" i="27" s="1"/>
  <c r="M33" i="27" s="1"/>
  <c r="N33" i="27" s="1"/>
  <c r="O33" i="27" s="1"/>
  <c r="E31" i="27"/>
  <c r="F31" i="27" s="1"/>
  <c r="G31" i="27" s="1"/>
  <c r="H31" i="27" s="1"/>
  <c r="I31" i="27" s="1"/>
  <c r="J31" i="27" s="1"/>
  <c r="K31" i="27" s="1"/>
  <c r="L31" i="27" s="1"/>
  <c r="M31" i="27" s="1"/>
  <c r="N31" i="27" s="1"/>
  <c r="O31" i="27" s="1"/>
  <c r="E34" i="27"/>
  <c r="E18" i="27"/>
  <c r="D18" i="27"/>
  <c r="D19" i="27" s="1"/>
  <c r="E15" i="27"/>
  <c r="F15" i="27" s="1"/>
  <c r="G15" i="27" s="1"/>
  <c r="H15" i="27" s="1"/>
  <c r="I15" i="27" s="1"/>
  <c r="J15" i="27" s="1"/>
  <c r="K15" i="27" s="1"/>
  <c r="L15" i="27" s="1"/>
  <c r="M15" i="27" s="1"/>
  <c r="N15" i="27" s="1"/>
  <c r="O15" i="27" s="1"/>
  <c r="D15" i="26"/>
  <c r="E64" i="26"/>
  <c r="E65" i="26" s="1"/>
  <c r="E66" i="26" s="1"/>
  <c r="E67" i="26" s="1"/>
  <c r="F64" i="26"/>
  <c r="F65" i="26" s="1"/>
  <c r="F66" i="26" s="1"/>
  <c r="F67" i="26" s="1"/>
  <c r="G64" i="26"/>
  <c r="G65" i="26" s="1"/>
  <c r="G66" i="26" s="1"/>
  <c r="G67" i="26" s="1"/>
  <c r="H64" i="26"/>
  <c r="H79" i="26" s="1"/>
  <c r="H80" i="26" s="1"/>
  <c r="H81" i="26" s="1"/>
  <c r="H82" i="26" s="1"/>
  <c r="I64" i="26"/>
  <c r="I79" i="26" s="1"/>
  <c r="I80" i="26" s="1"/>
  <c r="I81" i="26" s="1"/>
  <c r="I82" i="26" s="1"/>
  <c r="J64" i="26"/>
  <c r="J79" i="26" s="1"/>
  <c r="J80" i="26" s="1"/>
  <c r="J81" i="26" s="1"/>
  <c r="J82" i="26" s="1"/>
  <c r="K64" i="26"/>
  <c r="K79" i="26" s="1"/>
  <c r="K80" i="26" s="1"/>
  <c r="K81" i="26" s="1"/>
  <c r="K82" i="26" s="1"/>
  <c r="L64" i="26"/>
  <c r="L65" i="26" s="1"/>
  <c r="L66" i="26" s="1"/>
  <c r="L67" i="26" s="1"/>
  <c r="M64" i="26"/>
  <c r="M79" i="26" s="1"/>
  <c r="M80" i="26" s="1"/>
  <c r="M81" i="26" s="1"/>
  <c r="M82" i="26" s="1"/>
  <c r="N64" i="26"/>
  <c r="N79" i="26" s="1"/>
  <c r="N80" i="26" s="1"/>
  <c r="N81" i="26" s="1"/>
  <c r="N82" i="26" s="1"/>
  <c r="O64" i="26"/>
  <c r="O65" i="26" s="1"/>
  <c r="O66" i="26" s="1"/>
  <c r="O67" i="26" s="1"/>
  <c r="P64" i="26"/>
  <c r="P79" i="26" s="1"/>
  <c r="P80" i="26" s="1"/>
  <c r="P81" i="26" s="1"/>
  <c r="P82" i="26" s="1"/>
  <c r="Q64" i="26"/>
  <c r="Q79" i="26" s="1"/>
  <c r="Q80" i="26" s="1"/>
  <c r="Q81" i="26" s="1"/>
  <c r="Q82" i="26" s="1"/>
  <c r="R64" i="26"/>
  <c r="R79" i="26" s="1"/>
  <c r="R80" i="26" s="1"/>
  <c r="R81" i="26" s="1"/>
  <c r="R82" i="26" s="1"/>
  <c r="S64" i="26"/>
  <c r="S79" i="26" s="1"/>
  <c r="S80" i="26" s="1"/>
  <c r="S81" i="26" s="1"/>
  <c r="S82" i="26" s="1"/>
  <c r="D64" i="26"/>
  <c r="D65" i="26" s="1"/>
  <c r="D66" i="26" s="1"/>
  <c r="D67" i="26" s="1"/>
  <c r="O75" i="26"/>
  <c r="O76" i="26" s="1"/>
  <c r="N75" i="26"/>
  <c r="N76" i="26" s="1"/>
  <c r="M75" i="26"/>
  <c r="M76" i="26" s="1"/>
  <c r="L75" i="26"/>
  <c r="K75" i="26"/>
  <c r="J75" i="26"/>
  <c r="I75" i="26"/>
  <c r="H75" i="26"/>
  <c r="G75" i="26"/>
  <c r="F75" i="26"/>
  <c r="E75" i="26"/>
  <c r="D75" i="26"/>
  <c r="D70" i="26"/>
  <c r="Z64" i="26"/>
  <c r="Z65" i="26" s="1"/>
  <c r="Z66" i="26" s="1"/>
  <c r="Z67" i="26" s="1"/>
  <c r="Y64" i="26"/>
  <c r="Y65" i="26" s="1"/>
  <c r="Y66" i="26" s="1"/>
  <c r="Y67" i="26" s="1"/>
  <c r="X64" i="26"/>
  <c r="X79" i="26" s="1"/>
  <c r="X80" i="26" s="1"/>
  <c r="X81" i="26" s="1"/>
  <c r="X82" i="26" s="1"/>
  <c r="W64" i="26"/>
  <c r="W79" i="26" s="1"/>
  <c r="W80" i="26" s="1"/>
  <c r="W81" i="26" s="1"/>
  <c r="W82" i="26" s="1"/>
  <c r="V64" i="26"/>
  <c r="V65" i="26" s="1"/>
  <c r="V66" i="26" s="1"/>
  <c r="V67" i="26" s="1"/>
  <c r="U64" i="26"/>
  <c r="U79" i="26" s="1"/>
  <c r="U80" i="26" s="1"/>
  <c r="U81" i="26" s="1"/>
  <c r="U82" i="26" s="1"/>
  <c r="T64" i="26"/>
  <c r="T65" i="26" s="1"/>
  <c r="T66" i="26" s="1"/>
  <c r="T67" i="26" s="1"/>
  <c r="R65" i="26"/>
  <c r="R66" i="26" s="1"/>
  <c r="R67" i="26" s="1"/>
  <c r="J65" i="26"/>
  <c r="J66" i="26" s="1"/>
  <c r="J67" i="26" s="1"/>
  <c r="O34" i="26"/>
  <c r="N34" i="26"/>
  <c r="M34" i="26"/>
  <c r="L34" i="26"/>
  <c r="K34" i="26"/>
  <c r="J34" i="26"/>
  <c r="I34" i="26"/>
  <c r="H34" i="26"/>
  <c r="G34" i="26"/>
  <c r="F34" i="26"/>
  <c r="E34" i="26"/>
  <c r="D34" i="26"/>
  <c r="D35" i="26" s="1"/>
  <c r="E33" i="26"/>
  <c r="F33" i="26" s="1"/>
  <c r="G33" i="26" s="1"/>
  <c r="H33" i="26" s="1"/>
  <c r="I33" i="26" s="1"/>
  <c r="J33" i="26" s="1"/>
  <c r="K33" i="26" s="1"/>
  <c r="L33" i="26" s="1"/>
  <c r="M33" i="26" s="1"/>
  <c r="N33" i="26" s="1"/>
  <c r="O33" i="26" s="1"/>
  <c r="E31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E15" i="26"/>
  <c r="D31" i="25"/>
  <c r="D15" i="25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E74" i="25"/>
  <c r="E75" i="25" s="1"/>
  <c r="E76" i="25" s="1"/>
  <c r="E77" i="25" s="1"/>
  <c r="F74" i="25"/>
  <c r="F75" i="25" s="1"/>
  <c r="F76" i="25" s="1"/>
  <c r="F77" i="25" s="1"/>
  <c r="G74" i="25"/>
  <c r="H74" i="25"/>
  <c r="I74" i="25"/>
  <c r="I75" i="25" s="1"/>
  <c r="I76" i="25" s="1"/>
  <c r="I77" i="25" s="1"/>
  <c r="J74" i="25"/>
  <c r="J75" i="25" s="1"/>
  <c r="J76" i="25" s="1"/>
  <c r="J77" i="25" s="1"/>
  <c r="K74" i="25"/>
  <c r="K75" i="25" s="1"/>
  <c r="K76" i="25" s="1"/>
  <c r="K77" i="25" s="1"/>
  <c r="L74" i="25"/>
  <c r="L75" i="25" s="1"/>
  <c r="L76" i="25" s="1"/>
  <c r="L77" i="25" s="1"/>
  <c r="M74" i="25"/>
  <c r="M75" i="25" s="1"/>
  <c r="M76" i="25" s="1"/>
  <c r="M77" i="25" s="1"/>
  <c r="N74" i="25"/>
  <c r="N75" i="25" s="1"/>
  <c r="N76" i="25" s="1"/>
  <c r="N77" i="25" s="1"/>
  <c r="O74" i="25"/>
  <c r="O75" i="25" s="1"/>
  <c r="P74" i="25"/>
  <c r="Q74" i="25"/>
  <c r="R74" i="25"/>
  <c r="S74" i="25"/>
  <c r="T74" i="25"/>
  <c r="U74" i="25"/>
  <c r="V74" i="25"/>
  <c r="W74" i="25"/>
  <c r="X74" i="25"/>
  <c r="Y74" i="25"/>
  <c r="Z74" i="25"/>
  <c r="D74" i="25"/>
  <c r="D75" i="25" s="1"/>
  <c r="D76" i="25" s="1"/>
  <c r="D77" i="25" s="1"/>
  <c r="E59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U59" i="25"/>
  <c r="V59" i="25"/>
  <c r="W59" i="25"/>
  <c r="X59" i="25"/>
  <c r="Y59" i="25"/>
  <c r="Z59" i="25"/>
  <c r="D59" i="25"/>
  <c r="D60" i="25" s="1"/>
  <c r="D61" i="25" s="1"/>
  <c r="H75" i="25"/>
  <c r="H76" i="25" s="1"/>
  <c r="H77" i="25" s="1"/>
  <c r="G75" i="25"/>
  <c r="G76" i="25" s="1"/>
  <c r="G77" i="25" s="1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D65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E33" i="25"/>
  <c r="F33" i="25" s="1"/>
  <c r="G33" i="25" s="1"/>
  <c r="H33" i="25" s="1"/>
  <c r="I33" i="25" s="1"/>
  <c r="J33" i="25" s="1"/>
  <c r="K33" i="25" s="1"/>
  <c r="L33" i="25" s="1"/>
  <c r="M33" i="25" s="1"/>
  <c r="N33" i="25" s="1"/>
  <c r="O33" i="25" s="1"/>
  <c r="E25" i="25"/>
  <c r="F25" i="25" s="1"/>
  <c r="G25" i="25" s="1"/>
  <c r="H25" i="25" s="1"/>
  <c r="I25" i="25" s="1"/>
  <c r="J25" i="25" s="1"/>
  <c r="K25" i="25" s="1"/>
  <c r="L25" i="25" s="1"/>
  <c r="M25" i="25" s="1"/>
  <c r="N25" i="25" s="1"/>
  <c r="O25" i="25" s="1"/>
  <c r="O18" i="25"/>
  <c r="N18" i="25"/>
  <c r="M18" i="25"/>
  <c r="L18" i="25"/>
  <c r="K18" i="25"/>
  <c r="J18" i="25"/>
  <c r="I18" i="25"/>
  <c r="H18" i="25"/>
  <c r="G18" i="25"/>
  <c r="F18" i="25"/>
  <c r="E18" i="25"/>
  <c r="D18" i="25"/>
  <c r="E8" i="25"/>
  <c r="D8" i="25"/>
  <c r="O7" i="25"/>
  <c r="O8" i="25" s="1"/>
  <c r="N7" i="25"/>
  <c r="N8" i="25" s="1"/>
  <c r="M7" i="25"/>
  <c r="M8" i="25" s="1"/>
  <c r="L7" i="25"/>
  <c r="L8" i="25" s="1"/>
  <c r="K7" i="25"/>
  <c r="K8" i="25" s="1"/>
  <c r="J7" i="25"/>
  <c r="J8" i="25" s="1"/>
  <c r="I7" i="25"/>
  <c r="I8" i="25" s="1"/>
  <c r="H7" i="25"/>
  <c r="H8" i="25" s="1"/>
  <c r="G7" i="25"/>
  <c r="G8" i="25" s="1"/>
  <c r="F7" i="25"/>
  <c r="F8" i="25" s="1"/>
  <c r="D31" i="24"/>
  <c r="E31" i="24" s="1"/>
  <c r="E73" i="24"/>
  <c r="E74" i="24" s="1"/>
  <c r="E75" i="24" s="1"/>
  <c r="E76" i="24" s="1"/>
  <c r="F73" i="24"/>
  <c r="F74" i="24" s="1"/>
  <c r="F75" i="24" s="1"/>
  <c r="F76" i="24" s="1"/>
  <c r="G73" i="24"/>
  <c r="G74" i="24" s="1"/>
  <c r="G75" i="24" s="1"/>
  <c r="G76" i="24" s="1"/>
  <c r="H73" i="24"/>
  <c r="H74" i="24" s="1"/>
  <c r="H75" i="24" s="1"/>
  <c r="H76" i="24" s="1"/>
  <c r="I73" i="24"/>
  <c r="I74" i="24" s="1"/>
  <c r="I75" i="24" s="1"/>
  <c r="I76" i="24" s="1"/>
  <c r="J73" i="24"/>
  <c r="J74" i="24" s="1"/>
  <c r="J75" i="24" s="1"/>
  <c r="J76" i="24" s="1"/>
  <c r="K73" i="24"/>
  <c r="K74" i="24" s="1"/>
  <c r="K75" i="24" s="1"/>
  <c r="K76" i="24" s="1"/>
  <c r="L73" i="24"/>
  <c r="L74" i="24" s="1"/>
  <c r="L75" i="24" s="1"/>
  <c r="L76" i="24" s="1"/>
  <c r="M73" i="24"/>
  <c r="M74" i="24" s="1"/>
  <c r="M75" i="24" s="1"/>
  <c r="M76" i="24" s="1"/>
  <c r="N73" i="24"/>
  <c r="N74" i="24" s="1"/>
  <c r="N75" i="24" s="1"/>
  <c r="N76" i="24" s="1"/>
  <c r="O73" i="24"/>
  <c r="O74" i="24" s="1"/>
  <c r="P73" i="24"/>
  <c r="Q73" i="24"/>
  <c r="R73" i="24"/>
  <c r="S73" i="24"/>
  <c r="T73" i="24"/>
  <c r="U73" i="24"/>
  <c r="V73" i="24"/>
  <c r="W73" i="24"/>
  <c r="X73" i="24"/>
  <c r="Y73" i="24"/>
  <c r="Z73" i="24"/>
  <c r="D73" i="24"/>
  <c r="D74" i="24" s="1"/>
  <c r="D75" i="24" s="1"/>
  <c r="D76" i="24" s="1"/>
  <c r="D15" i="24"/>
  <c r="D58" i="24"/>
  <c r="D59" i="24" s="1"/>
  <c r="D60" i="24" s="1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D64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D35" i="24" s="1"/>
  <c r="E33" i="24"/>
  <c r="F33" i="24" s="1"/>
  <c r="G33" i="24" s="1"/>
  <c r="H33" i="24" s="1"/>
  <c r="I33" i="24" s="1"/>
  <c r="J33" i="24" s="1"/>
  <c r="K33" i="24" s="1"/>
  <c r="L33" i="24" s="1"/>
  <c r="M33" i="24" s="1"/>
  <c r="N33" i="24" s="1"/>
  <c r="O33" i="24" s="1"/>
  <c r="E25" i="24"/>
  <c r="F25" i="24" s="1"/>
  <c r="G25" i="24" s="1"/>
  <c r="H25" i="24" s="1"/>
  <c r="I25" i="24" s="1"/>
  <c r="J25" i="24" s="1"/>
  <c r="K25" i="24" s="1"/>
  <c r="L25" i="24" s="1"/>
  <c r="M25" i="24" s="1"/>
  <c r="N25" i="24" s="1"/>
  <c r="O25" i="24" s="1"/>
  <c r="O18" i="24"/>
  <c r="N18" i="24"/>
  <c r="M18" i="24"/>
  <c r="L18" i="24"/>
  <c r="K18" i="24"/>
  <c r="J18" i="24"/>
  <c r="I18" i="24"/>
  <c r="H18" i="24"/>
  <c r="G18" i="24"/>
  <c r="F18" i="24"/>
  <c r="E18" i="24"/>
  <c r="D18" i="24"/>
  <c r="E15" i="24"/>
  <c r="E8" i="24"/>
  <c r="D8" i="24"/>
  <c r="O7" i="24"/>
  <c r="O8" i="24" s="1"/>
  <c r="N7" i="24"/>
  <c r="N8" i="24" s="1"/>
  <c r="M7" i="24"/>
  <c r="M8" i="24" s="1"/>
  <c r="L7" i="24"/>
  <c r="L8" i="24" s="1"/>
  <c r="K7" i="24"/>
  <c r="K8" i="24" s="1"/>
  <c r="J7" i="24"/>
  <c r="J8" i="24" s="1"/>
  <c r="I7" i="24"/>
  <c r="I8" i="24" s="1"/>
  <c r="H7" i="24"/>
  <c r="H8" i="24" s="1"/>
  <c r="G7" i="24"/>
  <c r="G8" i="24" s="1"/>
  <c r="F7" i="24"/>
  <c r="F8" i="24" s="1"/>
  <c r="E60" i="23"/>
  <c r="E75" i="23" s="1"/>
  <c r="E76" i="23" s="1"/>
  <c r="E77" i="23" s="1"/>
  <c r="E78" i="23" s="1"/>
  <c r="F60" i="23"/>
  <c r="F75" i="23" s="1"/>
  <c r="F76" i="23" s="1"/>
  <c r="F77" i="23" s="1"/>
  <c r="F78" i="23" s="1"/>
  <c r="G60" i="23"/>
  <c r="G75" i="23" s="1"/>
  <c r="G76" i="23" s="1"/>
  <c r="G77" i="23" s="1"/>
  <c r="G78" i="23" s="1"/>
  <c r="H60" i="23"/>
  <c r="H75" i="23" s="1"/>
  <c r="H76" i="23" s="1"/>
  <c r="H77" i="23" s="1"/>
  <c r="H78" i="23" s="1"/>
  <c r="I60" i="23"/>
  <c r="I61" i="23" s="1"/>
  <c r="I62" i="23" s="1"/>
  <c r="I63" i="23" s="1"/>
  <c r="J60" i="23"/>
  <c r="J61" i="23" s="1"/>
  <c r="J62" i="23" s="1"/>
  <c r="J63" i="23" s="1"/>
  <c r="K60" i="23"/>
  <c r="K61" i="23" s="1"/>
  <c r="K62" i="23" s="1"/>
  <c r="K63" i="23" s="1"/>
  <c r="L60" i="23"/>
  <c r="L61" i="23" s="1"/>
  <c r="L62" i="23" s="1"/>
  <c r="L63" i="23" s="1"/>
  <c r="M60" i="23"/>
  <c r="M61" i="23" s="1"/>
  <c r="M62" i="23" s="1"/>
  <c r="M63" i="23" s="1"/>
  <c r="N60" i="23"/>
  <c r="N75" i="23" s="1"/>
  <c r="N76" i="23" s="1"/>
  <c r="N77" i="23" s="1"/>
  <c r="N78" i="23" s="1"/>
  <c r="O60" i="23"/>
  <c r="O75" i="23" s="1"/>
  <c r="O76" i="23" s="1"/>
  <c r="O77" i="23" s="1"/>
  <c r="O78" i="23" s="1"/>
  <c r="P60" i="23"/>
  <c r="P75" i="23" s="1"/>
  <c r="P76" i="23" s="1"/>
  <c r="P77" i="23" s="1"/>
  <c r="P78" i="23" s="1"/>
  <c r="Q60" i="23"/>
  <c r="Q75" i="23" s="1"/>
  <c r="Q76" i="23" s="1"/>
  <c r="Q77" i="23" s="1"/>
  <c r="Q78" i="23" s="1"/>
  <c r="R60" i="23"/>
  <c r="R75" i="23" s="1"/>
  <c r="R76" i="23" s="1"/>
  <c r="R77" i="23" s="1"/>
  <c r="R78" i="23" s="1"/>
  <c r="S60" i="23"/>
  <c r="S61" i="23" s="1"/>
  <c r="S62" i="23" s="1"/>
  <c r="S63" i="23" s="1"/>
  <c r="T60" i="23"/>
  <c r="T61" i="23" s="1"/>
  <c r="T62" i="23" s="1"/>
  <c r="T63" i="23" s="1"/>
  <c r="U60" i="23"/>
  <c r="U75" i="23" s="1"/>
  <c r="U76" i="23" s="1"/>
  <c r="U77" i="23" s="1"/>
  <c r="U78" i="23" s="1"/>
  <c r="V60" i="23"/>
  <c r="V75" i="23" s="1"/>
  <c r="V76" i="23" s="1"/>
  <c r="V77" i="23" s="1"/>
  <c r="V78" i="23" s="1"/>
  <c r="W60" i="23"/>
  <c r="W75" i="23" s="1"/>
  <c r="W76" i="23" s="1"/>
  <c r="W77" i="23" s="1"/>
  <c r="W78" i="23" s="1"/>
  <c r="X60" i="23"/>
  <c r="X75" i="23" s="1"/>
  <c r="X76" i="23" s="1"/>
  <c r="X77" i="23" s="1"/>
  <c r="X78" i="23" s="1"/>
  <c r="Y60" i="23"/>
  <c r="Y61" i="23" s="1"/>
  <c r="Y62" i="23" s="1"/>
  <c r="Y63" i="23" s="1"/>
  <c r="Z60" i="23"/>
  <c r="Z61" i="23" s="1"/>
  <c r="Z62" i="23" s="1"/>
  <c r="Z63" i="23" s="1"/>
  <c r="D60" i="23"/>
  <c r="D75" i="23" s="1"/>
  <c r="D76" i="23" s="1"/>
  <c r="D77" i="23" s="1"/>
  <c r="D78" i="23" s="1"/>
  <c r="O71" i="23"/>
  <c r="O72" i="23" s="1"/>
  <c r="N71" i="23"/>
  <c r="M71" i="23"/>
  <c r="L71" i="23"/>
  <c r="K71" i="23"/>
  <c r="J71" i="23"/>
  <c r="I71" i="23"/>
  <c r="H71" i="23"/>
  <c r="G71" i="23"/>
  <c r="F71" i="23"/>
  <c r="E71" i="23"/>
  <c r="D71" i="23"/>
  <c r="D66" i="23"/>
  <c r="X61" i="23"/>
  <c r="X62" i="23" s="1"/>
  <c r="X63" i="23" s="1"/>
  <c r="D61" i="23"/>
  <c r="D62" i="23" s="1"/>
  <c r="D63" i="23" s="1"/>
  <c r="R61" i="23"/>
  <c r="R62" i="23" s="1"/>
  <c r="R63" i="23" s="1"/>
  <c r="O61" i="23"/>
  <c r="O62" i="23" s="1"/>
  <c r="O63" i="23" s="1"/>
  <c r="D34" i="23"/>
  <c r="E33" i="23"/>
  <c r="F33" i="23" s="1"/>
  <c r="G33" i="23" s="1"/>
  <c r="H33" i="23" s="1"/>
  <c r="I33" i="23" s="1"/>
  <c r="J33" i="23" s="1"/>
  <c r="K33" i="23" s="1"/>
  <c r="L33" i="23" s="1"/>
  <c r="M33" i="23" s="1"/>
  <c r="N33" i="23" s="1"/>
  <c r="O33" i="23" s="1"/>
  <c r="E31" i="23"/>
  <c r="F31" i="23" s="1"/>
  <c r="G31" i="23" s="1"/>
  <c r="H31" i="23" s="1"/>
  <c r="I31" i="23" s="1"/>
  <c r="J31" i="23" s="1"/>
  <c r="K31" i="23" s="1"/>
  <c r="L31" i="23" s="1"/>
  <c r="M31" i="23" s="1"/>
  <c r="N31" i="23" s="1"/>
  <c r="O31" i="23" s="1"/>
  <c r="E34" i="23"/>
  <c r="D18" i="23"/>
  <c r="D19" i="23" s="1"/>
  <c r="E15" i="23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G18" i="23"/>
  <c r="F18" i="23"/>
  <c r="E18" i="23"/>
  <c r="D33" i="21"/>
  <c r="E33" i="21" s="1"/>
  <c r="D15" i="21"/>
  <c r="E15" i="21" s="1"/>
  <c r="F15" i="21" s="1"/>
  <c r="D68" i="21"/>
  <c r="D15" i="19"/>
  <c r="E15" i="19" s="1"/>
  <c r="F15" i="19" s="1"/>
  <c r="E77" i="21"/>
  <c r="F77" i="21"/>
  <c r="G77" i="21"/>
  <c r="H77" i="21"/>
  <c r="H78" i="21" s="1"/>
  <c r="H79" i="21" s="1"/>
  <c r="H80" i="21" s="1"/>
  <c r="I77" i="21"/>
  <c r="J77" i="21"/>
  <c r="J78" i="21" s="1"/>
  <c r="J79" i="21" s="1"/>
  <c r="J80" i="21" s="1"/>
  <c r="K77" i="21"/>
  <c r="K78" i="21" s="1"/>
  <c r="K79" i="21" s="1"/>
  <c r="K80" i="21" s="1"/>
  <c r="L77" i="21"/>
  <c r="L78" i="21" s="1"/>
  <c r="L79" i="21" s="1"/>
  <c r="L80" i="21" s="1"/>
  <c r="M77" i="21"/>
  <c r="N77" i="21"/>
  <c r="O77" i="21"/>
  <c r="P77" i="21"/>
  <c r="P78" i="21" s="1"/>
  <c r="P79" i="21" s="1"/>
  <c r="P80" i="21" s="1"/>
  <c r="Q77" i="21"/>
  <c r="R77" i="21"/>
  <c r="R78" i="21" s="1"/>
  <c r="R79" i="21" s="1"/>
  <c r="R80" i="21" s="1"/>
  <c r="S77" i="21"/>
  <c r="S78" i="21" s="1"/>
  <c r="S79" i="21" s="1"/>
  <c r="S80" i="21" s="1"/>
  <c r="T77" i="21"/>
  <c r="T78" i="21" s="1"/>
  <c r="T79" i="21" s="1"/>
  <c r="T80" i="21" s="1"/>
  <c r="U77" i="21"/>
  <c r="V77" i="21"/>
  <c r="W77" i="21"/>
  <c r="W78" i="21" s="1"/>
  <c r="W79" i="21" s="1"/>
  <c r="W80" i="21" s="1"/>
  <c r="X77" i="21"/>
  <c r="X78" i="21" s="1"/>
  <c r="X79" i="21" s="1"/>
  <c r="X80" i="21" s="1"/>
  <c r="Y77" i="21"/>
  <c r="Z77" i="21"/>
  <c r="Z78" i="21" s="1"/>
  <c r="Z79" i="21" s="1"/>
  <c r="Z80" i="21" s="1"/>
  <c r="D77" i="21"/>
  <c r="D78" i="21" s="1"/>
  <c r="D79" i="21" s="1"/>
  <c r="D80" i="21" s="1"/>
  <c r="E62" i="21"/>
  <c r="E63" i="21" s="1"/>
  <c r="E64" i="21" s="1"/>
  <c r="E65" i="21" s="1"/>
  <c r="F62" i="21"/>
  <c r="F63" i="21" s="1"/>
  <c r="F64" i="21" s="1"/>
  <c r="F65" i="21" s="1"/>
  <c r="G62" i="21"/>
  <c r="H62" i="21"/>
  <c r="I62" i="21"/>
  <c r="J62" i="21"/>
  <c r="K62" i="21"/>
  <c r="L62" i="21"/>
  <c r="L63" i="21" s="1"/>
  <c r="L64" i="21" s="1"/>
  <c r="L65" i="21" s="1"/>
  <c r="M62" i="21"/>
  <c r="M63" i="21" s="1"/>
  <c r="M64" i="21" s="1"/>
  <c r="M65" i="21" s="1"/>
  <c r="N62" i="21"/>
  <c r="N63" i="21" s="1"/>
  <c r="N64" i="21" s="1"/>
  <c r="N65" i="21" s="1"/>
  <c r="O62" i="21"/>
  <c r="P62" i="21"/>
  <c r="P63" i="21" s="1"/>
  <c r="P64" i="21" s="1"/>
  <c r="P65" i="21" s="1"/>
  <c r="Q62" i="21"/>
  <c r="Q63" i="21" s="1"/>
  <c r="Q64" i="21" s="1"/>
  <c r="Q65" i="21" s="1"/>
  <c r="R62" i="21"/>
  <c r="S62" i="21"/>
  <c r="S63" i="21" s="1"/>
  <c r="S64" i="21" s="1"/>
  <c r="S65" i="21" s="1"/>
  <c r="T62" i="21"/>
  <c r="T63" i="21" s="1"/>
  <c r="T64" i="21" s="1"/>
  <c r="T65" i="21" s="1"/>
  <c r="U62" i="21"/>
  <c r="U63" i="21" s="1"/>
  <c r="U64" i="21" s="1"/>
  <c r="U65" i="21" s="1"/>
  <c r="V62" i="21"/>
  <c r="V63" i="21" s="1"/>
  <c r="V64" i="21" s="1"/>
  <c r="V65" i="21" s="1"/>
  <c r="W62" i="21"/>
  <c r="X62" i="21"/>
  <c r="X63" i="21" s="1"/>
  <c r="X64" i="21" s="1"/>
  <c r="X65" i="21" s="1"/>
  <c r="Y62" i="21"/>
  <c r="Z62" i="21"/>
  <c r="D62" i="21"/>
  <c r="D63" i="21" s="1"/>
  <c r="D64" i="21" s="1"/>
  <c r="D65" i="21" s="1"/>
  <c r="Y78" i="21"/>
  <c r="Y79" i="21" s="1"/>
  <c r="Y80" i="21" s="1"/>
  <c r="V78" i="21"/>
  <c r="V79" i="21" s="1"/>
  <c r="V80" i="21" s="1"/>
  <c r="U78" i="21"/>
  <c r="U79" i="21" s="1"/>
  <c r="U80" i="21" s="1"/>
  <c r="Q78" i="21"/>
  <c r="Q79" i="21" s="1"/>
  <c r="Q80" i="21" s="1"/>
  <c r="O78" i="21"/>
  <c r="O79" i="21" s="1"/>
  <c r="O80" i="21" s="1"/>
  <c r="N78" i="21"/>
  <c r="N79" i="21" s="1"/>
  <c r="N80" i="21" s="1"/>
  <c r="M78" i="21"/>
  <c r="M79" i="21" s="1"/>
  <c r="M80" i="21" s="1"/>
  <c r="I78" i="21"/>
  <c r="I79" i="21" s="1"/>
  <c r="I80" i="21" s="1"/>
  <c r="G78" i="21"/>
  <c r="G79" i="21" s="1"/>
  <c r="G80" i="21" s="1"/>
  <c r="F78" i="21"/>
  <c r="F79" i="21" s="1"/>
  <c r="F80" i="21" s="1"/>
  <c r="E78" i="21"/>
  <c r="E79" i="21" s="1"/>
  <c r="E80" i="21" s="1"/>
  <c r="O73" i="21"/>
  <c r="O74" i="21" s="1"/>
  <c r="N73" i="21"/>
  <c r="M73" i="21"/>
  <c r="L73" i="21"/>
  <c r="K73" i="21"/>
  <c r="J73" i="21"/>
  <c r="I73" i="21"/>
  <c r="H73" i="21"/>
  <c r="G73" i="21"/>
  <c r="F73" i="21"/>
  <c r="E73" i="21"/>
  <c r="D73" i="21"/>
  <c r="Y63" i="21"/>
  <c r="Y64" i="21" s="1"/>
  <c r="Y65" i="21" s="1"/>
  <c r="K63" i="21"/>
  <c r="K64" i="21" s="1"/>
  <c r="K65" i="21" s="1"/>
  <c r="I63" i="21"/>
  <c r="I64" i="21" s="1"/>
  <c r="I65" i="21" s="1"/>
  <c r="H63" i="21"/>
  <c r="H64" i="21" s="1"/>
  <c r="H65" i="21" s="1"/>
  <c r="Z63" i="21"/>
  <c r="Z64" i="21" s="1"/>
  <c r="Z65" i="21" s="1"/>
  <c r="W63" i="21"/>
  <c r="W64" i="21" s="1"/>
  <c r="W65" i="21" s="1"/>
  <c r="R63" i="21"/>
  <c r="R64" i="21" s="1"/>
  <c r="R65" i="21" s="1"/>
  <c r="O63" i="21"/>
  <c r="O64" i="21" s="1"/>
  <c r="O65" i="21" s="1"/>
  <c r="J63" i="21"/>
  <c r="J64" i="21" s="1"/>
  <c r="J65" i="21" s="1"/>
  <c r="G63" i="21"/>
  <c r="G64" i="21" s="1"/>
  <c r="G65" i="21" s="1"/>
  <c r="O36" i="21"/>
  <c r="N36" i="21"/>
  <c r="M36" i="21"/>
  <c r="L36" i="21"/>
  <c r="K36" i="21"/>
  <c r="J36" i="21"/>
  <c r="I36" i="21"/>
  <c r="H36" i="21"/>
  <c r="G36" i="21"/>
  <c r="F36" i="21"/>
  <c r="E36" i="21"/>
  <c r="D36" i="21"/>
  <c r="E35" i="21"/>
  <c r="F35" i="21" s="1"/>
  <c r="G35" i="21" s="1"/>
  <c r="H35" i="21" s="1"/>
  <c r="I35" i="21" s="1"/>
  <c r="J35" i="21" s="1"/>
  <c r="K35" i="21" s="1"/>
  <c r="L35" i="21" s="1"/>
  <c r="M35" i="21" s="1"/>
  <c r="N35" i="21" s="1"/>
  <c r="O35" i="21" s="1"/>
  <c r="O18" i="21"/>
  <c r="N18" i="21"/>
  <c r="M18" i="21"/>
  <c r="L18" i="21"/>
  <c r="K18" i="21"/>
  <c r="J18" i="21"/>
  <c r="I18" i="21"/>
  <c r="H18" i="21"/>
  <c r="G18" i="21"/>
  <c r="F18" i="21"/>
  <c r="E18" i="21"/>
  <c r="D18" i="21"/>
  <c r="Z67" i="20"/>
  <c r="Z68" i="20" s="1"/>
  <c r="Z69" i="20" s="1"/>
  <c r="Y67" i="20"/>
  <c r="Y68" i="20" s="1"/>
  <c r="Y69" i="20" s="1"/>
  <c r="X67" i="20"/>
  <c r="X68" i="20" s="1"/>
  <c r="X69" i="20" s="1"/>
  <c r="W67" i="20"/>
  <c r="W68" i="20" s="1"/>
  <c r="W69" i="20" s="1"/>
  <c r="V67" i="20"/>
  <c r="V68" i="20" s="1"/>
  <c r="V69" i="20" s="1"/>
  <c r="U67" i="20"/>
  <c r="U68" i="20" s="1"/>
  <c r="U69" i="20" s="1"/>
  <c r="T67" i="20"/>
  <c r="T68" i="20" s="1"/>
  <c r="T69" i="20" s="1"/>
  <c r="S67" i="20"/>
  <c r="S68" i="20" s="1"/>
  <c r="S69" i="20" s="1"/>
  <c r="R67" i="20"/>
  <c r="R68" i="20" s="1"/>
  <c r="R69" i="20" s="1"/>
  <c r="Q67" i="20"/>
  <c r="Q68" i="20" s="1"/>
  <c r="Q69" i="20" s="1"/>
  <c r="P67" i="20"/>
  <c r="P68" i="20" s="1"/>
  <c r="P69" i="20" s="1"/>
  <c r="O67" i="20"/>
  <c r="O68" i="20" s="1"/>
  <c r="O69" i="20" s="1"/>
  <c r="N67" i="20"/>
  <c r="N68" i="20" s="1"/>
  <c r="N69" i="20" s="1"/>
  <c r="M67" i="20"/>
  <c r="M68" i="20" s="1"/>
  <c r="M69" i="20" s="1"/>
  <c r="L67" i="20"/>
  <c r="L68" i="20" s="1"/>
  <c r="L69" i="20" s="1"/>
  <c r="K67" i="20"/>
  <c r="K68" i="20" s="1"/>
  <c r="K69" i="20" s="1"/>
  <c r="J67" i="20"/>
  <c r="J68" i="20" s="1"/>
  <c r="J69" i="20" s="1"/>
  <c r="I67" i="20"/>
  <c r="I68" i="20" s="1"/>
  <c r="I69" i="20" s="1"/>
  <c r="H67" i="20"/>
  <c r="H68" i="20" s="1"/>
  <c r="H69" i="20" s="1"/>
  <c r="G67" i="20"/>
  <c r="G68" i="20" s="1"/>
  <c r="G69" i="20" s="1"/>
  <c r="F67" i="20"/>
  <c r="F68" i="20" s="1"/>
  <c r="F69" i="20" s="1"/>
  <c r="E67" i="20"/>
  <c r="E68" i="20" s="1"/>
  <c r="E69" i="20" s="1"/>
  <c r="D67" i="20"/>
  <c r="D68" i="20" s="1"/>
  <c r="D69" i="20" s="1"/>
  <c r="O62" i="20"/>
  <c r="O63" i="20" s="1"/>
  <c r="N62" i="20"/>
  <c r="M62" i="20"/>
  <c r="L62" i="20"/>
  <c r="K62" i="20"/>
  <c r="J62" i="20"/>
  <c r="I62" i="20"/>
  <c r="H62" i="20"/>
  <c r="G62" i="20"/>
  <c r="F62" i="20"/>
  <c r="E62" i="20"/>
  <c r="D62" i="20"/>
  <c r="D57" i="20"/>
  <c r="J52" i="20"/>
  <c r="J53" i="20" s="1"/>
  <c r="J54" i="20" s="1"/>
  <c r="I52" i="20"/>
  <c r="I53" i="20" s="1"/>
  <c r="I54" i="20" s="1"/>
  <c r="Z51" i="20"/>
  <c r="Z52" i="20" s="1"/>
  <c r="Z53" i="20" s="1"/>
  <c r="Z54" i="20" s="1"/>
  <c r="Y51" i="20"/>
  <c r="Y52" i="20" s="1"/>
  <c r="Y53" i="20" s="1"/>
  <c r="Y54" i="20" s="1"/>
  <c r="X51" i="20"/>
  <c r="X52" i="20" s="1"/>
  <c r="X53" i="20" s="1"/>
  <c r="X54" i="20" s="1"/>
  <c r="W51" i="20"/>
  <c r="W52" i="20" s="1"/>
  <c r="W53" i="20" s="1"/>
  <c r="W54" i="20" s="1"/>
  <c r="V51" i="20"/>
  <c r="V52" i="20" s="1"/>
  <c r="V53" i="20" s="1"/>
  <c r="V54" i="20" s="1"/>
  <c r="U51" i="20"/>
  <c r="U52" i="20" s="1"/>
  <c r="U53" i="20" s="1"/>
  <c r="U54" i="20" s="1"/>
  <c r="T51" i="20"/>
  <c r="T52" i="20" s="1"/>
  <c r="T53" i="20" s="1"/>
  <c r="T54" i="20" s="1"/>
  <c r="S51" i="20"/>
  <c r="S52" i="20" s="1"/>
  <c r="S53" i="20" s="1"/>
  <c r="S54" i="20" s="1"/>
  <c r="R51" i="20"/>
  <c r="R52" i="20" s="1"/>
  <c r="R53" i="20" s="1"/>
  <c r="R54" i="20" s="1"/>
  <c r="Q51" i="20"/>
  <c r="Q52" i="20" s="1"/>
  <c r="Q53" i="20" s="1"/>
  <c r="Q54" i="20" s="1"/>
  <c r="P51" i="20"/>
  <c r="P52" i="20" s="1"/>
  <c r="P53" i="20" s="1"/>
  <c r="P54" i="20" s="1"/>
  <c r="O51" i="20"/>
  <c r="O52" i="20" s="1"/>
  <c r="O53" i="20" s="1"/>
  <c r="O54" i="20" s="1"/>
  <c r="N51" i="20"/>
  <c r="N52" i="20" s="1"/>
  <c r="N53" i="20" s="1"/>
  <c r="N54" i="20" s="1"/>
  <c r="M51" i="20"/>
  <c r="M52" i="20" s="1"/>
  <c r="M53" i="20" s="1"/>
  <c r="M54" i="20" s="1"/>
  <c r="L51" i="20"/>
  <c r="L52" i="20" s="1"/>
  <c r="L53" i="20" s="1"/>
  <c r="L54" i="20" s="1"/>
  <c r="K51" i="20"/>
  <c r="K52" i="20" s="1"/>
  <c r="K53" i="20" s="1"/>
  <c r="K54" i="20" s="1"/>
  <c r="J51" i="20"/>
  <c r="I51" i="20"/>
  <c r="H51" i="20"/>
  <c r="H52" i="20" s="1"/>
  <c r="H53" i="20" s="1"/>
  <c r="H54" i="20" s="1"/>
  <c r="G51" i="20"/>
  <c r="G52" i="20" s="1"/>
  <c r="G53" i="20" s="1"/>
  <c r="G54" i="20" s="1"/>
  <c r="F51" i="20"/>
  <c r="F52" i="20" s="1"/>
  <c r="F53" i="20" s="1"/>
  <c r="F54" i="20" s="1"/>
  <c r="E51" i="20"/>
  <c r="E52" i="20" s="1"/>
  <c r="E53" i="20" s="1"/>
  <c r="E54" i="20" s="1"/>
  <c r="D51" i="20"/>
  <c r="D52" i="20" s="1"/>
  <c r="D53" i="20" s="1"/>
  <c r="D54" i="20" s="1"/>
  <c r="E36" i="20"/>
  <c r="D36" i="20"/>
  <c r="E35" i="20"/>
  <c r="F35" i="20" s="1"/>
  <c r="G35" i="20" s="1"/>
  <c r="H35" i="20" s="1"/>
  <c r="I35" i="20" s="1"/>
  <c r="J35" i="20" s="1"/>
  <c r="K35" i="20" s="1"/>
  <c r="L35" i="20" s="1"/>
  <c r="M35" i="20" s="1"/>
  <c r="N35" i="20" s="1"/>
  <c r="O35" i="20" s="1"/>
  <c r="D33" i="20"/>
  <c r="E33" i="20" s="1"/>
  <c r="F33" i="20" s="1"/>
  <c r="E18" i="20"/>
  <c r="D18" i="20"/>
  <c r="D15" i="20"/>
  <c r="E15" i="20" s="1"/>
  <c r="P110" i="17"/>
  <c r="Q110" i="17"/>
  <c r="R110" i="17"/>
  <c r="S110" i="17"/>
  <c r="T110" i="17"/>
  <c r="U110" i="17"/>
  <c r="V110" i="17"/>
  <c r="W110" i="17"/>
  <c r="X110" i="17"/>
  <c r="Y110" i="17"/>
  <c r="Z110" i="17"/>
  <c r="E110" i="17"/>
  <c r="F110" i="17"/>
  <c r="G110" i="17"/>
  <c r="H110" i="17"/>
  <c r="I110" i="17"/>
  <c r="J110" i="17"/>
  <c r="K110" i="17"/>
  <c r="L110" i="17"/>
  <c r="M110" i="17"/>
  <c r="N110" i="17"/>
  <c r="O110" i="17"/>
  <c r="D110" i="17"/>
  <c r="D31" i="19"/>
  <c r="E31" i="19"/>
  <c r="F31" i="19" s="1"/>
  <c r="E48" i="19"/>
  <c r="E49" i="19" s="1"/>
  <c r="E50" i="19" s="1"/>
  <c r="E51" i="19" s="1"/>
  <c r="F48" i="19"/>
  <c r="F49" i="19" s="1"/>
  <c r="F50" i="19" s="1"/>
  <c r="F51" i="19" s="1"/>
  <c r="G48" i="19"/>
  <c r="G49" i="19" s="1"/>
  <c r="G50" i="19" s="1"/>
  <c r="G51" i="19" s="1"/>
  <c r="H48" i="19"/>
  <c r="H49" i="19" s="1"/>
  <c r="H50" i="19" s="1"/>
  <c r="H51" i="19" s="1"/>
  <c r="I48" i="19"/>
  <c r="J48" i="19"/>
  <c r="J49" i="19" s="1"/>
  <c r="J50" i="19" s="1"/>
  <c r="J51" i="19" s="1"/>
  <c r="K48" i="19"/>
  <c r="K49" i="19" s="1"/>
  <c r="K50" i="19" s="1"/>
  <c r="K51" i="19" s="1"/>
  <c r="L48" i="19"/>
  <c r="M48" i="19"/>
  <c r="M49" i="19" s="1"/>
  <c r="M50" i="19" s="1"/>
  <c r="M51" i="19" s="1"/>
  <c r="N48" i="19"/>
  <c r="N49" i="19" s="1"/>
  <c r="N50" i="19" s="1"/>
  <c r="N51" i="19" s="1"/>
  <c r="O48" i="19"/>
  <c r="P48" i="19"/>
  <c r="P49" i="19" s="1"/>
  <c r="P50" i="19" s="1"/>
  <c r="P51" i="19" s="1"/>
  <c r="Q48" i="19"/>
  <c r="Q49" i="19" s="1"/>
  <c r="Q50" i="19" s="1"/>
  <c r="Q51" i="19" s="1"/>
  <c r="R48" i="19"/>
  <c r="S48" i="19"/>
  <c r="S49" i="19" s="1"/>
  <c r="S50" i="19" s="1"/>
  <c r="S51" i="19" s="1"/>
  <c r="T48" i="19"/>
  <c r="U48" i="19"/>
  <c r="V48" i="19"/>
  <c r="V49" i="19" s="1"/>
  <c r="V50" i="19" s="1"/>
  <c r="V51" i="19" s="1"/>
  <c r="W48" i="19"/>
  <c r="W49" i="19" s="1"/>
  <c r="W50" i="19" s="1"/>
  <c r="W51" i="19" s="1"/>
  <c r="X48" i="19"/>
  <c r="X49" i="19" s="1"/>
  <c r="X50" i="19" s="1"/>
  <c r="X51" i="19" s="1"/>
  <c r="Y48" i="19"/>
  <c r="Y49" i="19" s="1"/>
  <c r="Y50" i="19" s="1"/>
  <c r="Y51" i="19" s="1"/>
  <c r="Z48" i="19"/>
  <c r="Z49" i="19" s="1"/>
  <c r="Z50" i="19" s="1"/>
  <c r="Z51" i="19" s="1"/>
  <c r="D48" i="19"/>
  <c r="D49" i="19" s="1"/>
  <c r="D50" i="19" s="1"/>
  <c r="D51" i="19" s="1"/>
  <c r="Z64" i="19"/>
  <c r="Z65" i="19" s="1"/>
  <c r="Z66" i="19" s="1"/>
  <c r="Y64" i="19"/>
  <c r="Y65" i="19" s="1"/>
  <c r="Y66" i="19" s="1"/>
  <c r="X64" i="19"/>
  <c r="X65" i="19" s="1"/>
  <c r="X66" i="19" s="1"/>
  <c r="W64" i="19"/>
  <c r="W65" i="19" s="1"/>
  <c r="W66" i="19" s="1"/>
  <c r="V64" i="19"/>
  <c r="V65" i="19" s="1"/>
  <c r="V66" i="19" s="1"/>
  <c r="U64" i="19"/>
  <c r="U65" i="19" s="1"/>
  <c r="U66" i="19" s="1"/>
  <c r="T64" i="19"/>
  <c r="T65" i="19" s="1"/>
  <c r="T66" i="19" s="1"/>
  <c r="S64" i="19"/>
  <c r="S65" i="19" s="1"/>
  <c r="S66" i="19" s="1"/>
  <c r="R64" i="19"/>
  <c r="R65" i="19" s="1"/>
  <c r="R66" i="19" s="1"/>
  <c r="Q64" i="19"/>
  <c r="Q65" i="19" s="1"/>
  <c r="Q66" i="19" s="1"/>
  <c r="P64" i="19"/>
  <c r="P65" i="19" s="1"/>
  <c r="P66" i="19" s="1"/>
  <c r="O64" i="19"/>
  <c r="O65" i="19" s="1"/>
  <c r="O66" i="19" s="1"/>
  <c r="N64" i="19"/>
  <c r="N65" i="19" s="1"/>
  <c r="N66" i="19" s="1"/>
  <c r="M64" i="19"/>
  <c r="M65" i="19" s="1"/>
  <c r="M66" i="19" s="1"/>
  <c r="L64" i="19"/>
  <c r="L65" i="19" s="1"/>
  <c r="L66" i="19" s="1"/>
  <c r="K64" i="19"/>
  <c r="K65" i="19" s="1"/>
  <c r="K66" i="19" s="1"/>
  <c r="J64" i="19"/>
  <c r="J65" i="19" s="1"/>
  <c r="J66" i="19" s="1"/>
  <c r="I64" i="19"/>
  <c r="I65" i="19" s="1"/>
  <c r="I66" i="19" s="1"/>
  <c r="H64" i="19"/>
  <c r="H65" i="19" s="1"/>
  <c r="H66" i="19" s="1"/>
  <c r="G64" i="19"/>
  <c r="G65" i="19" s="1"/>
  <c r="G66" i="19" s="1"/>
  <c r="F64" i="19"/>
  <c r="F65" i="19" s="1"/>
  <c r="F66" i="19" s="1"/>
  <c r="E64" i="19"/>
  <c r="E65" i="19" s="1"/>
  <c r="E66" i="19" s="1"/>
  <c r="D64" i="19"/>
  <c r="D65" i="19" s="1"/>
  <c r="D66" i="19" s="1"/>
  <c r="O59" i="19"/>
  <c r="O60" i="19" s="1"/>
  <c r="N59" i="19"/>
  <c r="M59" i="19"/>
  <c r="L59" i="19"/>
  <c r="K59" i="19"/>
  <c r="J59" i="19"/>
  <c r="I59" i="19"/>
  <c r="H59" i="19"/>
  <c r="G59" i="19"/>
  <c r="F59" i="19"/>
  <c r="E59" i="19"/>
  <c r="D59" i="19"/>
  <c r="D54" i="19"/>
  <c r="R49" i="19"/>
  <c r="R50" i="19" s="1"/>
  <c r="R51" i="19" s="1"/>
  <c r="O49" i="19"/>
  <c r="O50" i="19" s="1"/>
  <c r="O51" i="19" s="1"/>
  <c r="I49" i="19"/>
  <c r="I50" i="19" s="1"/>
  <c r="I51" i="19" s="1"/>
  <c r="U49" i="19"/>
  <c r="U50" i="19" s="1"/>
  <c r="U51" i="19" s="1"/>
  <c r="T49" i="19"/>
  <c r="T50" i="19" s="1"/>
  <c r="T51" i="19" s="1"/>
  <c r="L49" i="19"/>
  <c r="L50" i="19" s="1"/>
  <c r="L51" i="19" s="1"/>
  <c r="O34" i="19"/>
  <c r="N34" i="19"/>
  <c r="M34" i="19"/>
  <c r="L34" i="19"/>
  <c r="K34" i="19"/>
  <c r="J34" i="19"/>
  <c r="I34" i="19"/>
  <c r="H34" i="19"/>
  <c r="G34" i="19"/>
  <c r="F34" i="19"/>
  <c r="E34" i="19"/>
  <c r="D34" i="19"/>
  <c r="E33" i="19"/>
  <c r="F33" i="19" s="1"/>
  <c r="G33" i="19" s="1"/>
  <c r="H33" i="19" s="1"/>
  <c r="I33" i="19" s="1"/>
  <c r="J33" i="19" s="1"/>
  <c r="K33" i="19" s="1"/>
  <c r="L33" i="19" s="1"/>
  <c r="M33" i="19" s="1"/>
  <c r="N33" i="19" s="1"/>
  <c r="O33" i="19" s="1"/>
  <c r="O18" i="19"/>
  <c r="N18" i="19"/>
  <c r="M18" i="19"/>
  <c r="L18" i="19"/>
  <c r="K18" i="19"/>
  <c r="J18" i="19"/>
  <c r="I18" i="19"/>
  <c r="H18" i="19"/>
  <c r="G18" i="19"/>
  <c r="F18" i="19"/>
  <c r="E18" i="19"/>
  <c r="D18" i="19"/>
  <c r="D31" i="17"/>
  <c r="E31" i="17" s="1"/>
  <c r="F31" i="17" s="1"/>
  <c r="G31" i="17" s="1"/>
  <c r="H31" i="17" s="1"/>
  <c r="I31" i="17" s="1"/>
  <c r="J31" i="17" s="1"/>
  <c r="K31" i="17" s="1"/>
  <c r="L31" i="17" s="1"/>
  <c r="M31" i="17" s="1"/>
  <c r="N31" i="17" s="1"/>
  <c r="O31" i="17" s="1"/>
  <c r="E103" i="17"/>
  <c r="E104" i="17" s="1"/>
  <c r="E105" i="17" s="1"/>
  <c r="F103" i="17"/>
  <c r="F104" i="17" s="1"/>
  <c r="F105" i="17" s="1"/>
  <c r="G103" i="17"/>
  <c r="G104" i="17" s="1"/>
  <c r="G105" i="17" s="1"/>
  <c r="H103" i="17"/>
  <c r="H104" i="17" s="1"/>
  <c r="H105" i="17" s="1"/>
  <c r="I103" i="17"/>
  <c r="I104" i="17" s="1"/>
  <c r="I105" i="17" s="1"/>
  <c r="J103" i="17"/>
  <c r="J104" i="17" s="1"/>
  <c r="J105" i="17" s="1"/>
  <c r="K103" i="17"/>
  <c r="K104" i="17" s="1"/>
  <c r="K105" i="17" s="1"/>
  <c r="L103" i="17"/>
  <c r="L104" i="17" s="1"/>
  <c r="L105" i="17" s="1"/>
  <c r="M103" i="17"/>
  <c r="M104" i="17" s="1"/>
  <c r="M105" i="17" s="1"/>
  <c r="N103" i="17"/>
  <c r="N104" i="17" s="1"/>
  <c r="N105" i="17" s="1"/>
  <c r="O103" i="17"/>
  <c r="O104" i="17" s="1"/>
  <c r="O105" i="17" s="1"/>
  <c r="P103" i="17"/>
  <c r="P104" i="17" s="1"/>
  <c r="P105" i="17" s="1"/>
  <c r="Q103" i="17"/>
  <c r="Q104" i="17" s="1"/>
  <c r="Q105" i="17" s="1"/>
  <c r="R103" i="17"/>
  <c r="R104" i="17" s="1"/>
  <c r="R105" i="17" s="1"/>
  <c r="S103" i="17"/>
  <c r="S104" i="17" s="1"/>
  <c r="S105" i="17" s="1"/>
  <c r="T103" i="17"/>
  <c r="T104" i="17" s="1"/>
  <c r="T105" i="17" s="1"/>
  <c r="U103" i="17"/>
  <c r="U104" i="17" s="1"/>
  <c r="U105" i="17" s="1"/>
  <c r="V103" i="17"/>
  <c r="V104" i="17" s="1"/>
  <c r="V105" i="17" s="1"/>
  <c r="W103" i="17"/>
  <c r="W104" i="17" s="1"/>
  <c r="W105" i="17" s="1"/>
  <c r="X103" i="17"/>
  <c r="X104" i="17" s="1"/>
  <c r="X105" i="17" s="1"/>
  <c r="Y103" i="17"/>
  <c r="Y104" i="17" s="1"/>
  <c r="Y105" i="17" s="1"/>
  <c r="Z103" i="17"/>
  <c r="Z104" i="17" s="1"/>
  <c r="Z105" i="17" s="1"/>
  <c r="D103" i="17"/>
  <c r="D104" i="17" s="1"/>
  <c r="D105" i="17" s="1"/>
  <c r="F15" i="68" l="1"/>
  <c r="E19" i="68"/>
  <c r="E37" i="68" s="1"/>
  <c r="N60" i="19"/>
  <c r="M74" i="21"/>
  <c r="N61" i="23"/>
  <c r="N62" i="23" s="1"/>
  <c r="N63" i="23" s="1"/>
  <c r="R60" i="27"/>
  <c r="R61" i="27" s="1"/>
  <c r="R62" i="27" s="1"/>
  <c r="O63" i="27" s="1"/>
  <c r="E19" i="28"/>
  <c r="W61" i="30"/>
  <c r="W62" i="30" s="1"/>
  <c r="W63" i="30" s="1"/>
  <c r="O64" i="31"/>
  <c r="O65" i="31" s="1"/>
  <c r="O66" i="31" s="1"/>
  <c r="O67" i="31" s="1"/>
  <c r="O68" i="31" s="1"/>
  <c r="I65" i="35"/>
  <c r="I66" i="35" s="1"/>
  <c r="I67" i="35" s="1"/>
  <c r="I68" i="35" s="1"/>
  <c r="E69" i="35" s="1"/>
  <c r="K87" i="26"/>
  <c r="K8" i="36"/>
  <c r="E16" i="50"/>
  <c r="E6" i="50" s="1"/>
  <c r="F6" i="50" s="1"/>
  <c r="L58" i="14"/>
  <c r="M79" i="62"/>
  <c r="G53" i="66"/>
  <c r="K19" i="70"/>
  <c r="L19" i="70"/>
  <c r="F31" i="68"/>
  <c r="E35" i="68"/>
  <c r="E10" i="38"/>
  <c r="V61" i="23"/>
  <c r="V62" i="23" s="1"/>
  <c r="V63" i="23" s="1"/>
  <c r="X59" i="28"/>
  <c r="X60" i="28" s="1"/>
  <c r="X61" i="28" s="1"/>
  <c r="G61" i="30"/>
  <c r="G62" i="30" s="1"/>
  <c r="G63" i="30" s="1"/>
  <c r="W64" i="31"/>
  <c r="W65" i="31" s="1"/>
  <c r="W66" i="31" s="1"/>
  <c r="W67" i="31" s="1"/>
  <c r="K50" i="34"/>
  <c r="L50" i="34"/>
  <c r="X51" i="35"/>
  <c r="X52" i="35" s="1"/>
  <c r="X53" i="35" s="1"/>
  <c r="O87" i="26"/>
  <c r="G87" i="26"/>
  <c r="K3" i="36"/>
  <c r="D19" i="47"/>
  <c r="D20" i="47" s="1"/>
  <c r="E23" i="47"/>
  <c r="N64" i="60"/>
  <c r="E79" i="62"/>
  <c r="O79" i="62"/>
  <c r="D37" i="69"/>
  <c r="D18" i="72"/>
  <c r="K18" i="72" s="1"/>
  <c r="I18" i="72"/>
  <c r="F19" i="72"/>
  <c r="K78" i="63"/>
  <c r="E37" i="30"/>
  <c r="W61" i="23"/>
  <c r="W62" i="23" s="1"/>
  <c r="W63" i="23" s="1"/>
  <c r="L75" i="23"/>
  <c r="L76" i="23" s="1"/>
  <c r="L77" i="23" s="1"/>
  <c r="L78" i="23" s="1"/>
  <c r="E73" i="29"/>
  <c r="M73" i="29"/>
  <c r="N72" i="30"/>
  <c r="E51" i="35"/>
  <c r="E52" i="35" s="1"/>
  <c r="E53" i="35" s="1"/>
  <c r="E6" i="47"/>
  <c r="O63" i="63"/>
  <c r="M63" i="63"/>
  <c r="N63" i="63"/>
  <c r="H68" i="66"/>
  <c r="K63" i="68"/>
  <c r="G78" i="68"/>
  <c r="E78" i="63"/>
  <c r="D78" i="63"/>
  <c r="G52" i="19"/>
  <c r="D35" i="23"/>
  <c r="D37" i="23" s="1"/>
  <c r="K75" i="23"/>
  <c r="K76" i="23" s="1"/>
  <c r="K77" i="23" s="1"/>
  <c r="K78" i="23" s="1"/>
  <c r="J79" i="23" s="1"/>
  <c r="H65" i="26"/>
  <c r="H66" i="26" s="1"/>
  <c r="H67" i="26" s="1"/>
  <c r="E68" i="26" s="1"/>
  <c r="U60" i="27"/>
  <c r="U61" i="27" s="1"/>
  <c r="U62" i="27" s="1"/>
  <c r="F74" i="27"/>
  <c r="F75" i="27" s="1"/>
  <c r="F76" i="27" s="1"/>
  <c r="F77" i="27" s="1"/>
  <c r="G64" i="31"/>
  <c r="G65" i="31" s="1"/>
  <c r="G66" i="31" s="1"/>
  <c r="G67" i="31" s="1"/>
  <c r="Q65" i="35"/>
  <c r="Q66" i="35" s="1"/>
  <c r="Q67" i="35" s="1"/>
  <c r="Q68" i="35" s="1"/>
  <c r="O61" i="34"/>
  <c r="M64" i="62"/>
  <c r="I79" i="62"/>
  <c r="G63" i="63"/>
  <c r="E63" i="63"/>
  <c r="F63" i="63"/>
  <c r="I63" i="68"/>
  <c r="M78" i="68"/>
  <c r="K63" i="63"/>
  <c r="I78" i="63"/>
  <c r="F61" i="23"/>
  <c r="F62" i="23" s="1"/>
  <c r="F63" i="23" s="1"/>
  <c r="F64" i="23" s="1"/>
  <c r="P65" i="26"/>
  <c r="P66" i="26" s="1"/>
  <c r="P67" i="26" s="1"/>
  <c r="J60" i="27"/>
  <c r="J61" i="27" s="1"/>
  <c r="J62" i="27" s="1"/>
  <c r="H73" i="28"/>
  <c r="H74" i="28" s="1"/>
  <c r="H75" i="28" s="1"/>
  <c r="H76" i="28" s="1"/>
  <c r="R61" i="30"/>
  <c r="R62" i="30" s="1"/>
  <c r="R63" i="30" s="1"/>
  <c r="M51" i="35"/>
  <c r="M52" i="35" s="1"/>
  <c r="M53" i="35" s="1"/>
  <c r="J54" i="35" s="1"/>
  <c r="N61" i="34"/>
  <c r="M87" i="26"/>
  <c r="E87" i="26"/>
  <c r="K6" i="36"/>
  <c r="H79" i="62"/>
  <c r="L78" i="63"/>
  <c r="H63" i="63"/>
  <c r="J78" i="63"/>
  <c r="F16" i="52"/>
  <c r="G12" i="52"/>
  <c r="K10" i="36"/>
  <c r="K79" i="62"/>
  <c r="L74" i="21"/>
  <c r="G61" i="23"/>
  <c r="G62" i="23" s="1"/>
  <c r="G63" i="23" s="1"/>
  <c r="P62" i="29"/>
  <c r="P63" i="29" s="1"/>
  <c r="P64" i="29" s="1"/>
  <c r="H76" i="29"/>
  <c r="H77" i="29" s="1"/>
  <c r="H78" i="29" s="1"/>
  <c r="H79" i="29" s="1"/>
  <c r="L62" i="35"/>
  <c r="N65" i="35"/>
  <c r="N66" i="35" s="1"/>
  <c r="N67" i="35" s="1"/>
  <c r="N68" i="35" s="1"/>
  <c r="N69" i="35" s="1"/>
  <c r="L87" i="26"/>
  <c r="K7" i="36"/>
  <c r="E39" i="60"/>
  <c r="N53" i="66"/>
  <c r="M19" i="70"/>
  <c r="L63" i="63"/>
  <c r="G19" i="70"/>
  <c r="N19" i="70"/>
  <c r="E61" i="70"/>
  <c r="F60" i="70"/>
  <c r="I77" i="70"/>
  <c r="F35" i="70"/>
  <c r="G31" i="70"/>
  <c r="H77" i="70"/>
  <c r="H19" i="70"/>
  <c r="F19" i="70"/>
  <c r="I19" i="70"/>
  <c r="R74" i="70"/>
  <c r="Q75" i="70"/>
  <c r="Q76" i="70" s="1"/>
  <c r="J19" i="70"/>
  <c r="K62" i="61"/>
  <c r="F77" i="61"/>
  <c r="L77" i="61"/>
  <c r="D71" i="69"/>
  <c r="E70" i="69"/>
  <c r="F35" i="69"/>
  <c r="F37" i="69" s="1"/>
  <c r="G31" i="69"/>
  <c r="Q84" i="69"/>
  <c r="P85" i="69"/>
  <c r="P86" i="69" s="1"/>
  <c r="M63" i="68"/>
  <c r="E63" i="68"/>
  <c r="O63" i="68"/>
  <c r="H63" i="68"/>
  <c r="F63" i="68"/>
  <c r="N63" i="68"/>
  <c r="G63" i="68"/>
  <c r="J63" i="68"/>
  <c r="L63" i="68"/>
  <c r="K78" i="68"/>
  <c r="L78" i="68"/>
  <c r="D63" i="68"/>
  <c r="J78" i="68"/>
  <c r="H78" i="68"/>
  <c r="I78" i="68"/>
  <c r="G15" i="67"/>
  <c r="F19" i="67"/>
  <c r="F33" i="67"/>
  <c r="E37" i="67"/>
  <c r="E39" i="67" s="1"/>
  <c r="I68" i="66"/>
  <c r="J68" i="66"/>
  <c r="G15" i="66"/>
  <c r="F19" i="66"/>
  <c r="F37" i="66" s="1"/>
  <c r="H31" i="66"/>
  <c r="G35" i="66"/>
  <c r="F53" i="66"/>
  <c r="L68" i="66"/>
  <c r="I53" i="66"/>
  <c r="H53" i="66"/>
  <c r="O53" i="66"/>
  <c r="D68" i="66"/>
  <c r="L53" i="66"/>
  <c r="K53" i="66"/>
  <c r="D53" i="66"/>
  <c r="M53" i="66"/>
  <c r="K68" i="66"/>
  <c r="E39" i="65"/>
  <c r="F37" i="65"/>
  <c r="F39" i="65" s="1"/>
  <c r="G33" i="65"/>
  <c r="R86" i="65"/>
  <c r="Q87" i="65"/>
  <c r="Q88" i="65" s="1"/>
  <c r="I89" i="65"/>
  <c r="D73" i="65"/>
  <c r="E72" i="65"/>
  <c r="F111" i="17"/>
  <c r="G15" i="64"/>
  <c r="F19" i="64"/>
  <c r="E35" i="64"/>
  <c r="E37" i="64" s="1"/>
  <c r="F31" i="64"/>
  <c r="G15" i="63"/>
  <c r="F19" i="63"/>
  <c r="F37" i="63" s="1"/>
  <c r="G35" i="63"/>
  <c r="H31" i="63"/>
  <c r="E64" i="62"/>
  <c r="H64" i="62"/>
  <c r="J79" i="62"/>
  <c r="G79" i="62"/>
  <c r="O64" i="62"/>
  <c r="N64" i="62"/>
  <c r="L64" i="62"/>
  <c r="F33" i="62"/>
  <c r="E37" i="62"/>
  <c r="E39" i="62" s="1"/>
  <c r="J64" i="62"/>
  <c r="F64" i="62"/>
  <c r="D64" i="62"/>
  <c r="G64" i="62"/>
  <c r="I64" i="62"/>
  <c r="H15" i="62"/>
  <c r="G19" i="62"/>
  <c r="E77" i="61"/>
  <c r="D77" i="61"/>
  <c r="N62" i="61"/>
  <c r="H77" i="61"/>
  <c r="O77" i="61"/>
  <c r="H62" i="61"/>
  <c r="L62" i="61"/>
  <c r="D62" i="61"/>
  <c r="F15" i="61"/>
  <c r="E19" i="61"/>
  <c r="E37" i="61" s="1"/>
  <c r="I62" i="61"/>
  <c r="F62" i="61"/>
  <c r="O62" i="61"/>
  <c r="M62" i="61"/>
  <c r="K77" i="61"/>
  <c r="G62" i="61"/>
  <c r="E62" i="61"/>
  <c r="I77" i="61"/>
  <c r="J77" i="61"/>
  <c r="J62" i="61"/>
  <c r="G35" i="61"/>
  <c r="H31" i="61"/>
  <c r="G77" i="61"/>
  <c r="L64" i="60"/>
  <c r="K64" i="60"/>
  <c r="G64" i="60"/>
  <c r="M64" i="60"/>
  <c r="E64" i="60"/>
  <c r="N79" i="60"/>
  <c r="M79" i="60"/>
  <c r="D64" i="60"/>
  <c r="K79" i="60"/>
  <c r="L79" i="60"/>
  <c r="O64" i="60"/>
  <c r="F79" i="60"/>
  <c r="J79" i="60"/>
  <c r="H64" i="60"/>
  <c r="H15" i="60"/>
  <c r="G19" i="60"/>
  <c r="G39" i="60" s="1"/>
  <c r="G37" i="60"/>
  <c r="H33" i="60"/>
  <c r="I79" i="60"/>
  <c r="O79" i="60"/>
  <c r="H79" i="60"/>
  <c r="D79" i="60"/>
  <c r="F39" i="60"/>
  <c r="J64" i="60"/>
  <c r="I64" i="60"/>
  <c r="G79" i="60"/>
  <c r="F64" i="60"/>
  <c r="M71" i="33"/>
  <c r="N71" i="33"/>
  <c r="G71" i="33"/>
  <c r="K71" i="33"/>
  <c r="L71" i="33"/>
  <c r="M72" i="30"/>
  <c r="H72" i="30"/>
  <c r="D35" i="30"/>
  <c r="D37" i="30" s="1"/>
  <c r="G73" i="29"/>
  <c r="E37" i="29"/>
  <c r="F73" i="29"/>
  <c r="D76" i="29"/>
  <c r="D77" i="29" s="1"/>
  <c r="D78" i="29" s="1"/>
  <c r="D79" i="29" s="1"/>
  <c r="J73" i="29"/>
  <c r="K73" i="29"/>
  <c r="D73" i="29"/>
  <c r="H73" i="29"/>
  <c r="N59" i="28"/>
  <c r="N60" i="28" s="1"/>
  <c r="N61" i="28" s="1"/>
  <c r="H70" i="28"/>
  <c r="F15" i="28"/>
  <c r="G15" i="28" s="1"/>
  <c r="H15" i="28" s="1"/>
  <c r="I15" i="28" s="1"/>
  <c r="J15" i="28" s="1"/>
  <c r="L70" i="28"/>
  <c r="F70" i="28"/>
  <c r="J70" i="28"/>
  <c r="Z73" i="28"/>
  <c r="Z74" i="28" s="1"/>
  <c r="Z75" i="28" s="1"/>
  <c r="Z76" i="28" s="1"/>
  <c r="D70" i="28"/>
  <c r="R59" i="28"/>
  <c r="R60" i="28" s="1"/>
  <c r="R61" i="28" s="1"/>
  <c r="G70" i="28"/>
  <c r="E24" i="59"/>
  <c r="E25" i="59" s="1"/>
  <c r="F23" i="59"/>
  <c r="E26" i="59"/>
  <c r="E27" i="59" s="1"/>
  <c r="E28" i="59" s="1"/>
  <c r="E33" i="59" s="1"/>
  <c r="E34" i="59" s="1"/>
  <c r="G16" i="59"/>
  <c r="G6" i="59" s="1"/>
  <c r="H12" i="59"/>
  <c r="F9" i="59"/>
  <c r="F14" i="59" s="1"/>
  <c r="F15" i="59" s="1"/>
  <c r="F19" i="59" s="1"/>
  <c r="F20" i="59" s="1"/>
  <c r="F7" i="59"/>
  <c r="F8" i="59" s="1"/>
  <c r="G15" i="58"/>
  <c r="F19" i="58"/>
  <c r="F31" i="58"/>
  <c r="E35" i="58"/>
  <c r="E37" i="58" s="1"/>
  <c r="E37" i="57"/>
  <c r="E39" i="57" s="1"/>
  <c r="F33" i="57"/>
  <c r="G15" i="57"/>
  <c r="F19" i="57"/>
  <c r="D72" i="23"/>
  <c r="L72" i="23"/>
  <c r="M72" i="23"/>
  <c r="H61" i="23"/>
  <c r="H62" i="23" s="1"/>
  <c r="H63" i="23" s="1"/>
  <c r="P61" i="23"/>
  <c r="P62" i="23" s="1"/>
  <c r="P63" i="23" s="1"/>
  <c r="I64" i="23" s="1"/>
  <c r="T75" i="23"/>
  <c r="T76" i="23" s="1"/>
  <c r="T77" i="23" s="1"/>
  <c r="T78" i="23" s="1"/>
  <c r="Q61" i="23"/>
  <c r="Q62" i="23" s="1"/>
  <c r="Q63" i="23" s="1"/>
  <c r="L64" i="23" s="1"/>
  <c r="S75" i="23"/>
  <c r="S76" i="23" s="1"/>
  <c r="S77" i="23" s="1"/>
  <c r="S78" i="23" s="1"/>
  <c r="M79" i="23" s="1"/>
  <c r="E74" i="27"/>
  <c r="E75" i="27" s="1"/>
  <c r="E76" i="27" s="1"/>
  <c r="E77" i="27" s="1"/>
  <c r="Z60" i="27"/>
  <c r="Z61" i="27" s="1"/>
  <c r="Z62" i="27" s="1"/>
  <c r="V74" i="27"/>
  <c r="V75" i="27" s="1"/>
  <c r="V76" i="27" s="1"/>
  <c r="V77" i="27" s="1"/>
  <c r="N74" i="27"/>
  <c r="N75" i="27" s="1"/>
  <c r="N76" i="27" s="1"/>
  <c r="N77" i="27" s="1"/>
  <c r="G78" i="27" s="1"/>
  <c r="M60" i="27"/>
  <c r="M61" i="27" s="1"/>
  <c r="M62" i="27" s="1"/>
  <c r="G55" i="20"/>
  <c r="O55" i="20"/>
  <c r="G63" i="20"/>
  <c r="H63" i="20"/>
  <c r="D37" i="20"/>
  <c r="I63" i="20"/>
  <c r="J63" i="20"/>
  <c r="K61" i="31"/>
  <c r="N64" i="31"/>
  <c r="N65" i="31" s="1"/>
  <c r="N66" i="31" s="1"/>
  <c r="N67" i="31" s="1"/>
  <c r="N68" i="31" s="1"/>
  <c r="F50" i="31"/>
  <c r="F51" i="31" s="1"/>
  <c r="F52" i="31" s="1"/>
  <c r="D61" i="31"/>
  <c r="F61" i="31"/>
  <c r="L61" i="31"/>
  <c r="G68" i="31"/>
  <c r="V64" i="31"/>
  <c r="V65" i="31" s="1"/>
  <c r="V66" i="31" s="1"/>
  <c r="V67" i="31" s="1"/>
  <c r="H61" i="31"/>
  <c r="I61" i="31"/>
  <c r="F7" i="56"/>
  <c r="F8" i="56" s="1"/>
  <c r="F9" i="56"/>
  <c r="F14" i="56" s="1"/>
  <c r="F15" i="56" s="1"/>
  <c r="F19" i="56" s="1"/>
  <c r="F20" i="56" s="1"/>
  <c r="G16" i="56"/>
  <c r="G6" i="56" s="1"/>
  <c r="H12" i="56"/>
  <c r="E26" i="56"/>
  <c r="E27" i="56" s="1"/>
  <c r="E28" i="56" s="1"/>
  <c r="E33" i="56" s="1"/>
  <c r="E34" i="56" s="1"/>
  <c r="E24" i="56"/>
  <c r="F23" i="56"/>
  <c r="E25" i="56"/>
  <c r="K111" i="17"/>
  <c r="M111" i="17"/>
  <c r="N111" i="17"/>
  <c r="E111" i="17"/>
  <c r="L111" i="17"/>
  <c r="I111" i="17"/>
  <c r="O111" i="17"/>
  <c r="H111" i="17"/>
  <c r="I106" i="17"/>
  <c r="D111" i="17"/>
  <c r="F74" i="21"/>
  <c r="J74" i="21"/>
  <c r="D74" i="21"/>
  <c r="E74" i="21"/>
  <c r="G74" i="21"/>
  <c r="D19" i="21"/>
  <c r="D40" i="21" s="1"/>
  <c r="H74" i="21"/>
  <c r="G81" i="21"/>
  <c r="K62" i="35"/>
  <c r="W65" i="35"/>
  <c r="W66" i="35" s="1"/>
  <c r="W67" i="35" s="1"/>
  <c r="W68" i="35" s="1"/>
  <c r="O65" i="35"/>
  <c r="O66" i="35" s="1"/>
  <c r="O67" i="35" s="1"/>
  <c r="O68" i="35" s="1"/>
  <c r="G65" i="35"/>
  <c r="G66" i="35" s="1"/>
  <c r="G67" i="35" s="1"/>
  <c r="G68" i="35" s="1"/>
  <c r="J51" i="35"/>
  <c r="J52" i="35" s="1"/>
  <c r="J53" i="35" s="1"/>
  <c r="Z51" i="35"/>
  <c r="Z52" i="35" s="1"/>
  <c r="Z53" i="35" s="1"/>
  <c r="E62" i="35"/>
  <c r="M62" i="35"/>
  <c r="U65" i="35"/>
  <c r="U66" i="35" s="1"/>
  <c r="U67" i="35" s="1"/>
  <c r="U68" i="35" s="1"/>
  <c r="F62" i="35"/>
  <c r="N62" i="35"/>
  <c r="T65" i="35"/>
  <c r="T66" i="35" s="1"/>
  <c r="T67" i="35" s="1"/>
  <c r="T68" i="35" s="1"/>
  <c r="L65" i="35"/>
  <c r="L66" i="35" s="1"/>
  <c r="L67" i="35" s="1"/>
  <c r="L68" i="35" s="1"/>
  <c r="D62" i="35"/>
  <c r="G62" i="35"/>
  <c r="R51" i="35"/>
  <c r="R52" i="35" s="1"/>
  <c r="R53" i="35" s="1"/>
  <c r="H62" i="35"/>
  <c r="K52" i="19"/>
  <c r="D52" i="19"/>
  <c r="L52" i="19"/>
  <c r="E60" i="19"/>
  <c r="M60" i="19"/>
  <c r="F52" i="19"/>
  <c r="J67" i="19"/>
  <c r="I52" i="19"/>
  <c r="O52" i="19"/>
  <c r="H52" i="19"/>
  <c r="E52" i="19"/>
  <c r="E26" i="55"/>
  <c r="E27" i="55" s="1"/>
  <c r="E28" i="55" s="1"/>
  <c r="E33" i="55" s="1"/>
  <c r="E34" i="55" s="1"/>
  <c r="E24" i="55"/>
  <c r="E25" i="55" s="1"/>
  <c r="F23" i="55"/>
  <c r="E9" i="55"/>
  <c r="E14" i="55" s="1"/>
  <c r="E15" i="55" s="1"/>
  <c r="E19" i="55" s="1"/>
  <c r="E20" i="55" s="1"/>
  <c r="F6" i="55"/>
  <c r="E8" i="55"/>
  <c r="G16" i="55"/>
  <c r="H12" i="55"/>
  <c r="N65" i="26"/>
  <c r="N66" i="26" s="1"/>
  <c r="N67" i="26" s="1"/>
  <c r="D87" i="26"/>
  <c r="H87" i="26"/>
  <c r="I87" i="26"/>
  <c r="Q65" i="26"/>
  <c r="Q66" i="26" s="1"/>
  <c r="Q67" i="26" s="1"/>
  <c r="F87" i="26"/>
  <c r="W65" i="26"/>
  <c r="W66" i="26" s="1"/>
  <c r="W67" i="26" s="1"/>
  <c r="I65" i="26"/>
  <c r="I66" i="26" s="1"/>
  <c r="I67" i="26" s="1"/>
  <c r="L76" i="26"/>
  <c r="F70" i="24"/>
  <c r="N70" i="24"/>
  <c r="E35" i="24"/>
  <c r="F62" i="53"/>
  <c r="E63" i="53"/>
  <c r="E6" i="53"/>
  <c r="P77" i="53"/>
  <c r="P78" i="53" s="1"/>
  <c r="Q76" i="53"/>
  <c r="F31" i="53"/>
  <c r="E35" i="53"/>
  <c r="D19" i="24"/>
  <c r="D38" i="24" s="1"/>
  <c r="F23" i="52"/>
  <c r="E8" i="52"/>
  <c r="E9" i="52"/>
  <c r="E14" i="52" s="1"/>
  <c r="E15" i="52" s="1"/>
  <c r="E19" i="52" s="1"/>
  <c r="E20" i="52" s="1"/>
  <c r="F6" i="52"/>
  <c r="N55" i="14"/>
  <c r="K58" i="14"/>
  <c r="N58" i="14" s="1"/>
  <c r="B61" i="14"/>
  <c r="J63" i="14" s="1"/>
  <c r="N63" i="14" s="1"/>
  <c r="F23" i="47"/>
  <c r="F26" i="47" s="1"/>
  <c r="D19" i="49"/>
  <c r="D20" i="49" s="1"/>
  <c r="D36" i="50"/>
  <c r="F16" i="50"/>
  <c r="G12" i="50"/>
  <c r="E23" i="50"/>
  <c r="D35" i="49"/>
  <c r="F29" i="49"/>
  <c r="G29" i="49" s="1"/>
  <c r="H29" i="49" s="1"/>
  <c r="I29" i="49" s="1"/>
  <c r="J29" i="49" s="1"/>
  <c r="K29" i="49" s="1"/>
  <c r="L29" i="49" s="1"/>
  <c r="M29" i="49" s="1"/>
  <c r="N29" i="49" s="1"/>
  <c r="O29" i="49" s="1"/>
  <c r="E26" i="49"/>
  <c r="E27" i="49" s="1"/>
  <c r="E28" i="49" s="1"/>
  <c r="E33" i="49" s="1"/>
  <c r="E34" i="49" s="1"/>
  <c r="F16" i="49"/>
  <c r="G12" i="49"/>
  <c r="E16" i="49"/>
  <c r="E6" i="49" s="1"/>
  <c r="E24" i="49"/>
  <c r="E25" i="49" s="1"/>
  <c r="D37" i="47"/>
  <c r="E9" i="47"/>
  <c r="E14" i="47" s="1"/>
  <c r="E15" i="47" s="1"/>
  <c r="E19" i="47" s="1"/>
  <c r="E20" i="47" s="1"/>
  <c r="F6" i="47"/>
  <c r="E8" i="47"/>
  <c r="E24" i="47"/>
  <c r="E25" i="47" s="1"/>
  <c r="E26" i="47"/>
  <c r="E27" i="47" s="1"/>
  <c r="E28" i="47" s="1"/>
  <c r="E33" i="47" s="1"/>
  <c r="E34" i="47" s="1"/>
  <c r="G12" i="47"/>
  <c r="P30" i="44"/>
  <c r="O60" i="33"/>
  <c r="O61" i="33" s="1"/>
  <c r="O62" i="33" s="1"/>
  <c r="I60" i="33"/>
  <c r="I61" i="33" s="1"/>
  <c r="I62" i="33" s="1"/>
  <c r="D71" i="33"/>
  <c r="Y74" i="33"/>
  <c r="Y75" i="33" s="1"/>
  <c r="Y76" i="33" s="1"/>
  <c r="Y77" i="33" s="1"/>
  <c r="W74" i="33"/>
  <c r="W75" i="33" s="1"/>
  <c r="W76" i="33" s="1"/>
  <c r="W77" i="33" s="1"/>
  <c r="F71" i="33"/>
  <c r="H61" i="30"/>
  <c r="H62" i="30" s="1"/>
  <c r="H63" i="30" s="1"/>
  <c r="X61" i="30"/>
  <c r="X62" i="30" s="1"/>
  <c r="X63" i="30" s="1"/>
  <c r="I72" i="30"/>
  <c r="J72" i="30"/>
  <c r="D72" i="30"/>
  <c r="L72" i="30"/>
  <c r="P61" i="30"/>
  <c r="P62" i="30" s="1"/>
  <c r="P63" i="30" s="1"/>
  <c r="E72" i="30"/>
  <c r="D61" i="30"/>
  <c r="D62" i="30" s="1"/>
  <c r="D63" i="30" s="1"/>
  <c r="F72" i="30"/>
  <c r="G72" i="30"/>
  <c r="H68" i="31"/>
  <c r="E35" i="31"/>
  <c r="E37" i="31" s="1"/>
  <c r="O61" i="31"/>
  <c r="G61" i="31"/>
  <c r="N61" i="31"/>
  <c r="D50" i="31"/>
  <c r="D51" i="31" s="1"/>
  <c r="D52" i="31" s="1"/>
  <c r="J61" i="31"/>
  <c r="F68" i="31"/>
  <c r="E72" i="23"/>
  <c r="U61" i="23"/>
  <c r="U62" i="23" s="1"/>
  <c r="U63" i="23" s="1"/>
  <c r="O64" i="23" s="1"/>
  <c r="E61" i="23"/>
  <c r="E62" i="23" s="1"/>
  <c r="E63" i="23" s="1"/>
  <c r="E64" i="23" s="1"/>
  <c r="M75" i="23"/>
  <c r="M76" i="23" s="1"/>
  <c r="M77" i="23" s="1"/>
  <c r="M78" i="23" s="1"/>
  <c r="F72" i="23"/>
  <c r="J72" i="23"/>
  <c r="Z75" i="23"/>
  <c r="Z76" i="23" s="1"/>
  <c r="Z77" i="23" s="1"/>
  <c r="Z78" i="23" s="1"/>
  <c r="J75" i="23"/>
  <c r="J76" i="23" s="1"/>
  <c r="J77" i="23" s="1"/>
  <c r="J78" i="23" s="1"/>
  <c r="G72" i="23"/>
  <c r="Y75" i="23"/>
  <c r="Y76" i="23" s="1"/>
  <c r="Y77" i="23" s="1"/>
  <c r="Y78" i="23" s="1"/>
  <c r="I75" i="23"/>
  <c r="I76" i="23" s="1"/>
  <c r="I77" i="23" s="1"/>
  <c r="I78" i="23" s="1"/>
  <c r="G79" i="23" s="1"/>
  <c r="H72" i="23"/>
  <c r="O60" i="27"/>
  <c r="O61" i="27" s="1"/>
  <c r="O62" i="27" s="1"/>
  <c r="F71" i="27"/>
  <c r="N71" i="27"/>
  <c r="T74" i="27"/>
  <c r="T75" i="27" s="1"/>
  <c r="T76" i="27" s="1"/>
  <c r="T77" i="27" s="1"/>
  <c r="L74" i="27"/>
  <c r="L75" i="27" s="1"/>
  <c r="L76" i="27" s="1"/>
  <c r="L77" i="27" s="1"/>
  <c r="W60" i="27"/>
  <c r="W61" i="27" s="1"/>
  <c r="W62" i="27" s="1"/>
  <c r="H71" i="27"/>
  <c r="G71" i="27"/>
  <c r="D35" i="27"/>
  <c r="D37" i="27" s="1"/>
  <c r="I71" i="27"/>
  <c r="Y74" i="27"/>
  <c r="Y75" i="27" s="1"/>
  <c r="Y76" i="27" s="1"/>
  <c r="Y77" i="27" s="1"/>
  <c r="Q74" i="27"/>
  <c r="Q75" i="27" s="1"/>
  <c r="Q76" i="27" s="1"/>
  <c r="Q77" i="27" s="1"/>
  <c r="I74" i="27"/>
  <c r="I75" i="27" s="1"/>
  <c r="I76" i="27" s="1"/>
  <c r="I77" i="27" s="1"/>
  <c r="F78" i="27" s="1"/>
  <c r="G60" i="27"/>
  <c r="G61" i="27" s="1"/>
  <c r="G62" i="27" s="1"/>
  <c r="F63" i="27" s="1"/>
  <c r="J106" i="17"/>
  <c r="L106" i="17"/>
  <c r="H106" i="17"/>
  <c r="O106" i="17"/>
  <c r="G106" i="17"/>
  <c r="D106" i="17"/>
  <c r="N106" i="17"/>
  <c r="F106" i="17"/>
  <c r="M106" i="17"/>
  <c r="E106" i="17"/>
  <c r="K106" i="17"/>
  <c r="J111" i="17"/>
  <c r="G111" i="17"/>
  <c r="I67" i="19"/>
  <c r="J52" i="19"/>
  <c r="M52" i="19"/>
  <c r="K67" i="19"/>
  <c r="L67" i="19"/>
  <c r="E67" i="19"/>
  <c r="M67" i="19"/>
  <c r="F67" i="19"/>
  <c r="D67" i="19"/>
  <c r="N67" i="19"/>
  <c r="G67" i="19"/>
  <c r="O67" i="19"/>
  <c r="F60" i="19"/>
  <c r="G60" i="19"/>
  <c r="H60" i="19"/>
  <c r="I60" i="19"/>
  <c r="N52" i="19"/>
  <c r="H67" i="19"/>
  <c r="J60" i="19"/>
  <c r="F79" i="26"/>
  <c r="F80" i="26" s="1"/>
  <c r="F81" i="26" s="1"/>
  <c r="F82" i="26" s="1"/>
  <c r="S65" i="26"/>
  <c r="S66" i="26" s="1"/>
  <c r="S67" i="26" s="1"/>
  <c r="E79" i="26"/>
  <c r="E80" i="26" s="1"/>
  <c r="E81" i="26" s="1"/>
  <c r="E82" i="26" s="1"/>
  <c r="K65" i="26"/>
  <c r="K66" i="26" s="1"/>
  <c r="K67" i="26" s="1"/>
  <c r="M65" i="26"/>
  <c r="M66" i="26" s="1"/>
  <c r="M67" i="26" s="1"/>
  <c r="K68" i="26" s="1"/>
  <c r="H76" i="26"/>
  <c r="K76" i="26"/>
  <c r="V79" i="26"/>
  <c r="V80" i="26" s="1"/>
  <c r="V81" i="26" s="1"/>
  <c r="V82" i="26" s="1"/>
  <c r="E35" i="26"/>
  <c r="U65" i="26"/>
  <c r="U66" i="26" s="1"/>
  <c r="U67" i="26" s="1"/>
  <c r="G76" i="26"/>
  <c r="O79" i="26"/>
  <c r="O80" i="26" s="1"/>
  <c r="O81" i="26" s="1"/>
  <c r="O82" i="26" s="1"/>
  <c r="G79" i="26"/>
  <c r="G80" i="26" s="1"/>
  <c r="G81" i="26" s="1"/>
  <c r="G82" i="26" s="1"/>
  <c r="X65" i="26"/>
  <c r="X66" i="26" s="1"/>
  <c r="X67" i="26" s="1"/>
  <c r="T79" i="26"/>
  <c r="T80" i="26" s="1"/>
  <c r="T81" i="26" s="1"/>
  <c r="T82" i="26" s="1"/>
  <c r="L79" i="26"/>
  <c r="L80" i="26" s="1"/>
  <c r="L81" i="26" s="1"/>
  <c r="L82" i="26" s="1"/>
  <c r="L83" i="26" s="1"/>
  <c r="D79" i="26"/>
  <c r="D80" i="26" s="1"/>
  <c r="D81" i="26" s="1"/>
  <c r="D82" i="26" s="1"/>
  <c r="D76" i="26"/>
  <c r="Z79" i="26"/>
  <c r="Z80" i="26" s="1"/>
  <c r="Z81" i="26" s="1"/>
  <c r="Z82" i="26" s="1"/>
  <c r="E76" i="26"/>
  <c r="Y79" i="26"/>
  <c r="Y80" i="26" s="1"/>
  <c r="Y81" i="26" s="1"/>
  <c r="Y82" i="26" s="1"/>
  <c r="F76" i="26"/>
  <c r="F71" i="25"/>
  <c r="N71" i="25"/>
  <c r="H71" i="25"/>
  <c r="K19" i="25"/>
  <c r="G71" i="25"/>
  <c r="O71" i="25"/>
  <c r="D35" i="25"/>
  <c r="L19" i="25"/>
  <c r="I71" i="25"/>
  <c r="F19" i="25"/>
  <c r="N19" i="25"/>
  <c r="J71" i="25"/>
  <c r="G19" i="25"/>
  <c r="K71" i="25"/>
  <c r="D19" i="25"/>
  <c r="D37" i="25" s="1"/>
  <c r="D71" i="25"/>
  <c r="L71" i="25"/>
  <c r="E71" i="25"/>
  <c r="M71" i="25"/>
  <c r="G70" i="24"/>
  <c r="I70" i="24"/>
  <c r="D70" i="24"/>
  <c r="K70" i="24"/>
  <c r="O70" i="24"/>
  <c r="E19" i="24"/>
  <c r="E38" i="24" s="1"/>
  <c r="E70" i="24"/>
  <c r="M70" i="24"/>
  <c r="E50" i="34"/>
  <c r="M50" i="34"/>
  <c r="J19" i="34"/>
  <c r="F19" i="34"/>
  <c r="F50" i="34"/>
  <c r="N50" i="34"/>
  <c r="G50" i="34"/>
  <c r="O50" i="34"/>
  <c r="H50" i="34"/>
  <c r="J50" i="34"/>
  <c r="D54" i="35"/>
  <c r="E54" i="35"/>
  <c r="M54" i="35"/>
  <c r="O54" i="35"/>
  <c r="N54" i="35"/>
  <c r="F15" i="35"/>
  <c r="E19" i="35"/>
  <c r="E40" i="35" s="1"/>
  <c r="O69" i="35"/>
  <c r="F33" i="35"/>
  <c r="D19" i="35"/>
  <c r="D40" i="35" s="1"/>
  <c r="I62" i="35"/>
  <c r="J62" i="35"/>
  <c r="F31" i="34"/>
  <c r="F35" i="34" s="1"/>
  <c r="E57" i="34"/>
  <c r="K19" i="34"/>
  <c r="G19" i="34"/>
  <c r="G57" i="34"/>
  <c r="P54" i="34"/>
  <c r="O55" i="34"/>
  <c r="O56" i="34" s="1"/>
  <c r="H57" i="34" s="1"/>
  <c r="L19" i="34"/>
  <c r="H19" i="34"/>
  <c r="M19" i="34"/>
  <c r="I19" i="34"/>
  <c r="N19" i="34"/>
  <c r="O19" i="34"/>
  <c r="F57" i="34"/>
  <c r="D57" i="34"/>
  <c r="D40" i="34"/>
  <c r="E39" i="34"/>
  <c r="F39" i="34" s="1"/>
  <c r="G39" i="34" s="1"/>
  <c r="H39" i="34" s="1"/>
  <c r="I39" i="34" s="1"/>
  <c r="J39" i="34" s="1"/>
  <c r="K39" i="34" s="1"/>
  <c r="L39" i="34" s="1"/>
  <c r="M39" i="34" s="1"/>
  <c r="N39" i="34" s="1"/>
  <c r="O39" i="34" s="1"/>
  <c r="P39" i="34" s="1"/>
  <c r="Q39" i="34" s="1"/>
  <c r="R39" i="34" s="1"/>
  <c r="S39" i="34" s="1"/>
  <c r="T39" i="34" s="1"/>
  <c r="U39" i="34" s="1"/>
  <c r="V39" i="34" s="1"/>
  <c r="W39" i="34" s="1"/>
  <c r="X39" i="34" s="1"/>
  <c r="Y39" i="34" s="1"/>
  <c r="Z39" i="34" s="1"/>
  <c r="D50" i="34"/>
  <c r="I50" i="34"/>
  <c r="E19" i="34"/>
  <c r="D19" i="33"/>
  <c r="D37" i="33" s="1"/>
  <c r="N60" i="33"/>
  <c r="N61" i="33" s="1"/>
  <c r="N62" i="33" s="1"/>
  <c r="G60" i="33"/>
  <c r="G61" i="33" s="1"/>
  <c r="G62" i="33" s="1"/>
  <c r="V60" i="33"/>
  <c r="V61" i="33" s="1"/>
  <c r="V62" i="33" s="1"/>
  <c r="K74" i="33"/>
  <c r="K75" i="33" s="1"/>
  <c r="K76" i="33" s="1"/>
  <c r="K77" i="33" s="1"/>
  <c r="Q74" i="33"/>
  <c r="Q75" i="33" s="1"/>
  <c r="Q76" i="33" s="1"/>
  <c r="Q77" i="33" s="1"/>
  <c r="S74" i="33"/>
  <c r="S75" i="33" s="1"/>
  <c r="S76" i="33" s="1"/>
  <c r="S77" i="33" s="1"/>
  <c r="G15" i="33"/>
  <c r="F19" i="33"/>
  <c r="H71" i="33"/>
  <c r="D74" i="33"/>
  <c r="D75" i="33" s="1"/>
  <c r="D76" i="33" s="1"/>
  <c r="D77" i="33" s="1"/>
  <c r="L74" i="33"/>
  <c r="L75" i="33" s="1"/>
  <c r="L76" i="33" s="1"/>
  <c r="L77" i="33" s="1"/>
  <c r="T74" i="33"/>
  <c r="T75" i="33" s="1"/>
  <c r="T76" i="33" s="1"/>
  <c r="T77" i="33" s="1"/>
  <c r="E19" i="33"/>
  <c r="E71" i="33"/>
  <c r="E31" i="33"/>
  <c r="I71" i="33"/>
  <c r="E74" i="33"/>
  <c r="E75" i="33" s="1"/>
  <c r="E76" i="33" s="1"/>
  <c r="E77" i="33" s="1"/>
  <c r="M74" i="33"/>
  <c r="M75" i="33" s="1"/>
  <c r="M76" i="33" s="1"/>
  <c r="M77" i="33" s="1"/>
  <c r="U74" i="33"/>
  <c r="U75" i="33" s="1"/>
  <c r="U76" i="33" s="1"/>
  <c r="U77" i="33" s="1"/>
  <c r="H60" i="33"/>
  <c r="H61" i="33" s="1"/>
  <c r="H62" i="33" s="1"/>
  <c r="P60" i="33"/>
  <c r="P61" i="33" s="1"/>
  <c r="P62" i="33" s="1"/>
  <c r="X60" i="33"/>
  <c r="X61" i="33" s="1"/>
  <c r="X62" i="33" s="1"/>
  <c r="J71" i="33"/>
  <c r="J60" i="33"/>
  <c r="J61" i="33" s="1"/>
  <c r="J62" i="33" s="1"/>
  <c r="R60" i="33"/>
  <c r="R61" i="33" s="1"/>
  <c r="R62" i="33" s="1"/>
  <c r="Z60" i="33"/>
  <c r="Z61" i="33" s="1"/>
  <c r="Z62" i="33" s="1"/>
  <c r="D35" i="31"/>
  <c r="D37" i="31" s="1"/>
  <c r="L50" i="31"/>
  <c r="L51" i="31" s="1"/>
  <c r="L52" i="31" s="1"/>
  <c r="L53" i="31" s="1"/>
  <c r="T50" i="31"/>
  <c r="T51" i="31" s="1"/>
  <c r="T52" i="31" s="1"/>
  <c r="F19" i="31"/>
  <c r="G15" i="31"/>
  <c r="U64" i="31"/>
  <c r="U65" i="31" s="1"/>
  <c r="U66" i="31" s="1"/>
  <c r="U67" i="31" s="1"/>
  <c r="F31" i="31"/>
  <c r="H50" i="31"/>
  <c r="H51" i="31" s="1"/>
  <c r="H52" i="31" s="1"/>
  <c r="P50" i="31"/>
  <c r="P51" i="31" s="1"/>
  <c r="P52" i="31" s="1"/>
  <c r="X50" i="31"/>
  <c r="X51" i="31" s="1"/>
  <c r="X52" i="31" s="1"/>
  <c r="M64" i="31"/>
  <c r="M65" i="31" s="1"/>
  <c r="M66" i="31" s="1"/>
  <c r="M67" i="31" s="1"/>
  <c r="M68" i="31" s="1"/>
  <c r="I50" i="31"/>
  <c r="I51" i="31" s="1"/>
  <c r="I52" i="31" s="1"/>
  <c r="Q50" i="31"/>
  <c r="Q51" i="31" s="1"/>
  <c r="Q52" i="31" s="1"/>
  <c r="Y50" i="31"/>
  <c r="Y51" i="31" s="1"/>
  <c r="Y52" i="31" s="1"/>
  <c r="J50" i="31"/>
  <c r="J51" i="31" s="1"/>
  <c r="J52" i="31" s="1"/>
  <c r="R50" i="31"/>
  <c r="R51" i="31" s="1"/>
  <c r="R52" i="31" s="1"/>
  <c r="Z50" i="31"/>
  <c r="Z51" i="31" s="1"/>
  <c r="Z52" i="31" s="1"/>
  <c r="K50" i="31"/>
  <c r="K51" i="31" s="1"/>
  <c r="K52" i="31" s="1"/>
  <c r="S50" i="31"/>
  <c r="S51" i="31" s="1"/>
  <c r="S52" i="31" s="1"/>
  <c r="E19" i="31"/>
  <c r="E64" i="31"/>
  <c r="E65" i="31" s="1"/>
  <c r="E66" i="31" s="1"/>
  <c r="E67" i="31" s="1"/>
  <c r="E68" i="31" s="1"/>
  <c r="E35" i="30"/>
  <c r="F15" i="30"/>
  <c r="Z75" i="30"/>
  <c r="Z76" i="30" s="1"/>
  <c r="Z77" i="30" s="1"/>
  <c r="Z78" i="30" s="1"/>
  <c r="S61" i="30"/>
  <c r="S62" i="30" s="1"/>
  <c r="S63" i="30" s="1"/>
  <c r="L75" i="30"/>
  <c r="L76" i="30" s="1"/>
  <c r="L77" i="30" s="1"/>
  <c r="L78" i="30" s="1"/>
  <c r="J75" i="30"/>
  <c r="J76" i="30" s="1"/>
  <c r="J77" i="30" s="1"/>
  <c r="J78" i="30" s="1"/>
  <c r="K75" i="30"/>
  <c r="K76" i="30" s="1"/>
  <c r="K77" i="30" s="1"/>
  <c r="K78" i="30" s="1"/>
  <c r="T61" i="30"/>
  <c r="T62" i="30" s="1"/>
  <c r="T63" i="30" s="1"/>
  <c r="F35" i="30"/>
  <c r="G31" i="30"/>
  <c r="E75" i="30"/>
  <c r="E76" i="30" s="1"/>
  <c r="E77" i="30" s="1"/>
  <c r="E78" i="30" s="1"/>
  <c r="M75" i="30"/>
  <c r="M76" i="30" s="1"/>
  <c r="M77" i="30" s="1"/>
  <c r="M78" i="30" s="1"/>
  <c r="M79" i="30" s="1"/>
  <c r="U75" i="30"/>
  <c r="U76" i="30" s="1"/>
  <c r="U77" i="30" s="1"/>
  <c r="U78" i="30" s="1"/>
  <c r="N79" i="30" s="1"/>
  <c r="I61" i="30"/>
  <c r="I62" i="30" s="1"/>
  <c r="I63" i="30" s="1"/>
  <c r="Q61" i="30"/>
  <c r="Q62" i="30" s="1"/>
  <c r="Q63" i="30" s="1"/>
  <c r="Y61" i="30"/>
  <c r="Y62" i="30" s="1"/>
  <c r="Y63" i="30" s="1"/>
  <c r="K72" i="30"/>
  <c r="R62" i="29"/>
  <c r="R63" i="29" s="1"/>
  <c r="R64" i="29" s="1"/>
  <c r="L76" i="29"/>
  <c r="L77" i="29" s="1"/>
  <c r="L78" i="29" s="1"/>
  <c r="L79" i="29" s="1"/>
  <c r="T62" i="29"/>
  <c r="T63" i="29" s="1"/>
  <c r="T64" i="29" s="1"/>
  <c r="V62" i="29"/>
  <c r="V63" i="29" s="1"/>
  <c r="V64" i="29" s="1"/>
  <c r="X62" i="29"/>
  <c r="X63" i="29" s="1"/>
  <c r="X64" i="29" s="1"/>
  <c r="F19" i="29"/>
  <c r="G15" i="29"/>
  <c r="F33" i="29"/>
  <c r="M76" i="29"/>
  <c r="M77" i="29" s="1"/>
  <c r="M78" i="29" s="1"/>
  <c r="M79" i="29" s="1"/>
  <c r="M80" i="29" s="1"/>
  <c r="I62" i="29"/>
  <c r="I63" i="29" s="1"/>
  <c r="I64" i="29" s="1"/>
  <c r="Q62" i="29"/>
  <c r="Q63" i="29" s="1"/>
  <c r="Q64" i="29" s="1"/>
  <c r="Y62" i="29"/>
  <c r="Y63" i="29" s="1"/>
  <c r="Y64" i="29" s="1"/>
  <c r="I73" i="29"/>
  <c r="L73" i="29"/>
  <c r="K62" i="29"/>
  <c r="K63" i="29" s="1"/>
  <c r="K64" i="29" s="1"/>
  <c r="S62" i="29"/>
  <c r="S63" i="29" s="1"/>
  <c r="S64" i="29" s="1"/>
  <c r="E76" i="29"/>
  <c r="E77" i="29" s="1"/>
  <c r="E78" i="29" s="1"/>
  <c r="E79" i="29" s="1"/>
  <c r="E80" i="29" s="1"/>
  <c r="E19" i="29"/>
  <c r="E39" i="29" s="1"/>
  <c r="U76" i="29"/>
  <c r="U77" i="29" s="1"/>
  <c r="U78" i="29" s="1"/>
  <c r="U79" i="29" s="1"/>
  <c r="N80" i="29" s="1"/>
  <c r="L73" i="28"/>
  <c r="L74" i="28" s="1"/>
  <c r="L75" i="28" s="1"/>
  <c r="L76" i="28" s="1"/>
  <c r="H77" i="28" s="1"/>
  <c r="T59" i="28"/>
  <c r="T60" i="28" s="1"/>
  <c r="T61" i="28" s="1"/>
  <c r="V59" i="28"/>
  <c r="V60" i="28" s="1"/>
  <c r="V61" i="28" s="1"/>
  <c r="E35" i="28"/>
  <c r="E37" i="28" s="1"/>
  <c r="F35" i="28"/>
  <c r="F19" i="28"/>
  <c r="F37" i="28" s="1"/>
  <c r="G19" i="28"/>
  <c r="H19" i="28"/>
  <c r="N77" i="28"/>
  <c r="D77" i="28"/>
  <c r="M77" i="28"/>
  <c r="K15" i="28"/>
  <c r="J19" i="28"/>
  <c r="O77" i="28"/>
  <c r="I19" i="28"/>
  <c r="G59" i="28"/>
  <c r="G60" i="28" s="1"/>
  <c r="G61" i="28" s="1"/>
  <c r="O59" i="28"/>
  <c r="O60" i="28" s="1"/>
  <c r="O61" i="28" s="1"/>
  <c r="W59" i="28"/>
  <c r="W60" i="28" s="1"/>
  <c r="W61" i="28" s="1"/>
  <c r="I70" i="28"/>
  <c r="G31" i="28"/>
  <c r="E70" i="28"/>
  <c r="M70" i="28"/>
  <c r="K70" i="28"/>
  <c r="N70" i="28"/>
  <c r="E78" i="27"/>
  <c r="F18" i="27"/>
  <c r="F19" i="27" s="1"/>
  <c r="G34" i="27"/>
  <c r="G35" i="27" s="1"/>
  <c r="D78" i="27"/>
  <c r="N63" i="27"/>
  <c r="E63" i="27"/>
  <c r="I78" i="27"/>
  <c r="E35" i="27"/>
  <c r="F34" i="27"/>
  <c r="F35" i="27" s="1"/>
  <c r="E19" i="27"/>
  <c r="J71" i="27"/>
  <c r="K71" i="27"/>
  <c r="D71" i="27"/>
  <c r="L71" i="27"/>
  <c r="E71" i="27"/>
  <c r="M71" i="27"/>
  <c r="F15" i="26"/>
  <c r="E19" i="26"/>
  <c r="F31" i="26"/>
  <c r="J76" i="26"/>
  <c r="I76" i="26"/>
  <c r="D19" i="26"/>
  <c r="D38" i="26" s="1"/>
  <c r="O19" i="25"/>
  <c r="H19" i="25"/>
  <c r="I19" i="25"/>
  <c r="E19" i="25"/>
  <c r="J19" i="25"/>
  <c r="M19" i="25"/>
  <c r="G78" i="25"/>
  <c r="D62" i="25"/>
  <c r="E61" i="25"/>
  <c r="E78" i="25"/>
  <c r="D78" i="25"/>
  <c r="P75" i="25"/>
  <c r="O76" i="25"/>
  <c r="O77" i="25" s="1"/>
  <c r="H78" i="25" s="1"/>
  <c r="F78" i="25"/>
  <c r="E60" i="25"/>
  <c r="F60" i="25" s="1"/>
  <c r="G60" i="25" s="1"/>
  <c r="H60" i="25" s="1"/>
  <c r="I60" i="25" s="1"/>
  <c r="J60" i="25" s="1"/>
  <c r="K60" i="25" s="1"/>
  <c r="L60" i="25" s="1"/>
  <c r="M60" i="25" s="1"/>
  <c r="N60" i="25" s="1"/>
  <c r="O60" i="25" s="1"/>
  <c r="P60" i="25" s="1"/>
  <c r="Q60" i="25" s="1"/>
  <c r="R60" i="25" s="1"/>
  <c r="S60" i="25" s="1"/>
  <c r="T60" i="25" s="1"/>
  <c r="U60" i="25" s="1"/>
  <c r="V60" i="25" s="1"/>
  <c r="W60" i="25" s="1"/>
  <c r="X60" i="25" s="1"/>
  <c r="Y60" i="25" s="1"/>
  <c r="Z60" i="25" s="1"/>
  <c r="E31" i="25"/>
  <c r="F77" i="24"/>
  <c r="G77" i="24"/>
  <c r="O75" i="24"/>
  <c r="O76" i="24" s="1"/>
  <c r="H77" i="24" s="1"/>
  <c r="P74" i="24"/>
  <c r="D61" i="24"/>
  <c r="E60" i="24"/>
  <c r="D77" i="24"/>
  <c r="E77" i="24"/>
  <c r="H70" i="24"/>
  <c r="E59" i="24"/>
  <c r="F59" i="24" s="1"/>
  <c r="G59" i="24" s="1"/>
  <c r="H59" i="24" s="1"/>
  <c r="I59" i="24" s="1"/>
  <c r="J59" i="24" s="1"/>
  <c r="K59" i="24" s="1"/>
  <c r="L59" i="24" s="1"/>
  <c r="M59" i="24" s="1"/>
  <c r="N59" i="24" s="1"/>
  <c r="O59" i="24" s="1"/>
  <c r="P59" i="24" s="1"/>
  <c r="Q59" i="24" s="1"/>
  <c r="R59" i="24" s="1"/>
  <c r="S59" i="24" s="1"/>
  <c r="T59" i="24" s="1"/>
  <c r="U59" i="24" s="1"/>
  <c r="V59" i="24" s="1"/>
  <c r="W59" i="24" s="1"/>
  <c r="X59" i="24" s="1"/>
  <c r="Y59" i="24" s="1"/>
  <c r="Z59" i="24" s="1"/>
  <c r="J70" i="24"/>
  <c r="L70" i="24"/>
  <c r="F15" i="24"/>
  <c r="G15" i="24" s="1"/>
  <c r="H15" i="24" s="1"/>
  <c r="I15" i="24" s="1"/>
  <c r="J15" i="24" s="1"/>
  <c r="K15" i="24" s="1"/>
  <c r="L15" i="24" s="1"/>
  <c r="M15" i="24" s="1"/>
  <c r="F31" i="24"/>
  <c r="H64" i="23"/>
  <c r="G64" i="23"/>
  <c r="E35" i="23"/>
  <c r="I72" i="23"/>
  <c r="K72" i="23"/>
  <c r="E19" i="23"/>
  <c r="N72" i="23"/>
  <c r="F19" i="23"/>
  <c r="G19" i="23"/>
  <c r="I70" i="20"/>
  <c r="E70" i="20"/>
  <c r="L81" i="21"/>
  <c r="E19" i="21"/>
  <c r="E37" i="21"/>
  <c r="F33" i="21"/>
  <c r="F37" i="21" s="1"/>
  <c r="D37" i="21"/>
  <c r="J81" i="21"/>
  <c r="D81" i="21"/>
  <c r="F81" i="21"/>
  <c r="N81" i="21"/>
  <c r="H81" i="21"/>
  <c r="H66" i="21"/>
  <c r="O81" i="21"/>
  <c r="K81" i="21"/>
  <c r="L66" i="21"/>
  <c r="M81" i="21"/>
  <c r="E66" i="21"/>
  <c r="M66" i="21"/>
  <c r="E81" i="21"/>
  <c r="G15" i="21"/>
  <c r="F19" i="21"/>
  <c r="F40" i="21" s="1"/>
  <c r="F66" i="21"/>
  <c r="N66" i="21"/>
  <c r="K66" i="21"/>
  <c r="D66" i="21"/>
  <c r="I81" i="21"/>
  <c r="J66" i="21"/>
  <c r="G66" i="21"/>
  <c r="O66" i="21"/>
  <c r="I66" i="21"/>
  <c r="I74" i="21"/>
  <c r="K74" i="21"/>
  <c r="N74" i="21"/>
  <c r="G36" i="20"/>
  <c r="E37" i="20"/>
  <c r="E39" i="20" s="1"/>
  <c r="F36" i="20"/>
  <c r="F37" i="20" s="1"/>
  <c r="F18" i="20"/>
  <c r="J70" i="20"/>
  <c r="H55" i="20"/>
  <c r="H70" i="20"/>
  <c r="M70" i="20"/>
  <c r="K70" i="20"/>
  <c r="L70" i="20"/>
  <c r="F70" i="20"/>
  <c r="N70" i="20"/>
  <c r="J55" i="20"/>
  <c r="G33" i="20"/>
  <c r="G70" i="20"/>
  <c r="O70" i="20"/>
  <c r="I55" i="20"/>
  <c r="F15" i="20"/>
  <c r="E19" i="20"/>
  <c r="F55" i="20"/>
  <c r="D55" i="20"/>
  <c r="E55" i="20"/>
  <c r="N55" i="20"/>
  <c r="L55" i="20"/>
  <c r="M55" i="20"/>
  <c r="K55" i="20"/>
  <c r="D70" i="20"/>
  <c r="L63" i="20"/>
  <c r="F63" i="20"/>
  <c r="N63" i="20"/>
  <c r="K63" i="20"/>
  <c r="D19" i="20"/>
  <c r="D63" i="20"/>
  <c r="E63" i="20"/>
  <c r="M63" i="20"/>
  <c r="L60" i="19"/>
  <c r="K60" i="19"/>
  <c r="D60" i="19"/>
  <c r="D35" i="19"/>
  <c r="D19" i="19"/>
  <c r="D37" i="19" s="1"/>
  <c r="G15" i="19"/>
  <c r="F19" i="19"/>
  <c r="F37" i="19" s="1"/>
  <c r="F35" i="19"/>
  <c r="G31" i="19"/>
  <c r="E19" i="19"/>
  <c r="E35" i="19"/>
  <c r="E98" i="17"/>
  <c r="F98" i="17"/>
  <c r="G98" i="17"/>
  <c r="H98" i="17"/>
  <c r="I98" i="17"/>
  <c r="J98" i="17"/>
  <c r="K98" i="17"/>
  <c r="L98" i="17"/>
  <c r="M98" i="17"/>
  <c r="N98" i="17"/>
  <c r="O98" i="17"/>
  <c r="O99" i="17" s="1"/>
  <c r="D98" i="17"/>
  <c r="D93" i="17"/>
  <c r="E87" i="17"/>
  <c r="E88" i="17" s="1"/>
  <c r="E89" i="17" s="1"/>
  <c r="E90" i="17" s="1"/>
  <c r="F87" i="17"/>
  <c r="F88" i="17" s="1"/>
  <c r="F89" i="17" s="1"/>
  <c r="F90" i="17" s="1"/>
  <c r="G87" i="17"/>
  <c r="G88" i="17" s="1"/>
  <c r="G89" i="17" s="1"/>
  <c r="G90" i="17" s="1"/>
  <c r="H87" i="17"/>
  <c r="H88" i="17" s="1"/>
  <c r="H89" i="17" s="1"/>
  <c r="H90" i="17" s="1"/>
  <c r="I87" i="17"/>
  <c r="I88" i="17" s="1"/>
  <c r="I89" i="17" s="1"/>
  <c r="I90" i="17" s="1"/>
  <c r="J87" i="17"/>
  <c r="J88" i="17" s="1"/>
  <c r="J89" i="17" s="1"/>
  <c r="J90" i="17" s="1"/>
  <c r="K87" i="17"/>
  <c r="K88" i="17" s="1"/>
  <c r="K89" i="17" s="1"/>
  <c r="K90" i="17" s="1"/>
  <c r="L87" i="17"/>
  <c r="L88" i="17" s="1"/>
  <c r="L89" i="17" s="1"/>
  <c r="L90" i="17" s="1"/>
  <c r="M87" i="17"/>
  <c r="M88" i="17" s="1"/>
  <c r="M89" i="17" s="1"/>
  <c r="M90" i="17" s="1"/>
  <c r="N87" i="17"/>
  <c r="N88" i="17" s="1"/>
  <c r="N89" i="17" s="1"/>
  <c r="N90" i="17" s="1"/>
  <c r="O87" i="17"/>
  <c r="O88" i="17" s="1"/>
  <c r="O89" i="17" s="1"/>
  <c r="O90" i="17" s="1"/>
  <c r="P87" i="17"/>
  <c r="P88" i="17" s="1"/>
  <c r="P89" i="17" s="1"/>
  <c r="P90" i="17" s="1"/>
  <c r="Q87" i="17"/>
  <c r="Q88" i="17" s="1"/>
  <c r="Q89" i="17" s="1"/>
  <c r="Q90" i="17" s="1"/>
  <c r="R87" i="17"/>
  <c r="R88" i="17" s="1"/>
  <c r="R89" i="17" s="1"/>
  <c r="R90" i="17" s="1"/>
  <c r="S87" i="17"/>
  <c r="S88" i="17" s="1"/>
  <c r="S89" i="17" s="1"/>
  <c r="S90" i="17" s="1"/>
  <c r="T87" i="17"/>
  <c r="T88" i="17" s="1"/>
  <c r="T89" i="17" s="1"/>
  <c r="T90" i="17" s="1"/>
  <c r="U87" i="17"/>
  <c r="U88" i="17" s="1"/>
  <c r="U89" i="17" s="1"/>
  <c r="U90" i="17" s="1"/>
  <c r="V87" i="17"/>
  <c r="V88" i="17" s="1"/>
  <c r="V89" i="17" s="1"/>
  <c r="V90" i="17" s="1"/>
  <c r="W87" i="17"/>
  <c r="W88" i="17" s="1"/>
  <c r="W89" i="17" s="1"/>
  <c r="W90" i="17" s="1"/>
  <c r="X87" i="17"/>
  <c r="X88" i="17" s="1"/>
  <c r="X89" i="17" s="1"/>
  <c r="X90" i="17" s="1"/>
  <c r="Y87" i="17"/>
  <c r="Y88" i="17" s="1"/>
  <c r="Y89" i="17" s="1"/>
  <c r="Y90" i="17" s="1"/>
  <c r="Z87" i="17"/>
  <c r="Z88" i="17" s="1"/>
  <c r="Z89" i="17" s="1"/>
  <c r="Z90" i="17" s="1"/>
  <c r="D87" i="17"/>
  <c r="D88" i="17" s="1"/>
  <c r="D89" i="17" s="1"/>
  <c r="D90" i="17" s="1"/>
  <c r="O34" i="17"/>
  <c r="N34" i="17"/>
  <c r="M34" i="17"/>
  <c r="L34" i="17"/>
  <c r="K34" i="17"/>
  <c r="J34" i="17"/>
  <c r="I34" i="17"/>
  <c r="H34" i="17"/>
  <c r="G34" i="17"/>
  <c r="F34" i="17"/>
  <c r="E34" i="17"/>
  <c r="D34" i="17"/>
  <c r="D35" i="17" s="1"/>
  <c r="E33" i="17"/>
  <c r="F33" i="17" s="1"/>
  <c r="G33" i="17" s="1"/>
  <c r="H33" i="17" s="1"/>
  <c r="I33" i="17" s="1"/>
  <c r="J33" i="17" s="1"/>
  <c r="K33" i="17" s="1"/>
  <c r="L33" i="17" s="1"/>
  <c r="M33" i="17" s="1"/>
  <c r="N33" i="17" s="1"/>
  <c r="O33" i="17" s="1"/>
  <c r="E25" i="17"/>
  <c r="F25" i="17" s="1"/>
  <c r="G25" i="17" s="1"/>
  <c r="H25" i="17" s="1"/>
  <c r="I25" i="17" s="1"/>
  <c r="J25" i="17" s="1"/>
  <c r="K25" i="17" s="1"/>
  <c r="L25" i="17" s="1"/>
  <c r="M25" i="17" s="1"/>
  <c r="N25" i="17" s="1"/>
  <c r="O25" i="17" s="1"/>
  <c r="O18" i="17"/>
  <c r="N18" i="17"/>
  <c r="M18" i="17"/>
  <c r="L18" i="17"/>
  <c r="K18" i="17"/>
  <c r="J18" i="17"/>
  <c r="I18" i="17"/>
  <c r="H18" i="17"/>
  <c r="G18" i="17"/>
  <c r="F18" i="17"/>
  <c r="E18" i="17"/>
  <c r="D18" i="17"/>
  <c r="D19" i="17" s="1"/>
  <c r="E15" i="17"/>
  <c r="E34" i="16"/>
  <c r="F34" i="16"/>
  <c r="G34" i="16"/>
  <c r="H34" i="16"/>
  <c r="I34" i="16"/>
  <c r="J34" i="16"/>
  <c r="K34" i="16"/>
  <c r="L34" i="16"/>
  <c r="M34" i="16"/>
  <c r="N34" i="16"/>
  <c r="O34" i="16"/>
  <c r="D34" i="16"/>
  <c r="D35" i="16" s="1"/>
  <c r="E33" i="16"/>
  <c r="F33" i="16" s="1"/>
  <c r="G33" i="16" s="1"/>
  <c r="H33" i="16" s="1"/>
  <c r="I33" i="16" s="1"/>
  <c r="J33" i="16" s="1"/>
  <c r="K33" i="16" s="1"/>
  <c r="L33" i="16" s="1"/>
  <c r="M33" i="16" s="1"/>
  <c r="N33" i="16" s="1"/>
  <c r="O33" i="16" s="1"/>
  <c r="D31" i="16"/>
  <c r="E31" i="16" s="1"/>
  <c r="F31" i="16" s="1"/>
  <c r="G31" i="16" s="1"/>
  <c r="H31" i="16" s="1"/>
  <c r="I31" i="16" s="1"/>
  <c r="J31" i="16" s="1"/>
  <c r="K31" i="16" s="1"/>
  <c r="L31" i="16" s="1"/>
  <c r="M31" i="16" s="1"/>
  <c r="N31" i="16" s="1"/>
  <c r="O31" i="16" s="1"/>
  <c r="Z83" i="16"/>
  <c r="Y83" i="16"/>
  <c r="X83" i="16"/>
  <c r="W83" i="16"/>
  <c r="V83" i="16"/>
  <c r="U83" i="16"/>
  <c r="T83" i="16"/>
  <c r="S83" i="16"/>
  <c r="R83" i="16"/>
  <c r="Q83" i="16"/>
  <c r="P83" i="16"/>
  <c r="O83" i="16"/>
  <c r="O84" i="16" s="1"/>
  <c r="O85" i="16" s="1"/>
  <c r="O86" i="16" s="1"/>
  <c r="N83" i="16"/>
  <c r="N84" i="16" s="1"/>
  <c r="N85" i="16" s="1"/>
  <c r="N86" i="16" s="1"/>
  <c r="M83" i="16"/>
  <c r="M84" i="16" s="1"/>
  <c r="M85" i="16" s="1"/>
  <c r="M86" i="16" s="1"/>
  <c r="L83" i="16"/>
  <c r="L84" i="16" s="1"/>
  <c r="L85" i="16" s="1"/>
  <c r="L86" i="16" s="1"/>
  <c r="K83" i="16"/>
  <c r="K84" i="16" s="1"/>
  <c r="K85" i="16" s="1"/>
  <c r="K86" i="16" s="1"/>
  <c r="J83" i="16"/>
  <c r="J84" i="16" s="1"/>
  <c r="J85" i="16" s="1"/>
  <c r="J86" i="16" s="1"/>
  <c r="I83" i="16"/>
  <c r="I84" i="16" s="1"/>
  <c r="I85" i="16" s="1"/>
  <c r="I86" i="16" s="1"/>
  <c r="H83" i="16"/>
  <c r="H84" i="16" s="1"/>
  <c r="H85" i="16" s="1"/>
  <c r="H86" i="16" s="1"/>
  <c r="G83" i="16"/>
  <c r="G84" i="16" s="1"/>
  <c r="G85" i="16" s="1"/>
  <c r="G86" i="16" s="1"/>
  <c r="F83" i="16"/>
  <c r="F84" i="16" s="1"/>
  <c r="F85" i="16" s="1"/>
  <c r="F86" i="16" s="1"/>
  <c r="E83" i="16"/>
  <c r="E84" i="16" s="1"/>
  <c r="E85" i="16" s="1"/>
  <c r="E86" i="16" s="1"/>
  <c r="D83" i="16"/>
  <c r="D84" i="16" s="1"/>
  <c r="D85" i="16" s="1"/>
  <c r="D86" i="16" s="1"/>
  <c r="E25" i="16"/>
  <c r="F25" i="16" s="1"/>
  <c r="G25" i="16" s="1"/>
  <c r="H25" i="16" s="1"/>
  <c r="I25" i="16" s="1"/>
  <c r="J25" i="16" s="1"/>
  <c r="K25" i="16" s="1"/>
  <c r="L25" i="16" s="1"/>
  <c r="M25" i="16" s="1"/>
  <c r="N25" i="16" s="1"/>
  <c r="O25" i="16" s="1"/>
  <c r="E18" i="16"/>
  <c r="F18" i="16"/>
  <c r="G18" i="16"/>
  <c r="H18" i="16"/>
  <c r="I18" i="16"/>
  <c r="J18" i="16"/>
  <c r="K18" i="16"/>
  <c r="L18" i="16"/>
  <c r="M18" i="16"/>
  <c r="N18" i="16"/>
  <c r="O18" i="16"/>
  <c r="D18" i="16"/>
  <c r="D74" i="16"/>
  <c r="P79" i="16"/>
  <c r="Q79" i="16"/>
  <c r="R79" i="16"/>
  <c r="S79" i="16"/>
  <c r="T79" i="16"/>
  <c r="U79" i="16"/>
  <c r="V79" i="16"/>
  <c r="W79" i="16"/>
  <c r="X79" i="16"/>
  <c r="Y79" i="16"/>
  <c r="Z79" i="16"/>
  <c r="E79" i="16"/>
  <c r="F79" i="16"/>
  <c r="G79" i="16"/>
  <c r="H79" i="16"/>
  <c r="I79" i="16"/>
  <c r="J79" i="16"/>
  <c r="K79" i="16"/>
  <c r="L79" i="16"/>
  <c r="M79" i="16"/>
  <c r="N79" i="16"/>
  <c r="O79" i="16"/>
  <c r="N80" i="16" s="1"/>
  <c r="D79" i="16"/>
  <c r="E15" i="16"/>
  <c r="F15" i="16" s="1"/>
  <c r="G15" i="16" s="1"/>
  <c r="T72" i="16"/>
  <c r="U72" i="16"/>
  <c r="V72" i="16"/>
  <c r="W72" i="16"/>
  <c r="X72" i="16"/>
  <c r="Y72" i="16"/>
  <c r="Z72" i="16"/>
  <c r="P68" i="16"/>
  <c r="Q68" i="16"/>
  <c r="R68" i="16"/>
  <c r="S68" i="16"/>
  <c r="T68" i="16"/>
  <c r="U68" i="16"/>
  <c r="V68" i="16"/>
  <c r="W68" i="16"/>
  <c r="X68" i="16"/>
  <c r="Y68" i="16"/>
  <c r="Z68" i="16"/>
  <c r="E68" i="16"/>
  <c r="F68" i="16"/>
  <c r="G68" i="16"/>
  <c r="H68" i="16"/>
  <c r="I68" i="16"/>
  <c r="J68" i="16"/>
  <c r="K68" i="16"/>
  <c r="L68" i="16"/>
  <c r="M68" i="16"/>
  <c r="N68" i="16"/>
  <c r="O68" i="16"/>
  <c r="D68" i="16"/>
  <c r="D69" i="16" s="1"/>
  <c r="E16" i="11"/>
  <c r="D8" i="16"/>
  <c r="D19" i="16" s="1"/>
  <c r="E30" i="13"/>
  <c r="F30" i="13" s="1"/>
  <c r="G30" i="13" s="1"/>
  <c r="H30" i="13" s="1"/>
  <c r="I30" i="13" s="1"/>
  <c r="J30" i="13" s="1"/>
  <c r="K30" i="13" s="1"/>
  <c r="L30" i="13" s="1"/>
  <c r="M30" i="13" s="1"/>
  <c r="N30" i="13" s="1"/>
  <c r="O30" i="13" s="1"/>
  <c r="E29" i="13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D26" i="13"/>
  <c r="D27" i="13" s="1"/>
  <c r="D28" i="13" s="1"/>
  <c r="D33" i="13" s="1"/>
  <c r="D34" i="13" s="1"/>
  <c r="D24" i="13"/>
  <c r="D25" i="13" s="1"/>
  <c r="E18" i="13"/>
  <c r="F18" i="13" s="1"/>
  <c r="G18" i="13" s="1"/>
  <c r="H18" i="13" s="1"/>
  <c r="I18" i="13" s="1"/>
  <c r="J18" i="13" s="1"/>
  <c r="K18" i="13" s="1"/>
  <c r="L18" i="13" s="1"/>
  <c r="M18" i="13" s="1"/>
  <c r="N18" i="13" s="1"/>
  <c r="O18" i="13" s="1"/>
  <c r="E17" i="13"/>
  <c r="F17" i="13" s="1"/>
  <c r="G17" i="13" s="1"/>
  <c r="H17" i="13" s="1"/>
  <c r="I17" i="13" s="1"/>
  <c r="J17" i="13" s="1"/>
  <c r="K17" i="13" s="1"/>
  <c r="L17" i="13" s="1"/>
  <c r="M17" i="13" s="1"/>
  <c r="N17" i="13" s="1"/>
  <c r="O17" i="13" s="1"/>
  <c r="D16" i="13"/>
  <c r="E12" i="13"/>
  <c r="F12" i="13" s="1"/>
  <c r="D9" i="13"/>
  <c r="D14" i="13" s="1"/>
  <c r="D15" i="13" s="1"/>
  <c r="D8" i="13"/>
  <c r="E18" i="10"/>
  <c r="F18" i="10" s="1"/>
  <c r="G18" i="10" s="1"/>
  <c r="H18" i="10" s="1"/>
  <c r="I18" i="10" s="1"/>
  <c r="J18" i="10" s="1"/>
  <c r="K18" i="10" s="1"/>
  <c r="L18" i="10" s="1"/>
  <c r="M18" i="10" s="1"/>
  <c r="N18" i="10" s="1"/>
  <c r="O18" i="10" s="1"/>
  <c r="E18" i="8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E18" i="1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E30" i="11"/>
  <c r="E29" i="11"/>
  <c r="F29" i="11" s="1"/>
  <c r="G29" i="11" s="1"/>
  <c r="H29" i="11" s="1"/>
  <c r="I29" i="11" s="1"/>
  <c r="J29" i="11" s="1"/>
  <c r="K29" i="11" s="1"/>
  <c r="L29" i="11" s="1"/>
  <c r="M29" i="11" s="1"/>
  <c r="N29" i="11" s="1"/>
  <c r="O29" i="11" s="1"/>
  <c r="D26" i="11"/>
  <c r="D27" i="11" s="1"/>
  <c r="D28" i="11" s="1"/>
  <c r="D33" i="11" s="1"/>
  <c r="D34" i="11" s="1"/>
  <c r="D24" i="11"/>
  <c r="D25" i="11" s="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D16" i="11"/>
  <c r="D9" i="11"/>
  <c r="D14" i="11" s="1"/>
  <c r="D15" i="11" s="1"/>
  <c r="D8" i="11"/>
  <c r="D37" i="11" s="1"/>
  <c r="E30" i="10"/>
  <c r="E29" i="10"/>
  <c r="F29" i="10" s="1"/>
  <c r="G29" i="10" s="1"/>
  <c r="H29" i="10" s="1"/>
  <c r="I29" i="10" s="1"/>
  <c r="J29" i="10" s="1"/>
  <c r="K29" i="10" s="1"/>
  <c r="L29" i="10" s="1"/>
  <c r="M29" i="10" s="1"/>
  <c r="N29" i="10" s="1"/>
  <c r="O29" i="10" s="1"/>
  <c r="D26" i="10"/>
  <c r="D27" i="10" s="1"/>
  <c r="D28" i="10" s="1"/>
  <c r="D33" i="10" s="1"/>
  <c r="D34" i="10" s="1"/>
  <c r="D24" i="10"/>
  <c r="D25" i="10" s="1"/>
  <c r="E17" i="10"/>
  <c r="F17" i="10" s="1"/>
  <c r="G17" i="10" s="1"/>
  <c r="H17" i="10" s="1"/>
  <c r="I17" i="10" s="1"/>
  <c r="J17" i="10" s="1"/>
  <c r="K17" i="10" s="1"/>
  <c r="L17" i="10" s="1"/>
  <c r="M17" i="10" s="1"/>
  <c r="N17" i="10" s="1"/>
  <c r="O17" i="10" s="1"/>
  <c r="D16" i="10"/>
  <c r="E16" i="10"/>
  <c r="E6" i="10" s="1"/>
  <c r="D9" i="10"/>
  <c r="D14" i="10" s="1"/>
  <c r="D15" i="10" s="1"/>
  <c r="D8" i="10"/>
  <c r="E17" i="8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E12" i="8"/>
  <c r="F12" i="8" s="1"/>
  <c r="F16" i="8" s="1"/>
  <c r="D16" i="8"/>
  <c r="E30" i="8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E29" i="8"/>
  <c r="F29" i="8" s="1"/>
  <c r="G29" i="8" s="1"/>
  <c r="H29" i="8" s="1"/>
  <c r="I29" i="8" s="1"/>
  <c r="J29" i="8" s="1"/>
  <c r="K29" i="8" s="1"/>
  <c r="D26" i="8"/>
  <c r="D27" i="8" s="1"/>
  <c r="D28" i="8" s="1"/>
  <c r="D33" i="8" s="1"/>
  <c r="D34" i="8" s="1"/>
  <c r="D9" i="8"/>
  <c r="D24" i="8"/>
  <c r="D25" i="8" s="1"/>
  <c r="D8" i="8"/>
  <c r="D38" i="8" s="1"/>
  <c r="G16" i="9"/>
  <c r="G17" i="9"/>
  <c r="G18" i="9"/>
  <c r="G19" i="9"/>
  <c r="G20" i="9"/>
  <c r="G11" i="9"/>
  <c r="G12" i="9"/>
  <c r="G13" i="9"/>
  <c r="G14" i="9"/>
  <c r="G10" i="9"/>
  <c r="L46" i="2"/>
  <c r="L31" i="2"/>
  <c r="L15" i="2"/>
  <c r="C13" i="7"/>
  <c r="C14" i="7" s="1"/>
  <c r="C15" i="7" s="1"/>
  <c r="C16" i="7" s="1"/>
  <c r="C17" i="7" s="1"/>
  <c r="C18" i="7" s="1"/>
  <c r="D83" i="26" l="1"/>
  <c r="E37" i="19"/>
  <c r="E38" i="26"/>
  <c r="G68" i="26"/>
  <c r="D69" i="35"/>
  <c r="E6" i="13"/>
  <c r="F6" i="13" s="1"/>
  <c r="D80" i="16"/>
  <c r="E37" i="23"/>
  <c r="E37" i="27"/>
  <c r="K54" i="35"/>
  <c r="K79" i="23"/>
  <c r="E8" i="50"/>
  <c r="L54" i="35"/>
  <c r="K53" i="31"/>
  <c r="F19" i="68"/>
  <c r="G15" i="68"/>
  <c r="K64" i="23"/>
  <c r="G62" i="28"/>
  <c r="L65" i="29"/>
  <c r="H68" i="26"/>
  <c r="F69" i="35"/>
  <c r="I54" i="35"/>
  <c r="D64" i="23"/>
  <c r="I69" i="35"/>
  <c r="H12" i="52"/>
  <c r="G16" i="52"/>
  <c r="M80" i="16"/>
  <c r="G63" i="27"/>
  <c r="I65" i="29"/>
  <c r="L69" i="35"/>
  <c r="M78" i="27"/>
  <c r="I63" i="27"/>
  <c r="E40" i="21"/>
  <c r="M69" i="35"/>
  <c r="E9" i="50"/>
  <c r="E14" i="50" s="1"/>
  <c r="E15" i="50" s="1"/>
  <c r="E19" i="50" s="1"/>
  <c r="E20" i="50" s="1"/>
  <c r="O68" i="26"/>
  <c r="M68" i="26"/>
  <c r="F37" i="27"/>
  <c r="D63" i="27"/>
  <c r="D39" i="20"/>
  <c r="I19" i="72"/>
  <c r="D19" i="72"/>
  <c r="K19" i="72" s="1"/>
  <c r="F35" i="68"/>
  <c r="G31" i="68"/>
  <c r="H80" i="16"/>
  <c r="F80" i="16"/>
  <c r="E80" i="16"/>
  <c r="L80" i="16"/>
  <c r="K80" i="16"/>
  <c r="J80" i="16"/>
  <c r="D37" i="16"/>
  <c r="E6" i="11"/>
  <c r="E8" i="11" s="1"/>
  <c r="E37" i="11" s="1"/>
  <c r="G35" i="70"/>
  <c r="G38" i="70" s="1"/>
  <c r="H31" i="70"/>
  <c r="J77" i="70"/>
  <c r="S74" i="70"/>
  <c r="R75" i="70"/>
  <c r="R76" i="70" s="1"/>
  <c r="K77" i="70" s="1"/>
  <c r="G60" i="70"/>
  <c r="F61" i="70"/>
  <c r="F38" i="70"/>
  <c r="L87" i="69"/>
  <c r="G35" i="69"/>
  <c r="G37" i="69" s="1"/>
  <c r="H31" i="69"/>
  <c r="E71" i="69"/>
  <c r="F70" i="69"/>
  <c r="R84" i="69"/>
  <c r="Q85" i="69"/>
  <c r="Q86" i="69" s="1"/>
  <c r="M87" i="69" s="1"/>
  <c r="G33" i="67"/>
  <c r="F37" i="67"/>
  <c r="F39" i="67" s="1"/>
  <c r="H15" i="67"/>
  <c r="G19" i="67"/>
  <c r="H35" i="66"/>
  <c r="I31" i="66"/>
  <c r="H15" i="66"/>
  <c r="G19" i="66"/>
  <c r="G37" i="66" s="1"/>
  <c r="E73" i="65"/>
  <c r="F72" i="65"/>
  <c r="S86" i="65"/>
  <c r="R87" i="65"/>
  <c r="R88" i="65" s="1"/>
  <c r="K89" i="65" s="1"/>
  <c r="G37" i="65"/>
  <c r="G39" i="65" s="1"/>
  <c r="H33" i="65"/>
  <c r="J89" i="65"/>
  <c r="D38" i="17"/>
  <c r="D99" i="17"/>
  <c r="G31" i="64"/>
  <c r="F35" i="64"/>
  <c r="F37" i="64"/>
  <c r="H15" i="64"/>
  <c r="G19" i="64"/>
  <c r="H35" i="63"/>
  <c r="I31" i="63"/>
  <c r="H15" i="63"/>
  <c r="G19" i="63"/>
  <c r="G37" i="63" s="1"/>
  <c r="I15" i="62"/>
  <c r="H19" i="62"/>
  <c r="G33" i="62"/>
  <c r="F37" i="62"/>
  <c r="F39" i="62" s="1"/>
  <c r="H35" i="61"/>
  <c r="I31" i="61"/>
  <c r="G15" i="61"/>
  <c r="F19" i="61"/>
  <c r="F37" i="61" s="1"/>
  <c r="I15" i="60"/>
  <c r="H19" i="60"/>
  <c r="H37" i="60"/>
  <c r="I33" i="60"/>
  <c r="M63" i="33"/>
  <c r="I77" i="28"/>
  <c r="J77" i="28"/>
  <c r="K77" i="28"/>
  <c r="F77" i="28"/>
  <c r="L77" i="28"/>
  <c r="E77" i="28"/>
  <c r="G77" i="28"/>
  <c r="G9" i="59"/>
  <c r="G14" i="59" s="1"/>
  <c r="G15" i="59" s="1"/>
  <c r="G19" i="59" s="1"/>
  <c r="G20" i="59" s="1"/>
  <c r="G7" i="59"/>
  <c r="G8" i="59" s="1"/>
  <c r="H16" i="59"/>
  <c r="H6" i="59" s="1"/>
  <c r="I12" i="59"/>
  <c r="G23" i="59"/>
  <c r="F25" i="59"/>
  <c r="F26" i="59"/>
  <c r="F27" i="59" s="1"/>
  <c r="F28" i="59" s="1"/>
  <c r="F33" i="59" s="1"/>
  <c r="F34" i="59" s="1"/>
  <c r="F24" i="59"/>
  <c r="G31" i="58"/>
  <c r="F35" i="58"/>
  <c r="F37" i="58" s="1"/>
  <c r="H15" i="58"/>
  <c r="G19" i="58"/>
  <c r="H15" i="57"/>
  <c r="G19" i="57"/>
  <c r="G33" i="57"/>
  <c r="F37" i="57"/>
  <c r="F39" i="57" s="1"/>
  <c r="H79" i="23"/>
  <c r="N64" i="23"/>
  <c r="N79" i="23"/>
  <c r="M64" i="23"/>
  <c r="J64" i="23"/>
  <c r="D79" i="23"/>
  <c r="L79" i="23"/>
  <c r="O79" i="23"/>
  <c r="I79" i="23"/>
  <c r="K63" i="27"/>
  <c r="K78" i="27"/>
  <c r="N78" i="27"/>
  <c r="M63" i="27"/>
  <c r="J63" i="27"/>
  <c r="J78" i="27"/>
  <c r="H63" i="27"/>
  <c r="L78" i="27"/>
  <c r="H78" i="27"/>
  <c r="I53" i="31"/>
  <c r="M53" i="31"/>
  <c r="J68" i="31"/>
  <c r="I68" i="31"/>
  <c r="G9" i="56"/>
  <c r="G14" i="56" s="1"/>
  <c r="G15" i="56" s="1"/>
  <c r="G19" i="56" s="1"/>
  <c r="G20" i="56" s="1"/>
  <c r="G7" i="56"/>
  <c r="G8" i="56" s="1"/>
  <c r="H16" i="56"/>
  <c r="H6" i="56" s="1"/>
  <c r="I12" i="56"/>
  <c r="F26" i="56"/>
  <c r="F27" i="56" s="1"/>
  <c r="F28" i="56" s="1"/>
  <c r="F33" i="56" s="1"/>
  <c r="F34" i="56" s="1"/>
  <c r="F24" i="56"/>
  <c r="F25" i="56" s="1"/>
  <c r="G23" i="56"/>
  <c r="H99" i="17"/>
  <c r="M99" i="17"/>
  <c r="F99" i="17"/>
  <c r="L99" i="17"/>
  <c r="N99" i="17"/>
  <c r="G99" i="17"/>
  <c r="N91" i="17"/>
  <c r="F91" i="17"/>
  <c r="E99" i="17"/>
  <c r="E19" i="17"/>
  <c r="G69" i="35"/>
  <c r="J69" i="35"/>
  <c r="K69" i="35"/>
  <c r="F54" i="35"/>
  <c r="G54" i="35"/>
  <c r="H54" i="35"/>
  <c r="H69" i="35"/>
  <c r="E37" i="55"/>
  <c r="F9" i="55"/>
  <c r="F14" i="55" s="1"/>
  <c r="F15" i="55" s="1"/>
  <c r="F19" i="55" s="1"/>
  <c r="F20" i="55" s="1"/>
  <c r="F7" i="55"/>
  <c r="G6" i="55"/>
  <c r="F8" i="55"/>
  <c r="F26" i="55"/>
  <c r="F27" i="55" s="1"/>
  <c r="F28" i="55" s="1"/>
  <c r="F33" i="55" s="1"/>
  <c r="F34" i="55" s="1"/>
  <c r="F24" i="55"/>
  <c r="F25" i="55" s="1"/>
  <c r="G23" i="55"/>
  <c r="H16" i="55"/>
  <c r="I12" i="55"/>
  <c r="L68" i="26"/>
  <c r="D68" i="26"/>
  <c r="N68" i="26"/>
  <c r="F68" i="26"/>
  <c r="G83" i="26"/>
  <c r="J68" i="26"/>
  <c r="I68" i="26"/>
  <c r="E69" i="16"/>
  <c r="F69" i="16" s="1"/>
  <c r="G69" i="16" s="1"/>
  <c r="H69" i="16" s="1"/>
  <c r="I69" i="16" s="1"/>
  <c r="J69" i="16" s="1"/>
  <c r="K69" i="16" s="1"/>
  <c r="L69" i="16" s="1"/>
  <c r="M69" i="16" s="1"/>
  <c r="N69" i="16" s="1"/>
  <c r="O69" i="16" s="1"/>
  <c r="P69" i="16" s="1"/>
  <c r="Q69" i="16" s="1"/>
  <c r="R69" i="16" s="1"/>
  <c r="S69" i="16" s="1"/>
  <c r="T69" i="16" s="1"/>
  <c r="U69" i="16" s="1"/>
  <c r="V69" i="16" s="1"/>
  <c r="W69" i="16" s="1"/>
  <c r="X69" i="16" s="1"/>
  <c r="Y69" i="16" s="1"/>
  <c r="Z69" i="16" s="1"/>
  <c r="D70" i="16"/>
  <c r="G87" i="16"/>
  <c r="I80" i="16"/>
  <c r="O80" i="16"/>
  <c r="G80" i="16"/>
  <c r="P84" i="16"/>
  <c r="P85" i="16" s="1"/>
  <c r="P86" i="16" s="1"/>
  <c r="I87" i="16" s="1"/>
  <c r="E35" i="16"/>
  <c r="O35" i="16"/>
  <c r="F63" i="53"/>
  <c r="G62" i="53"/>
  <c r="F22" i="53"/>
  <c r="F34" i="53" s="1"/>
  <c r="F35" i="53" s="1"/>
  <c r="F6" i="53"/>
  <c r="E8" i="53"/>
  <c r="E18" i="53"/>
  <c r="G31" i="53"/>
  <c r="Q77" i="53"/>
  <c r="Q78" i="53" s="1"/>
  <c r="J79" i="53" s="1"/>
  <c r="R76" i="53"/>
  <c r="I79" i="53"/>
  <c r="F9" i="52"/>
  <c r="F14" i="52" s="1"/>
  <c r="F15" i="52" s="1"/>
  <c r="F19" i="52" s="1"/>
  <c r="F20" i="52" s="1"/>
  <c r="F7" i="52"/>
  <c r="F8" i="52" s="1"/>
  <c r="G6" i="52"/>
  <c r="F26" i="52"/>
  <c r="F27" i="52" s="1"/>
  <c r="F28" i="52" s="1"/>
  <c r="F33" i="52" s="1"/>
  <c r="F34" i="52" s="1"/>
  <c r="G23" i="52"/>
  <c r="F24" i="52"/>
  <c r="F25" i="52" s="1"/>
  <c r="G23" i="47"/>
  <c r="G24" i="47" s="1"/>
  <c r="G25" i="47" s="1"/>
  <c r="F27" i="47"/>
  <c r="F28" i="47" s="1"/>
  <c r="F33" i="47" s="1"/>
  <c r="F34" i="47" s="1"/>
  <c r="F24" i="47"/>
  <c r="F25" i="47" s="1"/>
  <c r="E26" i="50"/>
  <c r="E27" i="50" s="1"/>
  <c r="E28" i="50" s="1"/>
  <c r="E33" i="50" s="1"/>
  <c r="E34" i="50" s="1"/>
  <c r="E24" i="50"/>
  <c r="E25" i="50" s="1"/>
  <c r="E36" i="50" s="1"/>
  <c r="F23" i="50"/>
  <c r="F9" i="50"/>
  <c r="F14" i="50" s="1"/>
  <c r="F15" i="50" s="1"/>
  <c r="F19" i="50" s="1"/>
  <c r="F20" i="50" s="1"/>
  <c r="F7" i="50"/>
  <c r="F8" i="50" s="1"/>
  <c r="G16" i="50"/>
  <c r="G6" i="50" s="1"/>
  <c r="H12" i="50"/>
  <c r="F23" i="49"/>
  <c r="G23" i="49" s="1"/>
  <c r="H23" i="49" s="1"/>
  <c r="E8" i="49"/>
  <c r="E35" i="49" s="1"/>
  <c r="E9" i="49"/>
  <c r="E14" i="49" s="1"/>
  <c r="E15" i="49" s="1"/>
  <c r="E19" i="49" s="1"/>
  <c r="E20" i="49" s="1"/>
  <c r="F6" i="49"/>
  <c r="G16" i="49"/>
  <c r="H12" i="49"/>
  <c r="E37" i="47"/>
  <c r="F9" i="47"/>
  <c r="F14" i="47" s="1"/>
  <c r="F15" i="47" s="1"/>
  <c r="F19" i="47" s="1"/>
  <c r="F20" i="47" s="1"/>
  <c r="F7" i="47"/>
  <c r="F8" i="47" s="1"/>
  <c r="F37" i="47" s="1"/>
  <c r="H23" i="47"/>
  <c r="G16" i="47"/>
  <c r="G6" i="47" s="1"/>
  <c r="H12" i="47"/>
  <c r="E16" i="13"/>
  <c r="E16" i="8"/>
  <c r="E6" i="8" s="1"/>
  <c r="F6" i="8" s="1"/>
  <c r="D19" i="11"/>
  <c r="D20" i="11" s="1"/>
  <c r="E23" i="11"/>
  <c r="D14" i="8"/>
  <c r="D15" i="8" s="1"/>
  <c r="D19" i="8" s="1"/>
  <c r="D20" i="8" s="1"/>
  <c r="D63" i="33"/>
  <c r="O64" i="30"/>
  <c r="I64" i="30"/>
  <c r="G79" i="30"/>
  <c r="I79" i="30"/>
  <c r="E79" i="30"/>
  <c r="L64" i="30"/>
  <c r="D64" i="30"/>
  <c r="K68" i="31"/>
  <c r="O53" i="31"/>
  <c r="G53" i="31"/>
  <c r="H53" i="31"/>
  <c r="N53" i="31"/>
  <c r="J53" i="31"/>
  <c r="D68" i="31"/>
  <c r="E53" i="31"/>
  <c r="D53" i="31"/>
  <c r="F53" i="31"/>
  <c r="L68" i="31"/>
  <c r="F79" i="23"/>
  <c r="E79" i="23"/>
  <c r="L63" i="27"/>
  <c r="O78" i="27"/>
  <c r="E91" i="17"/>
  <c r="L91" i="17"/>
  <c r="D91" i="17"/>
  <c r="K91" i="17"/>
  <c r="J91" i="17"/>
  <c r="I91" i="17"/>
  <c r="H91" i="17"/>
  <c r="M91" i="17"/>
  <c r="O91" i="17"/>
  <c r="G91" i="17"/>
  <c r="K99" i="17"/>
  <c r="J99" i="17"/>
  <c r="I99" i="17"/>
  <c r="O83" i="26"/>
  <c r="F83" i="26"/>
  <c r="N83" i="26"/>
  <c r="M83" i="26"/>
  <c r="H83" i="26"/>
  <c r="E83" i="26"/>
  <c r="K83" i="26"/>
  <c r="I83" i="26"/>
  <c r="J83" i="26"/>
  <c r="I19" i="24"/>
  <c r="G31" i="34"/>
  <c r="G15" i="35"/>
  <c r="F19" i="35"/>
  <c r="F40" i="35" s="1"/>
  <c r="F37" i="35"/>
  <c r="G33" i="35"/>
  <c r="P55" i="34"/>
  <c r="P56" i="34" s="1"/>
  <c r="Q54" i="34"/>
  <c r="D41" i="34"/>
  <c r="E40" i="34"/>
  <c r="H31" i="34"/>
  <c r="G35" i="34"/>
  <c r="N78" i="33"/>
  <c r="I78" i="33"/>
  <c r="D78" i="33"/>
  <c r="J63" i="33"/>
  <c r="O78" i="33"/>
  <c r="K63" i="33"/>
  <c r="H63" i="33"/>
  <c r="N63" i="33"/>
  <c r="E63" i="33"/>
  <c r="L78" i="33"/>
  <c r="J78" i="33"/>
  <c r="K78" i="33"/>
  <c r="M78" i="33"/>
  <c r="I63" i="33"/>
  <c r="G63" i="33"/>
  <c r="E78" i="33"/>
  <c r="L63" i="33"/>
  <c r="H78" i="33"/>
  <c r="F78" i="33"/>
  <c r="E35" i="33"/>
  <c r="E37" i="33" s="1"/>
  <c r="F31" i="33"/>
  <c r="G19" i="33"/>
  <c r="H15" i="33"/>
  <c r="F63" i="33"/>
  <c r="O63" i="33"/>
  <c r="G78" i="33"/>
  <c r="F35" i="31"/>
  <c r="F37" i="31" s="1"/>
  <c r="G31" i="31"/>
  <c r="G19" i="31"/>
  <c r="H15" i="31"/>
  <c r="F19" i="30"/>
  <c r="F37" i="30" s="1"/>
  <c r="G15" i="30"/>
  <c r="H64" i="30"/>
  <c r="F79" i="30"/>
  <c r="G35" i="30"/>
  <c r="H31" i="30"/>
  <c r="L79" i="30"/>
  <c r="K64" i="30"/>
  <c r="J64" i="30"/>
  <c r="F64" i="30"/>
  <c r="N64" i="30"/>
  <c r="M64" i="30"/>
  <c r="K79" i="30"/>
  <c r="J79" i="30"/>
  <c r="E64" i="30"/>
  <c r="H79" i="30"/>
  <c r="G64" i="30"/>
  <c r="O79" i="30"/>
  <c r="D79" i="30"/>
  <c r="O80" i="29"/>
  <c r="E65" i="29"/>
  <c r="M65" i="29"/>
  <c r="K65" i="29"/>
  <c r="J65" i="29"/>
  <c r="F37" i="29"/>
  <c r="F39" i="29" s="1"/>
  <c r="G33" i="29"/>
  <c r="D80" i="29"/>
  <c r="L80" i="29"/>
  <c r="H80" i="29"/>
  <c r="N65" i="29"/>
  <c r="G80" i="29"/>
  <c r="O65" i="29"/>
  <c r="I80" i="29"/>
  <c r="F65" i="29"/>
  <c r="H15" i="29"/>
  <c r="G19" i="29"/>
  <c r="F80" i="29"/>
  <c r="J80" i="29"/>
  <c r="G65" i="29"/>
  <c r="D65" i="29"/>
  <c r="H65" i="29"/>
  <c r="K80" i="29"/>
  <c r="O62" i="28"/>
  <c r="F62" i="28"/>
  <c r="M62" i="28"/>
  <c r="H62" i="28"/>
  <c r="G35" i="28"/>
  <c r="G37" i="28" s="1"/>
  <c r="H31" i="28"/>
  <c r="E62" i="28"/>
  <c r="K62" i="28"/>
  <c r="K19" i="28"/>
  <c r="L15" i="28"/>
  <c r="I62" i="28"/>
  <c r="J62" i="28"/>
  <c r="L62" i="28"/>
  <c r="N62" i="28"/>
  <c r="D62" i="28"/>
  <c r="H34" i="27"/>
  <c r="H35" i="27" s="1"/>
  <c r="G18" i="27"/>
  <c r="G19" i="27" s="1"/>
  <c r="G37" i="27" s="1"/>
  <c r="G15" i="26"/>
  <c r="F19" i="26"/>
  <c r="F35" i="26"/>
  <c r="G31" i="26"/>
  <c r="E35" i="25"/>
  <c r="E37" i="25" s="1"/>
  <c r="F31" i="25"/>
  <c r="E62" i="25"/>
  <c r="F61" i="25"/>
  <c r="Q75" i="25"/>
  <c r="P76" i="25"/>
  <c r="P77" i="25" s="1"/>
  <c r="F35" i="24"/>
  <c r="G31" i="24"/>
  <c r="E61" i="24"/>
  <c r="F60" i="24"/>
  <c r="H19" i="24"/>
  <c r="M19" i="24"/>
  <c r="N15" i="24"/>
  <c r="F19" i="24"/>
  <c r="L19" i="24"/>
  <c r="J19" i="24"/>
  <c r="Q74" i="24"/>
  <c r="P75" i="24"/>
  <c r="P76" i="24" s="1"/>
  <c r="G19" i="24"/>
  <c r="K19" i="24"/>
  <c r="F34" i="23"/>
  <c r="F35" i="23" s="1"/>
  <c r="F37" i="23" s="1"/>
  <c r="H18" i="23"/>
  <c r="H19" i="23" s="1"/>
  <c r="G33" i="21"/>
  <c r="G37" i="21" s="1"/>
  <c r="H15" i="21"/>
  <c r="G19" i="21"/>
  <c r="H36" i="20"/>
  <c r="G18" i="20"/>
  <c r="G15" i="20"/>
  <c r="F19" i="20"/>
  <c r="F39" i="20" s="1"/>
  <c r="H33" i="20"/>
  <c r="G37" i="20"/>
  <c r="G19" i="19"/>
  <c r="H15" i="19"/>
  <c r="H31" i="19"/>
  <c r="G35" i="19"/>
  <c r="F15" i="17"/>
  <c r="E35" i="17"/>
  <c r="F87" i="16"/>
  <c r="E87" i="16"/>
  <c r="D87" i="16"/>
  <c r="H87" i="16"/>
  <c r="J35" i="16"/>
  <c r="L35" i="16"/>
  <c r="I35" i="16"/>
  <c r="H35" i="16"/>
  <c r="G35" i="16"/>
  <c r="K35" i="16"/>
  <c r="N35" i="16"/>
  <c r="F35" i="16"/>
  <c r="M35" i="16"/>
  <c r="H15" i="16"/>
  <c r="E8" i="16"/>
  <c r="E19" i="16" s="1"/>
  <c r="E37" i="16" s="1"/>
  <c r="D19" i="13"/>
  <c r="D20" i="13" s="1"/>
  <c r="G12" i="13"/>
  <c r="F16" i="13"/>
  <c r="E23" i="13"/>
  <c r="E8" i="10"/>
  <c r="D19" i="10"/>
  <c r="D20" i="10" s="1"/>
  <c r="E24" i="11"/>
  <c r="E25" i="11" s="1"/>
  <c r="E26" i="11"/>
  <c r="F30" i="11"/>
  <c r="G30" i="11" s="1"/>
  <c r="H30" i="11" s="1"/>
  <c r="I30" i="11" s="1"/>
  <c r="J30" i="11" s="1"/>
  <c r="K30" i="11" s="1"/>
  <c r="L30" i="11" s="1"/>
  <c r="M30" i="11" s="1"/>
  <c r="N30" i="11" s="1"/>
  <c r="O30" i="11" s="1"/>
  <c r="E23" i="10"/>
  <c r="E26" i="10" s="1"/>
  <c r="E27" i="10" s="1"/>
  <c r="E28" i="10" s="1"/>
  <c r="E33" i="10" s="1"/>
  <c r="E34" i="10" s="1"/>
  <c r="F30" i="10"/>
  <c r="G30" i="10" s="1"/>
  <c r="H30" i="10" s="1"/>
  <c r="I30" i="10" s="1"/>
  <c r="J30" i="10" s="1"/>
  <c r="K30" i="10" s="1"/>
  <c r="L30" i="10" s="1"/>
  <c r="M30" i="10" s="1"/>
  <c r="N30" i="10" s="1"/>
  <c r="O30" i="10" s="1"/>
  <c r="L29" i="8"/>
  <c r="M29" i="8" s="1"/>
  <c r="N29" i="8" s="1"/>
  <c r="O29" i="8" s="1"/>
  <c r="E23" i="8"/>
  <c r="G12" i="8"/>
  <c r="F15" i="2"/>
  <c r="E9" i="11" l="1"/>
  <c r="E14" i="11" s="1"/>
  <c r="E15" i="11" s="1"/>
  <c r="E19" i="11" s="1"/>
  <c r="E20" i="11" s="1"/>
  <c r="G19" i="68"/>
  <c r="H15" i="68"/>
  <c r="G40" i="21"/>
  <c r="E27" i="11"/>
  <c r="E28" i="11" s="1"/>
  <c r="E33" i="11" s="1"/>
  <c r="E34" i="11" s="1"/>
  <c r="F37" i="68"/>
  <c r="H31" i="68"/>
  <c r="G35" i="68"/>
  <c r="Q84" i="16"/>
  <c r="G37" i="19"/>
  <c r="F38" i="24"/>
  <c r="F38" i="26"/>
  <c r="H16" i="52"/>
  <c r="I12" i="52"/>
  <c r="H37" i="27"/>
  <c r="T74" i="70"/>
  <c r="S75" i="70"/>
  <c r="S76" i="70" s="1"/>
  <c r="L77" i="70" s="1"/>
  <c r="H35" i="70"/>
  <c r="H38" i="70" s="1"/>
  <c r="I31" i="70"/>
  <c r="H60" i="70"/>
  <c r="G61" i="70"/>
  <c r="G70" i="69"/>
  <c r="F71" i="69"/>
  <c r="S84" i="69"/>
  <c r="R85" i="69"/>
  <c r="R86" i="69" s="1"/>
  <c r="N87" i="69" s="1"/>
  <c r="H35" i="69"/>
  <c r="H37" i="69" s="1"/>
  <c r="I31" i="69"/>
  <c r="H33" i="67"/>
  <c r="G37" i="67"/>
  <c r="G39" i="67" s="1"/>
  <c r="I15" i="67"/>
  <c r="H19" i="67"/>
  <c r="I15" i="66"/>
  <c r="H19" i="66"/>
  <c r="H37" i="66" s="1"/>
  <c r="I35" i="66"/>
  <c r="J31" i="66"/>
  <c r="T86" i="65"/>
  <c r="S87" i="65"/>
  <c r="S88" i="65" s="1"/>
  <c r="L89" i="65" s="1"/>
  <c r="H37" i="65"/>
  <c r="H39" i="65" s="1"/>
  <c r="I33" i="65"/>
  <c r="G72" i="65"/>
  <c r="F73" i="65"/>
  <c r="H31" i="64"/>
  <c r="G35" i="64"/>
  <c r="G37" i="64" s="1"/>
  <c r="I15" i="64"/>
  <c r="H19" i="64"/>
  <c r="I15" i="63"/>
  <c r="H19" i="63"/>
  <c r="H37" i="63" s="1"/>
  <c r="J31" i="63"/>
  <c r="I35" i="63"/>
  <c r="G37" i="62"/>
  <c r="G39" i="62" s="1"/>
  <c r="H33" i="62"/>
  <c r="J15" i="62"/>
  <c r="I19" i="62"/>
  <c r="H15" i="61"/>
  <c r="G19" i="61"/>
  <c r="G37" i="61" s="1"/>
  <c r="I35" i="61"/>
  <c r="J31" i="61"/>
  <c r="J33" i="60"/>
  <c r="I37" i="60"/>
  <c r="H39" i="60"/>
  <c r="J15" i="60"/>
  <c r="I19" i="60"/>
  <c r="I39" i="60" s="1"/>
  <c r="H9" i="59"/>
  <c r="H14" i="59" s="1"/>
  <c r="H15" i="59" s="1"/>
  <c r="H19" i="59" s="1"/>
  <c r="H20" i="59" s="1"/>
  <c r="H7" i="59"/>
  <c r="H8" i="59" s="1"/>
  <c r="I6" i="59"/>
  <c r="H23" i="59"/>
  <c r="G26" i="59"/>
  <c r="G27" i="59" s="1"/>
  <c r="G28" i="59" s="1"/>
  <c r="G33" i="59" s="1"/>
  <c r="G34" i="59" s="1"/>
  <c r="G24" i="59"/>
  <c r="G25" i="59" s="1"/>
  <c r="I16" i="59"/>
  <c r="J12" i="59"/>
  <c r="I15" i="58"/>
  <c r="H19" i="58"/>
  <c r="H31" i="58"/>
  <c r="G35" i="58"/>
  <c r="G37" i="58" s="1"/>
  <c r="H33" i="57"/>
  <c r="G37" i="57"/>
  <c r="G39" i="57" s="1"/>
  <c r="I15" i="57"/>
  <c r="H19" i="57"/>
  <c r="H9" i="56"/>
  <c r="H14" i="56" s="1"/>
  <c r="H15" i="56" s="1"/>
  <c r="H19" i="56" s="1"/>
  <c r="H20" i="56" s="1"/>
  <c r="H7" i="56"/>
  <c r="H8" i="56" s="1"/>
  <c r="I16" i="56"/>
  <c r="I6" i="56" s="1"/>
  <c r="J12" i="56"/>
  <c r="H23" i="56"/>
  <c r="G24" i="56"/>
  <c r="G25" i="56" s="1"/>
  <c r="G26" i="56"/>
  <c r="G27" i="56" s="1"/>
  <c r="G28" i="56" s="1"/>
  <c r="G33" i="56" s="1"/>
  <c r="G34" i="56" s="1"/>
  <c r="E38" i="17"/>
  <c r="I16" i="55"/>
  <c r="J12" i="55"/>
  <c r="G9" i="55"/>
  <c r="G14" i="55" s="1"/>
  <c r="G15" i="55" s="1"/>
  <c r="G19" i="55" s="1"/>
  <c r="G20" i="55" s="1"/>
  <c r="G7" i="55"/>
  <c r="G8" i="55" s="1"/>
  <c r="H6" i="55"/>
  <c r="H23" i="55"/>
  <c r="G26" i="55"/>
  <c r="G24" i="55"/>
  <c r="G25" i="55" s="1"/>
  <c r="G27" i="55"/>
  <c r="G28" i="55" s="1"/>
  <c r="G33" i="55" s="1"/>
  <c r="G34" i="55" s="1"/>
  <c r="F37" i="55"/>
  <c r="D71" i="16"/>
  <c r="E70" i="16"/>
  <c r="G63" i="53"/>
  <c r="H62" i="53"/>
  <c r="G22" i="53"/>
  <c r="G34" i="53" s="1"/>
  <c r="E19" i="53"/>
  <c r="E37" i="53" s="1"/>
  <c r="G6" i="53"/>
  <c r="F18" i="53"/>
  <c r="F7" i="53"/>
  <c r="F8" i="53" s="1"/>
  <c r="H31" i="53"/>
  <c r="G35" i="53"/>
  <c r="R77" i="53"/>
  <c r="R78" i="53" s="1"/>
  <c r="S76" i="53"/>
  <c r="G9" i="52"/>
  <c r="G14" i="52" s="1"/>
  <c r="G15" i="52" s="1"/>
  <c r="G19" i="52" s="1"/>
  <c r="G20" i="52" s="1"/>
  <c r="G7" i="52"/>
  <c r="G8" i="52" s="1"/>
  <c r="H6" i="52"/>
  <c r="G26" i="52"/>
  <c r="G27" i="52" s="1"/>
  <c r="G28" i="52" s="1"/>
  <c r="G33" i="52" s="1"/>
  <c r="G34" i="52" s="1"/>
  <c r="G24" i="52"/>
  <c r="G25" i="52" s="1"/>
  <c r="H23" i="52"/>
  <c r="G26" i="47"/>
  <c r="G27" i="47" s="1"/>
  <c r="G28" i="47" s="1"/>
  <c r="G33" i="47" s="1"/>
  <c r="G34" i="47" s="1"/>
  <c r="G9" i="50"/>
  <c r="G14" i="50" s="1"/>
  <c r="G15" i="50" s="1"/>
  <c r="G19" i="50" s="1"/>
  <c r="G20" i="50" s="1"/>
  <c r="G7" i="50"/>
  <c r="G8" i="50" s="1"/>
  <c r="H16" i="50"/>
  <c r="H6" i="50" s="1"/>
  <c r="I12" i="50"/>
  <c r="G23" i="50"/>
  <c r="F26" i="50"/>
  <c r="F27" i="50" s="1"/>
  <c r="F28" i="50" s="1"/>
  <c r="F33" i="50" s="1"/>
  <c r="F34" i="50" s="1"/>
  <c r="F24" i="50"/>
  <c r="F25" i="50" s="1"/>
  <c r="F36" i="50" s="1"/>
  <c r="G26" i="49"/>
  <c r="G27" i="49" s="1"/>
  <c r="G28" i="49" s="1"/>
  <c r="G33" i="49" s="1"/>
  <c r="G34" i="49" s="1"/>
  <c r="G24" i="49"/>
  <c r="G25" i="49" s="1"/>
  <c r="F24" i="49"/>
  <c r="F25" i="49" s="1"/>
  <c r="F26" i="49"/>
  <c r="F27" i="49" s="1"/>
  <c r="F28" i="49" s="1"/>
  <c r="F33" i="49" s="1"/>
  <c r="F34" i="49" s="1"/>
  <c r="H16" i="49"/>
  <c r="I12" i="49"/>
  <c r="F7" i="49"/>
  <c r="F8" i="49" s="1"/>
  <c r="F9" i="49"/>
  <c r="F14" i="49" s="1"/>
  <c r="F15" i="49" s="1"/>
  <c r="F19" i="49" s="1"/>
  <c r="F20" i="49" s="1"/>
  <c r="G6" i="49"/>
  <c r="I23" i="49"/>
  <c r="H26" i="49"/>
  <c r="H27" i="49" s="1"/>
  <c r="H28" i="49" s="1"/>
  <c r="H33" i="49" s="1"/>
  <c r="H34" i="49" s="1"/>
  <c r="H24" i="49"/>
  <c r="H25" i="49" s="1"/>
  <c r="G9" i="47"/>
  <c r="G14" i="47" s="1"/>
  <c r="G15" i="47" s="1"/>
  <c r="G19" i="47" s="1"/>
  <c r="G20" i="47" s="1"/>
  <c r="G7" i="47"/>
  <c r="G8" i="47" s="1"/>
  <c r="G37" i="47" s="1"/>
  <c r="I12" i="47"/>
  <c r="H16" i="47"/>
  <c r="H6" i="47" s="1"/>
  <c r="H26" i="47"/>
  <c r="H27" i="47" s="1"/>
  <c r="H28" i="47" s="1"/>
  <c r="H33" i="47" s="1"/>
  <c r="H34" i="47" s="1"/>
  <c r="H24" i="47"/>
  <c r="H25" i="47" s="1"/>
  <c r="I23" i="47"/>
  <c r="F9" i="13"/>
  <c r="F14" i="13" s="1"/>
  <c r="F15" i="13" s="1"/>
  <c r="F19" i="13" s="1"/>
  <c r="F20" i="13" s="1"/>
  <c r="H15" i="35"/>
  <c r="G19" i="35"/>
  <c r="G40" i="35" s="1"/>
  <c r="G37" i="35"/>
  <c r="H33" i="35"/>
  <c r="I31" i="34"/>
  <c r="H35" i="34"/>
  <c r="R54" i="34"/>
  <c r="Q55" i="34"/>
  <c r="Q56" i="34" s="1"/>
  <c r="J57" i="34" s="1"/>
  <c r="E41" i="34"/>
  <c r="F40" i="34"/>
  <c r="I57" i="34"/>
  <c r="G31" i="33"/>
  <c r="F35" i="33"/>
  <c r="F37" i="33" s="1"/>
  <c r="I15" i="33"/>
  <c r="H19" i="33"/>
  <c r="H19" i="31"/>
  <c r="I15" i="31"/>
  <c r="G35" i="31"/>
  <c r="G37" i="31" s="1"/>
  <c r="H31" i="31"/>
  <c r="H15" i="30"/>
  <c r="G19" i="30"/>
  <c r="G37" i="30" s="1"/>
  <c r="H35" i="30"/>
  <c r="I31" i="30"/>
  <c r="H19" i="29"/>
  <c r="I15" i="29"/>
  <c r="G37" i="29"/>
  <c r="G39" i="29" s="1"/>
  <c r="H33" i="29"/>
  <c r="M15" i="28"/>
  <c r="L19" i="28"/>
  <c r="H35" i="28"/>
  <c r="H37" i="28" s="1"/>
  <c r="I31" i="28"/>
  <c r="H18" i="27"/>
  <c r="H19" i="27" s="1"/>
  <c r="I34" i="27"/>
  <c r="I35" i="27"/>
  <c r="G35" i="26"/>
  <c r="H31" i="26"/>
  <c r="H15" i="26"/>
  <c r="G19" i="26"/>
  <c r="G38" i="26" s="1"/>
  <c r="I78" i="25"/>
  <c r="R75" i="25"/>
  <c r="Q76" i="25"/>
  <c r="Q77" i="25" s="1"/>
  <c r="J78" i="25" s="1"/>
  <c r="F62" i="25"/>
  <c r="G61" i="25"/>
  <c r="F35" i="25"/>
  <c r="F37" i="25" s="1"/>
  <c r="G31" i="25"/>
  <c r="O15" i="24"/>
  <c r="O19" i="24" s="1"/>
  <c r="N19" i="24"/>
  <c r="I77" i="24"/>
  <c r="H31" i="24"/>
  <c r="G35" i="24"/>
  <c r="G38" i="24" s="1"/>
  <c r="R74" i="24"/>
  <c r="Q75" i="24"/>
  <c r="Q76" i="24" s="1"/>
  <c r="J77" i="24" s="1"/>
  <c r="G60" i="24"/>
  <c r="F61" i="24"/>
  <c r="I18" i="23"/>
  <c r="I19" i="23" s="1"/>
  <c r="G34" i="23"/>
  <c r="G35" i="23" s="1"/>
  <c r="G37" i="23" s="1"/>
  <c r="H33" i="21"/>
  <c r="I33" i="21" s="1"/>
  <c r="H37" i="21"/>
  <c r="H19" i="21"/>
  <c r="I15" i="21"/>
  <c r="I36" i="20"/>
  <c r="H18" i="20"/>
  <c r="H15" i="20"/>
  <c r="G19" i="20"/>
  <c r="G39" i="20" s="1"/>
  <c r="H37" i="20"/>
  <c r="I33" i="20"/>
  <c r="H35" i="19"/>
  <c r="I31" i="19"/>
  <c r="H19" i="19"/>
  <c r="H37" i="19" s="1"/>
  <c r="I15" i="19"/>
  <c r="G15" i="17"/>
  <c r="F19" i="17"/>
  <c r="F35" i="17"/>
  <c r="R84" i="16"/>
  <c r="Q85" i="16"/>
  <c r="Q86" i="16" s="1"/>
  <c r="I15" i="16"/>
  <c r="E8" i="13"/>
  <c r="E9" i="13"/>
  <c r="E14" i="13" s="1"/>
  <c r="E15" i="13" s="1"/>
  <c r="E19" i="13" s="1"/>
  <c r="E20" i="13" s="1"/>
  <c r="E26" i="13"/>
  <c r="E27" i="13" s="1"/>
  <c r="E28" i="13" s="1"/>
  <c r="E33" i="13" s="1"/>
  <c r="E34" i="13" s="1"/>
  <c r="E24" i="13"/>
  <c r="E25" i="13" s="1"/>
  <c r="F23" i="13"/>
  <c r="F7" i="13"/>
  <c r="F8" i="13" s="1"/>
  <c r="G16" i="13"/>
  <c r="G6" i="13" s="1"/>
  <c r="H12" i="13"/>
  <c r="E9" i="10"/>
  <c r="E14" i="10" s="1"/>
  <c r="E15" i="10" s="1"/>
  <c r="E19" i="10" s="1"/>
  <c r="E20" i="10" s="1"/>
  <c r="E24" i="10"/>
  <c r="E25" i="10" s="1"/>
  <c r="F16" i="11"/>
  <c r="F6" i="11" s="1"/>
  <c r="F23" i="11"/>
  <c r="F23" i="10"/>
  <c r="F24" i="10" s="1"/>
  <c r="F25" i="10" s="1"/>
  <c r="F16" i="10"/>
  <c r="F6" i="10" s="1"/>
  <c r="H12" i="8"/>
  <c r="G16" i="8"/>
  <c r="G6" i="8" s="1"/>
  <c r="F23" i="8"/>
  <c r="E26" i="8"/>
  <c r="E27" i="8" s="1"/>
  <c r="E28" i="8" s="1"/>
  <c r="E33" i="8" s="1"/>
  <c r="E34" i="8" s="1"/>
  <c r="E24" i="8"/>
  <c r="E25" i="8" s="1"/>
  <c r="E8" i="8"/>
  <c r="E38" i="8" s="1"/>
  <c r="E9" i="8"/>
  <c r="E14" i="8" s="1"/>
  <c r="E15" i="8" s="1"/>
  <c r="E19" i="8" s="1"/>
  <c r="E20" i="8" s="1"/>
  <c r="H19" i="68" l="1"/>
  <c r="I15" i="68"/>
  <c r="I16" i="52"/>
  <c r="J12" i="52"/>
  <c r="H40" i="21"/>
  <c r="G37" i="68"/>
  <c r="H35" i="68"/>
  <c r="I31" i="68"/>
  <c r="I35" i="70"/>
  <c r="I38" i="70" s="1"/>
  <c r="J31" i="70"/>
  <c r="I60" i="70"/>
  <c r="H61" i="70"/>
  <c r="T75" i="70"/>
  <c r="T76" i="70" s="1"/>
  <c r="U74" i="70"/>
  <c r="T84" i="69"/>
  <c r="S85" i="69"/>
  <c r="S86" i="69" s="1"/>
  <c r="O87" i="69" s="1"/>
  <c r="I35" i="69"/>
  <c r="I37" i="69" s="1"/>
  <c r="J31" i="69"/>
  <c r="G71" i="69"/>
  <c r="H70" i="69"/>
  <c r="J15" i="67"/>
  <c r="I19" i="67"/>
  <c r="H37" i="67"/>
  <c r="H39" i="67" s="1"/>
  <c r="I33" i="67"/>
  <c r="J35" i="66"/>
  <c r="K31" i="66"/>
  <c r="J15" i="66"/>
  <c r="I19" i="66"/>
  <c r="I37" i="66" s="1"/>
  <c r="I37" i="65"/>
  <c r="I39" i="65" s="1"/>
  <c r="J33" i="65"/>
  <c r="H72" i="65"/>
  <c r="G73" i="65"/>
  <c r="T87" i="65"/>
  <c r="T88" i="65" s="1"/>
  <c r="M89" i="65" s="1"/>
  <c r="U86" i="65"/>
  <c r="I31" i="64"/>
  <c r="H35" i="64"/>
  <c r="H37" i="64" s="1"/>
  <c r="J15" i="64"/>
  <c r="I19" i="64"/>
  <c r="J35" i="63"/>
  <c r="K31" i="63"/>
  <c r="J15" i="63"/>
  <c r="I19" i="63"/>
  <c r="I37" i="63" s="1"/>
  <c r="K15" i="62"/>
  <c r="J19" i="62"/>
  <c r="H37" i="62"/>
  <c r="H39" i="62" s="1"/>
  <c r="I33" i="62"/>
  <c r="I15" i="61"/>
  <c r="H19" i="61"/>
  <c r="H37" i="61" s="1"/>
  <c r="J35" i="61"/>
  <c r="K31" i="61"/>
  <c r="J19" i="60"/>
  <c r="K15" i="60"/>
  <c r="J37" i="60"/>
  <c r="K33" i="60"/>
  <c r="I23" i="59"/>
  <c r="H26" i="59"/>
  <c r="H27" i="59" s="1"/>
  <c r="H28" i="59" s="1"/>
  <c r="H33" i="59" s="1"/>
  <c r="H34" i="59" s="1"/>
  <c r="H24" i="59"/>
  <c r="H25" i="59" s="1"/>
  <c r="K12" i="59"/>
  <c r="J16" i="59"/>
  <c r="J6" i="59" s="1"/>
  <c r="I9" i="59"/>
  <c r="I14" i="59" s="1"/>
  <c r="I15" i="59" s="1"/>
  <c r="I19" i="59" s="1"/>
  <c r="I20" i="59" s="1"/>
  <c r="I7" i="59"/>
  <c r="I8" i="59" s="1"/>
  <c r="H35" i="58"/>
  <c r="H37" i="58" s="1"/>
  <c r="I31" i="58"/>
  <c r="J15" i="58"/>
  <c r="I19" i="58"/>
  <c r="J15" i="57"/>
  <c r="I19" i="57"/>
  <c r="I33" i="57"/>
  <c r="H37" i="57"/>
  <c r="H39" i="57" s="1"/>
  <c r="I9" i="56"/>
  <c r="I14" i="56" s="1"/>
  <c r="I15" i="56" s="1"/>
  <c r="I19" i="56" s="1"/>
  <c r="I20" i="56" s="1"/>
  <c r="I7" i="56"/>
  <c r="I8" i="56" s="1"/>
  <c r="J16" i="56"/>
  <c r="J6" i="56" s="1"/>
  <c r="K12" i="56"/>
  <c r="I23" i="56"/>
  <c r="H24" i="56"/>
  <c r="H25" i="56" s="1"/>
  <c r="H26" i="56"/>
  <c r="H27" i="56" s="1"/>
  <c r="H28" i="56" s="1"/>
  <c r="H33" i="56" s="1"/>
  <c r="H34" i="56" s="1"/>
  <c r="F38" i="17"/>
  <c r="G37" i="55"/>
  <c r="H9" i="55"/>
  <c r="H14" i="55" s="1"/>
  <c r="H15" i="55" s="1"/>
  <c r="H19" i="55" s="1"/>
  <c r="H20" i="55" s="1"/>
  <c r="H7" i="55"/>
  <c r="H8" i="55" s="1"/>
  <c r="I6" i="55"/>
  <c r="J16" i="55"/>
  <c r="K12" i="55"/>
  <c r="I23" i="55"/>
  <c r="H26" i="55"/>
  <c r="H27" i="55" s="1"/>
  <c r="H28" i="55" s="1"/>
  <c r="H33" i="55" s="1"/>
  <c r="H34" i="55" s="1"/>
  <c r="H24" i="55"/>
  <c r="H25" i="55" s="1"/>
  <c r="E71" i="16"/>
  <c r="F70" i="16"/>
  <c r="F19" i="53"/>
  <c r="F37" i="53" s="1"/>
  <c r="H63" i="53"/>
  <c r="I62" i="53"/>
  <c r="H22" i="53"/>
  <c r="H34" i="53" s="1"/>
  <c r="H35" i="53" s="1"/>
  <c r="G7" i="53"/>
  <c r="G8" i="53" s="1"/>
  <c r="G18" i="53"/>
  <c r="H6" i="53"/>
  <c r="T76" i="53"/>
  <c r="S77" i="53"/>
  <c r="S78" i="53" s="1"/>
  <c r="L79" i="53" s="1"/>
  <c r="I31" i="53"/>
  <c r="K79" i="53"/>
  <c r="H9" i="52"/>
  <c r="H14" i="52" s="1"/>
  <c r="H15" i="52" s="1"/>
  <c r="H19" i="52" s="1"/>
  <c r="H20" i="52" s="1"/>
  <c r="H7" i="52"/>
  <c r="H8" i="52" s="1"/>
  <c r="I6" i="52"/>
  <c r="I23" i="52"/>
  <c r="H26" i="52"/>
  <c r="H27" i="52" s="1"/>
  <c r="H28" i="52" s="1"/>
  <c r="H33" i="52" s="1"/>
  <c r="H34" i="52" s="1"/>
  <c r="H24" i="52"/>
  <c r="H25" i="52" s="1"/>
  <c r="H9" i="50"/>
  <c r="H14" i="50" s="1"/>
  <c r="H15" i="50" s="1"/>
  <c r="H19" i="50" s="1"/>
  <c r="H20" i="50" s="1"/>
  <c r="H7" i="50"/>
  <c r="H8" i="50" s="1"/>
  <c r="I6" i="50"/>
  <c r="H23" i="50"/>
  <c r="G26" i="50"/>
  <c r="G27" i="50" s="1"/>
  <c r="G28" i="50" s="1"/>
  <c r="G33" i="50" s="1"/>
  <c r="G34" i="50" s="1"/>
  <c r="G24" i="50"/>
  <c r="G25" i="50" s="1"/>
  <c r="G36" i="50" s="1"/>
  <c r="I16" i="50"/>
  <c r="J12" i="50"/>
  <c r="F35" i="49"/>
  <c r="G9" i="49"/>
  <c r="G14" i="49" s="1"/>
  <c r="G15" i="49" s="1"/>
  <c r="G19" i="49" s="1"/>
  <c r="G20" i="49" s="1"/>
  <c r="G7" i="49"/>
  <c r="G8" i="49" s="1"/>
  <c r="G35" i="49" s="1"/>
  <c r="H6" i="49"/>
  <c r="J23" i="49"/>
  <c r="I26" i="49"/>
  <c r="I27" i="49" s="1"/>
  <c r="I28" i="49" s="1"/>
  <c r="I33" i="49" s="1"/>
  <c r="I34" i="49" s="1"/>
  <c r="I24" i="49"/>
  <c r="I25" i="49" s="1"/>
  <c r="I16" i="49"/>
  <c r="J12" i="49"/>
  <c r="H9" i="47"/>
  <c r="H14" i="47" s="1"/>
  <c r="H15" i="47" s="1"/>
  <c r="H19" i="47" s="1"/>
  <c r="H20" i="47" s="1"/>
  <c r="H7" i="47"/>
  <c r="H8" i="47" s="1"/>
  <c r="H37" i="47" s="1"/>
  <c r="J12" i="47"/>
  <c r="I16" i="47"/>
  <c r="I6" i="47" s="1"/>
  <c r="I26" i="47"/>
  <c r="I27" i="47" s="1"/>
  <c r="I28" i="47" s="1"/>
  <c r="I33" i="47" s="1"/>
  <c r="I34" i="47" s="1"/>
  <c r="I24" i="47"/>
  <c r="I25" i="47" s="1"/>
  <c r="J23" i="47"/>
  <c r="H19" i="35"/>
  <c r="I15" i="35"/>
  <c r="H37" i="35"/>
  <c r="I33" i="35"/>
  <c r="I35" i="34"/>
  <c r="J31" i="34"/>
  <c r="S54" i="34"/>
  <c r="R55" i="34"/>
  <c r="R56" i="34" s="1"/>
  <c r="G40" i="34"/>
  <c r="F41" i="34"/>
  <c r="J15" i="33"/>
  <c r="I19" i="33"/>
  <c r="G35" i="33"/>
  <c r="G37" i="33" s="1"/>
  <c r="H31" i="33"/>
  <c r="J15" i="31"/>
  <c r="I19" i="31"/>
  <c r="H35" i="31"/>
  <c r="H37" i="31" s="1"/>
  <c r="I31" i="31"/>
  <c r="I15" i="30"/>
  <c r="H19" i="30"/>
  <c r="H37" i="30" s="1"/>
  <c r="J31" i="30"/>
  <c r="I35" i="30"/>
  <c r="H37" i="29"/>
  <c r="H39" i="29" s="1"/>
  <c r="I33" i="29"/>
  <c r="J15" i="29"/>
  <c r="I19" i="29"/>
  <c r="J31" i="28"/>
  <c r="I35" i="28"/>
  <c r="I37" i="28" s="1"/>
  <c r="N15" i="28"/>
  <c r="M19" i="28"/>
  <c r="J34" i="27"/>
  <c r="J35" i="27" s="1"/>
  <c r="I18" i="27"/>
  <c r="I19" i="27" s="1"/>
  <c r="I37" i="27" s="1"/>
  <c r="H19" i="26"/>
  <c r="I15" i="26"/>
  <c r="H35" i="26"/>
  <c r="I31" i="26"/>
  <c r="S75" i="25"/>
  <c r="R76" i="25"/>
  <c r="R77" i="25" s="1"/>
  <c r="K78" i="25" s="1"/>
  <c r="H31" i="25"/>
  <c r="G35" i="25"/>
  <c r="G37" i="25" s="1"/>
  <c r="H61" i="25"/>
  <c r="G62" i="25"/>
  <c r="I31" i="24"/>
  <c r="H35" i="24"/>
  <c r="H38" i="24" s="1"/>
  <c r="G61" i="24"/>
  <c r="H60" i="24"/>
  <c r="S74" i="24"/>
  <c r="R75" i="24"/>
  <c r="R76" i="24" s="1"/>
  <c r="K77" i="24" s="1"/>
  <c r="H34" i="23"/>
  <c r="H35" i="23" s="1"/>
  <c r="H37" i="23" s="1"/>
  <c r="J18" i="23"/>
  <c r="J19" i="23"/>
  <c r="J15" i="21"/>
  <c r="I19" i="21"/>
  <c r="I37" i="21"/>
  <c r="J33" i="21"/>
  <c r="J36" i="20"/>
  <c r="I18" i="20"/>
  <c r="H19" i="20"/>
  <c r="H39" i="20" s="1"/>
  <c r="I15" i="20"/>
  <c r="I37" i="20"/>
  <c r="J33" i="20"/>
  <c r="J15" i="19"/>
  <c r="I19" i="19"/>
  <c r="I35" i="19"/>
  <c r="J31" i="19"/>
  <c r="H15" i="17"/>
  <c r="G19" i="17"/>
  <c r="G35" i="17"/>
  <c r="J87" i="16"/>
  <c r="S84" i="16"/>
  <c r="R85" i="16"/>
  <c r="R86" i="16" s="1"/>
  <c r="J15" i="16"/>
  <c r="F7" i="16"/>
  <c r="F8" i="16" s="1"/>
  <c r="F19" i="16" s="1"/>
  <c r="F37" i="16" s="1"/>
  <c r="G23" i="10"/>
  <c r="G24" i="10" s="1"/>
  <c r="G25" i="10" s="1"/>
  <c r="G23" i="13"/>
  <c r="F24" i="13"/>
  <c r="F25" i="13" s="1"/>
  <c r="F26" i="13"/>
  <c r="F27" i="13" s="1"/>
  <c r="F28" i="13" s="1"/>
  <c r="F33" i="13" s="1"/>
  <c r="F34" i="13" s="1"/>
  <c r="H16" i="13"/>
  <c r="H6" i="13" s="1"/>
  <c r="I12" i="13"/>
  <c r="G9" i="13"/>
  <c r="G14" i="13" s="1"/>
  <c r="G15" i="13" s="1"/>
  <c r="G19" i="13" s="1"/>
  <c r="G20" i="13" s="1"/>
  <c r="G7" i="13"/>
  <c r="G8" i="13" s="1"/>
  <c r="F26" i="10"/>
  <c r="F27" i="10" s="1"/>
  <c r="F28" i="10" s="1"/>
  <c r="F33" i="10" s="1"/>
  <c r="F34" i="10" s="1"/>
  <c r="G23" i="11"/>
  <c r="F26" i="11"/>
  <c r="F27" i="11" s="1"/>
  <c r="F28" i="11" s="1"/>
  <c r="F33" i="11" s="1"/>
  <c r="F34" i="11" s="1"/>
  <c r="F24" i="11"/>
  <c r="F25" i="11" s="1"/>
  <c r="G16" i="11"/>
  <c r="G6" i="11" s="1"/>
  <c r="F9" i="11"/>
  <c r="F14" i="11" s="1"/>
  <c r="F15" i="11" s="1"/>
  <c r="F19" i="11" s="1"/>
  <c r="F20" i="11" s="1"/>
  <c r="F7" i="11"/>
  <c r="F8" i="11" s="1"/>
  <c r="F37" i="11" s="1"/>
  <c r="H23" i="10"/>
  <c r="G16" i="10"/>
  <c r="G6" i="10" s="1"/>
  <c r="F9" i="10"/>
  <c r="F14" i="10" s="1"/>
  <c r="F15" i="10" s="1"/>
  <c r="F19" i="10" s="1"/>
  <c r="F20" i="10" s="1"/>
  <c r="F7" i="10"/>
  <c r="F8" i="10" s="1"/>
  <c r="F26" i="8"/>
  <c r="F27" i="8"/>
  <c r="F28" i="8" s="1"/>
  <c r="F33" i="8" s="1"/>
  <c r="F34" i="8" s="1"/>
  <c r="G23" i="8"/>
  <c r="F24" i="8"/>
  <c r="F25" i="8" s="1"/>
  <c r="H16" i="8"/>
  <c r="H6" i="8" s="1"/>
  <c r="I12" i="8"/>
  <c r="F9" i="8"/>
  <c r="F14" i="8" s="1"/>
  <c r="F15" i="8" s="1"/>
  <c r="F19" i="8" s="1"/>
  <c r="F20" i="8" s="1"/>
  <c r="F7" i="8"/>
  <c r="F8" i="8" s="1"/>
  <c r="I106" i="2"/>
  <c r="K12" i="52" l="1"/>
  <c r="J16" i="52"/>
  <c r="J6" i="52" s="1"/>
  <c r="G26" i="10"/>
  <c r="G27" i="10" s="1"/>
  <c r="G28" i="10" s="1"/>
  <c r="G33" i="10" s="1"/>
  <c r="G34" i="10" s="1"/>
  <c r="I37" i="19"/>
  <c r="H38" i="26"/>
  <c r="I35" i="68"/>
  <c r="J31" i="68"/>
  <c r="J15" i="68"/>
  <c r="I19" i="68"/>
  <c r="I37" i="68" s="1"/>
  <c r="F38" i="8"/>
  <c r="H37" i="68"/>
  <c r="H40" i="35"/>
  <c r="I40" i="21"/>
  <c r="I39" i="20"/>
  <c r="U75" i="70"/>
  <c r="U76" i="70" s="1"/>
  <c r="N77" i="70" s="1"/>
  <c r="V74" i="70"/>
  <c r="J60" i="70"/>
  <c r="I61" i="70"/>
  <c r="J35" i="70"/>
  <c r="J38" i="70" s="1"/>
  <c r="K31" i="70"/>
  <c r="M77" i="70"/>
  <c r="J35" i="69"/>
  <c r="J37" i="69" s="1"/>
  <c r="K31" i="69"/>
  <c r="I70" i="69"/>
  <c r="H71" i="69"/>
  <c r="D72" i="69" s="1"/>
  <c r="T85" i="69"/>
  <c r="T86" i="69" s="1"/>
  <c r="U84" i="69"/>
  <c r="I37" i="67"/>
  <c r="I39" i="67" s="1"/>
  <c r="J33" i="67"/>
  <c r="K15" i="67"/>
  <c r="J19" i="67"/>
  <c r="K15" i="66"/>
  <c r="J19" i="66"/>
  <c r="J37" i="66" s="1"/>
  <c r="K35" i="66"/>
  <c r="L31" i="66"/>
  <c r="U87" i="65"/>
  <c r="U88" i="65" s="1"/>
  <c r="N89" i="65" s="1"/>
  <c r="V86" i="65"/>
  <c r="I72" i="65"/>
  <c r="H73" i="65"/>
  <c r="J37" i="65"/>
  <c r="J39" i="65" s="1"/>
  <c r="K33" i="65"/>
  <c r="I35" i="64"/>
  <c r="I37" i="64" s="1"/>
  <c r="J31" i="64"/>
  <c r="K15" i="64"/>
  <c r="J19" i="64"/>
  <c r="K15" i="63"/>
  <c r="J19" i="63"/>
  <c r="J37" i="63" s="1"/>
  <c r="K35" i="63"/>
  <c r="L31" i="63"/>
  <c r="J33" i="62"/>
  <c r="I37" i="62"/>
  <c r="I39" i="62" s="1"/>
  <c r="K19" i="62"/>
  <c r="L15" i="62"/>
  <c r="K35" i="61"/>
  <c r="L31" i="61"/>
  <c r="J15" i="61"/>
  <c r="I19" i="61"/>
  <c r="I37" i="61" s="1"/>
  <c r="J39" i="60"/>
  <c r="K37" i="60"/>
  <c r="L33" i="60"/>
  <c r="K19" i="60"/>
  <c r="L15" i="60"/>
  <c r="J9" i="59"/>
  <c r="J14" i="59" s="1"/>
  <c r="J15" i="59" s="1"/>
  <c r="J19" i="59" s="1"/>
  <c r="J20" i="59" s="1"/>
  <c r="J7" i="59"/>
  <c r="J8" i="59" s="1"/>
  <c r="L12" i="59"/>
  <c r="K16" i="59"/>
  <c r="K6" i="59" s="1"/>
  <c r="I26" i="59"/>
  <c r="I27" i="59" s="1"/>
  <c r="I28" i="59" s="1"/>
  <c r="I33" i="59" s="1"/>
  <c r="I34" i="59" s="1"/>
  <c r="I24" i="59"/>
  <c r="I25" i="59" s="1"/>
  <c r="J23" i="59"/>
  <c r="K15" i="58"/>
  <c r="J19" i="58"/>
  <c r="I35" i="58"/>
  <c r="I37" i="58" s="1"/>
  <c r="J31" i="58"/>
  <c r="I37" i="57"/>
  <c r="I39" i="57" s="1"/>
  <c r="J33" i="57"/>
  <c r="K15" i="57"/>
  <c r="J19" i="57"/>
  <c r="J9" i="56"/>
  <c r="J14" i="56" s="1"/>
  <c r="J15" i="56" s="1"/>
  <c r="J19" i="56" s="1"/>
  <c r="J20" i="56" s="1"/>
  <c r="J7" i="56"/>
  <c r="J8" i="56" s="1"/>
  <c r="J23" i="56"/>
  <c r="I26" i="56"/>
  <c r="I27" i="56" s="1"/>
  <c r="I28" i="56" s="1"/>
  <c r="I33" i="56" s="1"/>
  <c r="I34" i="56" s="1"/>
  <c r="I24" i="56"/>
  <c r="I25" i="56" s="1"/>
  <c r="K16" i="56"/>
  <c r="K6" i="56" s="1"/>
  <c r="L12" i="56"/>
  <c r="G38" i="17"/>
  <c r="K16" i="55"/>
  <c r="L12" i="55"/>
  <c r="H37" i="55"/>
  <c r="I9" i="55"/>
  <c r="I14" i="55" s="1"/>
  <c r="I15" i="55" s="1"/>
  <c r="I19" i="55" s="1"/>
  <c r="I20" i="55" s="1"/>
  <c r="J6" i="55"/>
  <c r="I7" i="55"/>
  <c r="I8" i="55" s="1"/>
  <c r="I24" i="55"/>
  <c r="I25" i="55" s="1"/>
  <c r="I26" i="55"/>
  <c r="I27" i="55" s="1"/>
  <c r="I28" i="55" s="1"/>
  <c r="I33" i="55" s="1"/>
  <c r="I34" i="55" s="1"/>
  <c r="J23" i="55"/>
  <c r="F71" i="16"/>
  <c r="G70" i="16"/>
  <c r="I63" i="53"/>
  <c r="J62" i="53"/>
  <c r="I22" i="53"/>
  <c r="I34" i="53" s="1"/>
  <c r="I35" i="53" s="1"/>
  <c r="I6" i="53"/>
  <c r="H7" i="53"/>
  <c r="H8" i="53" s="1"/>
  <c r="H18" i="53"/>
  <c r="G19" i="53"/>
  <c r="G37" i="53" s="1"/>
  <c r="U76" i="53"/>
  <c r="T77" i="53"/>
  <c r="T78" i="53" s="1"/>
  <c r="M79" i="53" s="1"/>
  <c r="J31" i="53"/>
  <c r="I9" i="52"/>
  <c r="I14" i="52" s="1"/>
  <c r="I15" i="52" s="1"/>
  <c r="I19" i="52" s="1"/>
  <c r="I20" i="52" s="1"/>
  <c r="I7" i="52"/>
  <c r="I8" i="52" s="1"/>
  <c r="J23" i="52"/>
  <c r="I24" i="52"/>
  <c r="I25" i="52" s="1"/>
  <c r="I26" i="52"/>
  <c r="I27" i="52" s="1"/>
  <c r="I28" i="52" s="1"/>
  <c r="I33" i="52" s="1"/>
  <c r="I34" i="52" s="1"/>
  <c r="I23" i="50"/>
  <c r="H24" i="50"/>
  <c r="H25" i="50" s="1"/>
  <c r="H36" i="50" s="1"/>
  <c r="H26" i="50"/>
  <c r="H27" i="50" s="1"/>
  <c r="H28" i="50" s="1"/>
  <c r="H33" i="50" s="1"/>
  <c r="H34" i="50" s="1"/>
  <c r="I9" i="50"/>
  <c r="I14" i="50" s="1"/>
  <c r="I15" i="50" s="1"/>
  <c r="I19" i="50" s="1"/>
  <c r="I20" i="50" s="1"/>
  <c r="I7" i="50"/>
  <c r="I8" i="50" s="1"/>
  <c r="J16" i="50"/>
  <c r="J6" i="50" s="1"/>
  <c r="K12" i="50"/>
  <c r="J26" i="49"/>
  <c r="J27" i="49" s="1"/>
  <c r="J28" i="49" s="1"/>
  <c r="J33" i="49" s="1"/>
  <c r="J34" i="49" s="1"/>
  <c r="J24" i="49"/>
  <c r="J25" i="49" s="1"/>
  <c r="K23" i="49"/>
  <c r="J16" i="49"/>
  <c r="K12" i="49"/>
  <c r="H9" i="49"/>
  <c r="H14" i="49" s="1"/>
  <c r="H15" i="49" s="1"/>
  <c r="H19" i="49" s="1"/>
  <c r="H20" i="49" s="1"/>
  <c r="H7" i="49"/>
  <c r="H8" i="49" s="1"/>
  <c r="H35" i="49" s="1"/>
  <c r="I6" i="49"/>
  <c r="I9" i="47"/>
  <c r="I14" i="47" s="1"/>
  <c r="I15" i="47" s="1"/>
  <c r="I19" i="47" s="1"/>
  <c r="I20" i="47" s="1"/>
  <c r="I7" i="47"/>
  <c r="I8" i="47" s="1"/>
  <c r="I37" i="47" s="1"/>
  <c r="K12" i="47"/>
  <c r="J16" i="47"/>
  <c r="J6" i="47" s="1"/>
  <c r="J24" i="47"/>
  <c r="J25" i="47" s="1"/>
  <c r="K23" i="47"/>
  <c r="J26" i="47"/>
  <c r="J27" i="47" s="1"/>
  <c r="J28" i="47" s="1"/>
  <c r="J33" i="47" s="1"/>
  <c r="J34" i="47" s="1"/>
  <c r="I19" i="35"/>
  <c r="J15" i="35"/>
  <c r="I37" i="35"/>
  <c r="J33" i="35"/>
  <c r="K57" i="34"/>
  <c r="J35" i="34"/>
  <c r="K31" i="34"/>
  <c r="T54" i="34"/>
  <c r="S55" i="34"/>
  <c r="S56" i="34" s="1"/>
  <c r="L57" i="34" s="1"/>
  <c r="H40" i="34"/>
  <c r="G41" i="34"/>
  <c r="H35" i="33"/>
  <c r="H37" i="33" s="1"/>
  <c r="I31" i="33"/>
  <c r="K15" i="33"/>
  <c r="J19" i="33"/>
  <c r="J31" i="31"/>
  <c r="I35" i="31"/>
  <c r="I37" i="31" s="1"/>
  <c r="K15" i="31"/>
  <c r="J19" i="31"/>
  <c r="J15" i="30"/>
  <c r="I19" i="30"/>
  <c r="I37" i="30" s="1"/>
  <c r="K31" i="30"/>
  <c r="J35" i="30"/>
  <c r="K15" i="29"/>
  <c r="J19" i="29"/>
  <c r="I37" i="29"/>
  <c r="I39" i="29" s="1"/>
  <c r="J33" i="29"/>
  <c r="N19" i="28"/>
  <c r="O15" i="28"/>
  <c r="O19" i="28" s="1"/>
  <c r="K31" i="28"/>
  <c r="J35" i="28"/>
  <c r="J37" i="28" s="1"/>
  <c r="J18" i="27"/>
  <c r="J19" i="27" s="1"/>
  <c r="J37" i="27" s="1"/>
  <c r="K34" i="27"/>
  <c r="K35" i="27" s="1"/>
  <c r="I35" i="26"/>
  <c r="J31" i="26"/>
  <c r="I19" i="26"/>
  <c r="J15" i="26"/>
  <c r="I61" i="25"/>
  <c r="H62" i="25"/>
  <c r="I31" i="25"/>
  <c r="H35" i="25"/>
  <c r="H37" i="25" s="1"/>
  <c r="T75" i="25"/>
  <c r="S76" i="25"/>
  <c r="S77" i="25" s="1"/>
  <c r="I60" i="24"/>
  <c r="H61" i="24"/>
  <c r="I35" i="24"/>
  <c r="I38" i="24" s="1"/>
  <c r="J31" i="24"/>
  <c r="T74" i="24"/>
  <c r="S75" i="24"/>
  <c r="S76" i="24" s="1"/>
  <c r="K18" i="23"/>
  <c r="K19" i="23" s="1"/>
  <c r="I34" i="23"/>
  <c r="I35" i="23" s="1"/>
  <c r="I37" i="23" s="1"/>
  <c r="K33" i="21"/>
  <c r="J37" i="21"/>
  <c r="K15" i="21"/>
  <c r="J19" i="21"/>
  <c r="K36" i="20"/>
  <c r="J18" i="20"/>
  <c r="K33" i="20"/>
  <c r="J37" i="20"/>
  <c r="J15" i="20"/>
  <c r="I19" i="20"/>
  <c r="K31" i="19"/>
  <c r="J35" i="19"/>
  <c r="K15" i="19"/>
  <c r="J19" i="19"/>
  <c r="J37" i="19" s="1"/>
  <c r="I15" i="17"/>
  <c r="H19" i="17"/>
  <c r="H35" i="17"/>
  <c r="S85" i="16"/>
  <c r="S86" i="16" s="1"/>
  <c r="L87" i="16" s="1"/>
  <c r="T84" i="16"/>
  <c r="K87" i="16"/>
  <c r="K15" i="16"/>
  <c r="G7" i="16"/>
  <c r="G8" i="16" s="1"/>
  <c r="G19" i="16" s="1"/>
  <c r="G37" i="16" s="1"/>
  <c r="H9" i="13"/>
  <c r="H14" i="13" s="1"/>
  <c r="H15" i="13" s="1"/>
  <c r="H19" i="13" s="1"/>
  <c r="H20" i="13" s="1"/>
  <c r="H7" i="13"/>
  <c r="H8" i="13" s="1"/>
  <c r="I16" i="13"/>
  <c r="I6" i="13" s="1"/>
  <c r="J12" i="13"/>
  <c r="H23" i="13"/>
  <c r="G26" i="13"/>
  <c r="G27" i="13" s="1"/>
  <c r="G28" i="13" s="1"/>
  <c r="G33" i="13" s="1"/>
  <c r="G34" i="13" s="1"/>
  <c r="G24" i="13"/>
  <c r="G25" i="13" s="1"/>
  <c r="G9" i="11"/>
  <c r="G14" i="11" s="1"/>
  <c r="G15" i="11" s="1"/>
  <c r="G19" i="11" s="1"/>
  <c r="G20" i="11" s="1"/>
  <c r="G7" i="11"/>
  <c r="G8" i="11" s="1"/>
  <c r="G37" i="11" s="1"/>
  <c r="H16" i="11"/>
  <c r="H6" i="11" s="1"/>
  <c r="H23" i="11"/>
  <c r="G26" i="11"/>
  <c r="G27" i="11" s="1"/>
  <c r="G28" i="11" s="1"/>
  <c r="G33" i="11" s="1"/>
  <c r="G34" i="11" s="1"/>
  <c r="G24" i="11"/>
  <c r="G25" i="11" s="1"/>
  <c r="G9" i="10"/>
  <c r="G14" i="10" s="1"/>
  <c r="G15" i="10" s="1"/>
  <c r="G19" i="10" s="1"/>
  <c r="G20" i="10" s="1"/>
  <c r="G7" i="10"/>
  <c r="G8" i="10" s="1"/>
  <c r="H16" i="10"/>
  <c r="H6" i="10" s="1"/>
  <c r="H26" i="10"/>
  <c r="H27" i="10" s="1"/>
  <c r="H28" i="10" s="1"/>
  <c r="H33" i="10" s="1"/>
  <c r="H34" i="10" s="1"/>
  <c r="H24" i="10"/>
  <c r="H25" i="10" s="1"/>
  <c r="I23" i="10"/>
  <c r="I16" i="8"/>
  <c r="I6" i="8" s="1"/>
  <c r="J12" i="8"/>
  <c r="H23" i="8"/>
  <c r="G26" i="8"/>
  <c r="G27" i="8" s="1"/>
  <c r="G28" i="8" s="1"/>
  <c r="G33" i="8" s="1"/>
  <c r="G34" i="8" s="1"/>
  <c r="G24" i="8"/>
  <c r="G25" i="8"/>
  <c r="G7" i="8"/>
  <c r="G8" i="8" s="1"/>
  <c r="G9" i="8"/>
  <c r="G14" i="8" s="1"/>
  <c r="G15" i="8" s="1"/>
  <c r="G19" i="8" s="1"/>
  <c r="G20" i="8" s="1"/>
  <c r="K63" i="2"/>
  <c r="J107" i="2"/>
  <c r="K50" i="2"/>
  <c r="K51" i="2"/>
  <c r="K52" i="2"/>
  <c r="K53" i="2"/>
  <c r="K54" i="2"/>
  <c r="K55" i="2"/>
  <c r="K56" i="2"/>
  <c r="K57" i="2"/>
  <c r="K58" i="2"/>
  <c r="K59" i="2"/>
  <c r="K60" i="2"/>
  <c r="K64" i="2"/>
  <c r="K65" i="2"/>
  <c r="K66" i="2"/>
  <c r="K67" i="2"/>
  <c r="K68" i="2"/>
  <c r="K69" i="2"/>
  <c r="K70" i="2"/>
  <c r="K71" i="2"/>
  <c r="K72" i="2"/>
  <c r="K73" i="2"/>
  <c r="K74" i="2"/>
  <c r="K78" i="2"/>
  <c r="K79" i="2"/>
  <c r="K80" i="2"/>
  <c r="K81" i="2"/>
  <c r="K82" i="2"/>
  <c r="K83" i="2"/>
  <c r="K84" i="2"/>
  <c r="K85" i="2"/>
  <c r="K86" i="2"/>
  <c r="K87" i="2"/>
  <c r="K88" i="2"/>
  <c r="K89" i="2"/>
  <c r="K92" i="2"/>
  <c r="K93" i="2"/>
  <c r="K94" i="2"/>
  <c r="K95" i="2"/>
  <c r="K96" i="2"/>
  <c r="K97" i="2"/>
  <c r="K98" i="2"/>
  <c r="K99" i="2"/>
  <c r="K100" i="2"/>
  <c r="K101" i="2"/>
  <c r="K102" i="2"/>
  <c r="K103" i="2"/>
  <c r="K106" i="2"/>
  <c r="K107" i="2"/>
  <c r="K49" i="2"/>
  <c r="J78" i="2"/>
  <c r="J79" i="2"/>
  <c r="J80" i="2"/>
  <c r="J81" i="2"/>
  <c r="J82" i="2"/>
  <c r="J83" i="2"/>
  <c r="J84" i="2"/>
  <c r="J85" i="2"/>
  <c r="J86" i="2"/>
  <c r="J87" i="2"/>
  <c r="J88" i="2"/>
  <c r="J89" i="2"/>
  <c r="J63" i="2"/>
  <c r="J64" i="2"/>
  <c r="J65" i="2"/>
  <c r="J66" i="2"/>
  <c r="J67" i="2"/>
  <c r="J68" i="2"/>
  <c r="J69" i="2"/>
  <c r="J70" i="2"/>
  <c r="J71" i="2"/>
  <c r="J72" i="2"/>
  <c r="J73" i="2"/>
  <c r="J74" i="2"/>
  <c r="J50" i="2"/>
  <c r="J51" i="2"/>
  <c r="J52" i="2"/>
  <c r="J53" i="2"/>
  <c r="J54" i="2"/>
  <c r="J55" i="2"/>
  <c r="J56" i="2"/>
  <c r="J57" i="2"/>
  <c r="J58" i="2"/>
  <c r="J59" i="2"/>
  <c r="J60" i="2"/>
  <c r="J49" i="2"/>
  <c r="I107" i="2"/>
  <c r="I92" i="2"/>
  <c r="I94" i="2"/>
  <c r="I95" i="2"/>
  <c r="I96" i="2"/>
  <c r="I97" i="2"/>
  <c r="I98" i="2"/>
  <c r="I99" i="2"/>
  <c r="I100" i="2"/>
  <c r="I101" i="2"/>
  <c r="I102" i="2"/>
  <c r="I103" i="2"/>
  <c r="I93" i="2"/>
  <c r="I78" i="2"/>
  <c r="I80" i="2"/>
  <c r="I81" i="2"/>
  <c r="I82" i="2"/>
  <c r="I83" i="2"/>
  <c r="I84" i="2"/>
  <c r="I85" i="2"/>
  <c r="I86" i="2"/>
  <c r="I87" i="2"/>
  <c r="I88" i="2"/>
  <c r="I89" i="2"/>
  <c r="I79" i="2"/>
  <c r="I63" i="2"/>
  <c r="I65" i="2"/>
  <c r="I66" i="2"/>
  <c r="I67" i="2"/>
  <c r="I68" i="2"/>
  <c r="I69" i="2"/>
  <c r="I70" i="2"/>
  <c r="I71" i="2"/>
  <c r="I72" i="2"/>
  <c r="I73" i="2"/>
  <c r="I74" i="2"/>
  <c r="I64" i="2"/>
  <c r="I49" i="2"/>
  <c r="I51" i="2"/>
  <c r="I52" i="2"/>
  <c r="I53" i="2"/>
  <c r="I54" i="2"/>
  <c r="I55" i="2"/>
  <c r="I56" i="2"/>
  <c r="I57" i="2"/>
  <c r="I58" i="2"/>
  <c r="I59" i="2"/>
  <c r="I60" i="2"/>
  <c r="I50" i="2"/>
  <c r="I33" i="2"/>
  <c r="I35" i="2"/>
  <c r="I36" i="2"/>
  <c r="I37" i="2"/>
  <c r="I38" i="2"/>
  <c r="I39" i="2"/>
  <c r="I40" i="2"/>
  <c r="I41" i="2"/>
  <c r="I42" i="2"/>
  <c r="I43" i="2"/>
  <c r="I44" i="2"/>
  <c r="L44" i="2" s="1"/>
  <c r="I34" i="2"/>
  <c r="I17" i="2"/>
  <c r="I19" i="2"/>
  <c r="I20" i="2"/>
  <c r="I21" i="2"/>
  <c r="I22" i="2"/>
  <c r="I23" i="2"/>
  <c r="I24" i="2"/>
  <c r="I25" i="2"/>
  <c r="I26" i="2"/>
  <c r="I27" i="2"/>
  <c r="I28" i="2"/>
  <c r="L28" i="2" s="1"/>
  <c r="I18" i="2"/>
  <c r="I3" i="2"/>
  <c r="I5" i="2"/>
  <c r="I6" i="2"/>
  <c r="I7" i="2"/>
  <c r="I8" i="2"/>
  <c r="I9" i="2"/>
  <c r="I10" i="2"/>
  <c r="I11" i="2"/>
  <c r="I12" i="2"/>
  <c r="I13" i="2"/>
  <c r="I14" i="2"/>
  <c r="I4" i="2"/>
  <c r="G6" i="3"/>
  <c r="F3" i="3"/>
  <c r="F4" i="3"/>
  <c r="F5" i="3"/>
  <c r="H5" i="3" s="1"/>
  <c r="F6" i="3"/>
  <c r="H6" i="3" s="1"/>
  <c r="F7" i="3"/>
  <c r="F8" i="3"/>
  <c r="F2" i="3"/>
  <c r="D3" i="3"/>
  <c r="G3" i="3" s="1"/>
  <c r="D4" i="3"/>
  <c r="G4" i="3" s="1"/>
  <c r="D5" i="3"/>
  <c r="G5" i="3" s="1"/>
  <c r="D6" i="3"/>
  <c r="D7" i="3"/>
  <c r="G7" i="3" s="1"/>
  <c r="D8" i="3"/>
  <c r="G8" i="3" s="1"/>
  <c r="D2" i="3"/>
  <c r="G2" i="3" s="1"/>
  <c r="I40" i="35" l="1"/>
  <c r="K16" i="52"/>
  <c r="L12" i="52"/>
  <c r="J39" i="20"/>
  <c r="J35" i="68"/>
  <c r="K31" i="68"/>
  <c r="H7" i="3"/>
  <c r="J40" i="21"/>
  <c r="J19" i="68"/>
  <c r="K15" i="68"/>
  <c r="H4" i="3"/>
  <c r="I111" i="2"/>
  <c r="G38" i="8"/>
  <c r="I38" i="26"/>
  <c r="K39" i="60"/>
  <c r="K60" i="70"/>
  <c r="J61" i="70"/>
  <c r="L31" i="70"/>
  <c r="K35" i="70"/>
  <c r="K38" i="70" s="1"/>
  <c r="V75" i="70"/>
  <c r="V76" i="70" s="1"/>
  <c r="O77" i="70" s="1"/>
  <c r="W74" i="70"/>
  <c r="U85" i="69"/>
  <c r="U86" i="69" s="1"/>
  <c r="V84" i="69"/>
  <c r="J70" i="69"/>
  <c r="I71" i="69"/>
  <c r="L31" i="69"/>
  <c r="K35" i="69"/>
  <c r="K37" i="69" s="1"/>
  <c r="K19" i="67"/>
  <c r="L15" i="67"/>
  <c r="J37" i="67"/>
  <c r="J39" i="67" s="1"/>
  <c r="K33" i="67"/>
  <c r="L35" i="66"/>
  <c r="M31" i="66"/>
  <c r="K19" i="66"/>
  <c r="K37" i="66" s="1"/>
  <c r="L15" i="66"/>
  <c r="L33" i="65"/>
  <c r="K37" i="65"/>
  <c r="K39" i="65" s="1"/>
  <c r="J72" i="65"/>
  <c r="I73" i="65"/>
  <c r="W86" i="65"/>
  <c r="V87" i="65"/>
  <c r="V88" i="65" s="1"/>
  <c r="O89" i="65" s="1"/>
  <c r="H38" i="17"/>
  <c r="L15" i="64"/>
  <c r="K19" i="64"/>
  <c r="J35" i="64"/>
  <c r="J37" i="64" s="1"/>
  <c r="K31" i="64"/>
  <c r="L35" i="63"/>
  <c r="M31" i="63"/>
  <c r="K19" i="63"/>
  <c r="K37" i="63" s="1"/>
  <c r="L15" i="63"/>
  <c r="M15" i="62"/>
  <c r="L19" i="62"/>
  <c r="J37" i="62"/>
  <c r="J39" i="62" s="1"/>
  <c r="K33" i="62"/>
  <c r="K15" i="61"/>
  <c r="J19" i="61"/>
  <c r="J37" i="61" s="1"/>
  <c r="L35" i="61"/>
  <c r="M31" i="61"/>
  <c r="M15" i="60"/>
  <c r="L19" i="60"/>
  <c r="L37" i="60"/>
  <c r="M33" i="60"/>
  <c r="K9" i="59"/>
  <c r="K14" i="59" s="1"/>
  <c r="K15" i="59" s="1"/>
  <c r="K19" i="59" s="1"/>
  <c r="K20" i="59" s="1"/>
  <c r="K7" i="59"/>
  <c r="K8" i="59" s="1"/>
  <c r="M12" i="59"/>
  <c r="L16" i="59"/>
  <c r="L6" i="59" s="1"/>
  <c r="J26" i="59"/>
  <c r="J27" i="59" s="1"/>
  <c r="J28" i="59" s="1"/>
  <c r="J33" i="59" s="1"/>
  <c r="J34" i="59" s="1"/>
  <c r="J24" i="59"/>
  <c r="J25" i="59" s="1"/>
  <c r="K23" i="59"/>
  <c r="J35" i="58"/>
  <c r="J37" i="58" s="1"/>
  <c r="K31" i="58"/>
  <c r="K19" i="58"/>
  <c r="L15" i="58"/>
  <c r="L15" i="57"/>
  <c r="K19" i="57"/>
  <c r="J37" i="57"/>
  <c r="J39" i="57" s="1"/>
  <c r="K33" i="57"/>
  <c r="K9" i="56"/>
  <c r="K14" i="56" s="1"/>
  <c r="K15" i="56" s="1"/>
  <c r="K19" i="56" s="1"/>
  <c r="K20" i="56" s="1"/>
  <c r="K7" i="56"/>
  <c r="K8" i="56" s="1"/>
  <c r="J26" i="56"/>
  <c r="J27" i="56" s="1"/>
  <c r="J28" i="56" s="1"/>
  <c r="J33" i="56" s="1"/>
  <c r="J34" i="56" s="1"/>
  <c r="J24" i="56"/>
  <c r="J25" i="56" s="1"/>
  <c r="K23" i="56"/>
  <c r="M12" i="56"/>
  <c r="L16" i="56"/>
  <c r="L6" i="56" s="1"/>
  <c r="I37" i="55"/>
  <c r="K6" i="55"/>
  <c r="J9" i="55"/>
  <c r="J7" i="55"/>
  <c r="J8" i="55" s="1"/>
  <c r="J14" i="55"/>
  <c r="J15" i="55" s="1"/>
  <c r="J19" i="55" s="1"/>
  <c r="J20" i="55" s="1"/>
  <c r="K23" i="55"/>
  <c r="J26" i="55"/>
  <c r="J27" i="55" s="1"/>
  <c r="J28" i="55" s="1"/>
  <c r="J33" i="55" s="1"/>
  <c r="J34" i="55" s="1"/>
  <c r="J24" i="55"/>
  <c r="J25" i="55" s="1"/>
  <c r="M12" i="55"/>
  <c r="L16" i="55"/>
  <c r="H70" i="16"/>
  <c r="G71" i="16"/>
  <c r="H19" i="53"/>
  <c r="H37" i="53" s="1"/>
  <c r="J63" i="53"/>
  <c r="K62" i="53"/>
  <c r="J22" i="53"/>
  <c r="J34" i="53" s="1"/>
  <c r="J35" i="53" s="1"/>
  <c r="I7" i="53"/>
  <c r="I8" i="53" s="1"/>
  <c r="I18" i="53"/>
  <c r="J6" i="53"/>
  <c r="V76" i="53"/>
  <c r="U77" i="53"/>
  <c r="U78" i="53" s="1"/>
  <c r="N79" i="53" s="1"/>
  <c r="K31" i="53"/>
  <c r="K23" i="52"/>
  <c r="J26" i="52"/>
  <c r="J27" i="52" s="1"/>
  <c r="J28" i="52" s="1"/>
  <c r="J33" i="52" s="1"/>
  <c r="J34" i="52" s="1"/>
  <c r="J24" i="52"/>
  <c r="J25" i="52" s="1"/>
  <c r="K6" i="52"/>
  <c r="J7" i="52"/>
  <c r="J8" i="52"/>
  <c r="J9" i="52"/>
  <c r="J14" i="52" s="1"/>
  <c r="J15" i="52" s="1"/>
  <c r="J19" i="52" s="1"/>
  <c r="J20" i="52" s="1"/>
  <c r="J9" i="50"/>
  <c r="J14" i="50" s="1"/>
  <c r="J15" i="50" s="1"/>
  <c r="J19" i="50" s="1"/>
  <c r="J20" i="50" s="1"/>
  <c r="J7" i="50"/>
  <c r="J8" i="50" s="1"/>
  <c r="L12" i="50"/>
  <c r="K16" i="50"/>
  <c r="K6" i="50" s="1"/>
  <c r="I26" i="50"/>
  <c r="I27" i="50" s="1"/>
  <c r="I28" i="50" s="1"/>
  <c r="I33" i="50" s="1"/>
  <c r="I34" i="50" s="1"/>
  <c r="I24" i="50"/>
  <c r="I25" i="50" s="1"/>
  <c r="I36" i="50" s="1"/>
  <c r="J23" i="50"/>
  <c r="K16" i="49"/>
  <c r="L12" i="49"/>
  <c r="K26" i="49"/>
  <c r="K27" i="49" s="1"/>
  <c r="K28" i="49" s="1"/>
  <c r="K33" i="49" s="1"/>
  <c r="K34" i="49" s="1"/>
  <c r="K24" i="49"/>
  <c r="K25" i="49" s="1"/>
  <c r="L23" i="49"/>
  <c r="I9" i="49"/>
  <c r="I14" i="49" s="1"/>
  <c r="I15" i="49" s="1"/>
  <c r="I19" i="49" s="1"/>
  <c r="I20" i="49" s="1"/>
  <c r="I7" i="49"/>
  <c r="I8" i="49" s="1"/>
  <c r="I35" i="49" s="1"/>
  <c r="J6" i="49"/>
  <c r="J9" i="47"/>
  <c r="J14" i="47" s="1"/>
  <c r="J15" i="47" s="1"/>
  <c r="J19" i="47" s="1"/>
  <c r="J20" i="47" s="1"/>
  <c r="J7" i="47"/>
  <c r="J8" i="47" s="1"/>
  <c r="J37" i="47" s="1"/>
  <c r="K16" i="47"/>
  <c r="K6" i="47" s="1"/>
  <c r="L12" i="47"/>
  <c r="L23" i="47"/>
  <c r="K26" i="47"/>
  <c r="K27" i="47" s="1"/>
  <c r="K28" i="47" s="1"/>
  <c r="K33" i="47" s="1"/>
  <c r="K34" i="47" s="1"/>
  <c r="K24" i="47"/>
  <c r="K25" i="47" s="1"/>
  <c r="H3" i="3"/>
  <c r="H8" i="3"/>
  <c r="K33" i="35"/>
  <c r="J37" i="35"/>
  <c r="J19" i="35"/>
  <c r="K15" i="35"/>
  <c r="T55" i="34"/>
  <c r="T56" i="34" s="1"/>
  <c r="M57" i="34" s="1"/>
  <c r="U54" i="34"/>
  <c r="K35" i="34"/>
  <c r="L31" i="34"/>
  <c r="I40" i="34"/>
  <c r="H41" i="34"/>
  <c r="J31" i="33"/>
  <c r="I35" i="33"/>
  <c r="I37" i="33" s="1"/>
  <c r="L15" i="33"/>
  <c r="K19" i="33"/>
  <c r="L15" i="31"/>
  <c r="K19" i="31"/>
  <c r="K31" i="31"/>
  <c r="J35" i="31"/>
  <c r="J37" i="31" s="1"/>
  <c r="K15" i="30"/>
  <c r="J19" i="30"/>
  <c r="J37" i="30" s="1"/>
  <c r="K35" i="30"/>
  <c r="L31" i="30"/>
  <c r="K33" i="29"/>
  <c r="J37" i="29"/>
  <c r="J39" i="29" s="1"/>
  <c r="L15" i="29"/>
  <c r="K19" i="29"/>
  <c r="K35" i="28"/>
  <c r="K37" i="28" s="1"/>
  <c r="L31" i="28"/>
  <c r="L34" i="27"/>
  <c r="L35" i="27"/>
  <c r="K18" i="27"/>
  <c r="K19" i="27" s="1"/>
  <c r="K37" i="27" s="1"/>
  <c r="K15" i="26"/>
  <c r="J19" i="26"/>
  <c r="J38" i="26" s="1"/>
  <c r="K31" i="26"/>
  <c r="J35" i="26"/>
  <c r="T76" i="25"/>
  <c r="T77" i="25" s="1"/>
  <c r="M78" i="25" s="1"/>
  <c r="U75" i="25"/>
  <c r="J31" i="25"/>
  <c r="I35" i="25"/>
  <c r="I37" i="25" s="1"/>
  <c r="J61" i="25"/>
  <c r="I62" i="25"/>
  <c r="L78" i="25"/>
  <c r="J35" i="24"/>
  <c r="J38" i="24" s="1"/>
  <c r="K31" i="24"/>
  <c r="I61" i="24"/>
  <c r="J60" i="24"/>
  <c r="T75" i="24"/>
  <c r="T76" i="24" s="1"/>
  <c r="M77" i="24" s="1"/>
  <c r="U74" i="24"/>
  <c r="L77" i="24"/>
  <c r="J34" i="23"/>
  <c r="J35" i="23" s="1"/>
  <c r="J37" i="23" s="1"/>
  <c r="L18" i="23"/>
  <c r="L19" i="23" s="1"/>
  <c r="K19" i="21"/>
  <c r="K40" i="21" s="1"/>
  <c r="L15" i="21"/>
  <c r="L33" i="21"/>
  <c r="K37" i="21"/>
  <c r="L36" i="20"/>
  <c r="K18" i="20"/>
  <c r="K15" i="20"/>
  <c r="J19" i="20"/>
  <c r="L33" i="20"/>
  <c r="K37" i="20"/>
  <c r="K19" i="19"/>
  <c r="K37" i="19" s="1"/>
  <c r="L15" i="19"/>
  <c r="L31" i="19"/>
  <c r="K35" i="19"/>
  <c r="J15" i="17"/>
  <c r="I19" i="17"/>
  <c r="I35" i="17"/>
  <c r="T85" i="16"/>
  <c r="T86" i="16" s="1"/>
  <c r="U84" i="16"/>
  <c r="L15" i="16"/>
  <c r="H7" i="16"/>
  <c r="H8" i="16" s="1"/>
  <c r="H19" i="16" s="1"/>
  <c r="H37" i="16" s="1"/>
  <c r="I9" i="13"/>
  <c r="I14" i="13" s="1"/>
  <c r="I15" i="13" s="1"/>
  <c r="I19" i="13" s="1"/>
  <c r="I20" i="13" s="1"/>
  <c r="I7" i="13"/>
  <c r="I8" i="13" s="1"/>
  <c r="J16" i="13"/>
  <c r="J6" i="13" s="1"/>
  <c r="K12" i="13"/>
  <c r="I23" i="13"/>
  <c r="H26" i="13"/>
  <c r="H27" i="13" s="1"/>
  <c r="H28" i="13" s="1"/>
  <c r="H33" i="13" s="1"/>
  <c r="H34" i="13" s="1"/>
  <c r="H24" i="13"/>
  <c r="H25" i="13" s="1"/>
  <c r="H9" i="11"/>
  <c r="H14" i="11" s="1"/>
  <c r="H15" i="11" s="1"/>
  <c r="H19" i="11" s="1"/>
  <c r="H20" i="11" s="1"/>
  <c r="H7" i="11"/>
  <c r="H8" i="11" s="1"/>
  <c r="I16" i="11"/>
  <c r="I6" i="11" s="1"/>
  <c r="H26" i="11"/>
  <c r="H27" i="11" s="1"/>
  <c r="H28" i="11" s="1"/>
  <c r="H33" i="11" s="1"/>
  <c r="H34" i="11" s="1"/>
  <c r="H24" i="11"/>
  <c r="I23" i="11"/>
  <c r="H25" i="11"/>
  <c r="I16" i="10"/>
  <c r="I6" i="10" s="1"/>
  <c r="H9" i="10"/>
  <c r="H14" i="10" s="1"/>
  <c r="H15" i="10" s="1"/>
  <c r="H19" i="10" s="1"/>
  <c r="H20" i="10" s="1"/>
  <c r="H7" i="10"/>
  <c r="H8" i="10" s="1"/>
  <c r="I26" i="10"/>
  <c r="I27" i="10" s="1"/>
  <c r="I28" i="10" s="1"/>
  <c r="I33" i="10" s="1"/>
  <c r="I34" i="10" s="1"/>
  <c r="I24" i="10"/>
  <c r="I25" i="10" s="1"/>
  <c r="J23" i="10"/>
  <c r="I23" i="8"/>
  <c r="H24" i="8"/>
  <c r="H25" i="8" s="1"/>
  <c r="H26" i="8"/>
  <c r="H27" i="8"/>
  <c r="H28" i="8" s="1"/>
  <c r="H33" i="8" s="1"/>
  <c r="H34" i="8" s="1"/>
  <c r="K12" i="8"/>
  <c r="J16" i="8"/>
  <c r="J6" i="8" s="1"/>
  <c r="H9" i="8"/>
  <c r="H14" i="8" s="1"/>
  <c r="H15" i="8" s="1"/>
  <c r="H19" i="8" s="1"/>
  <c r="H20" i="8" s="1"/>
  <c r="H7" i="8"/>
  <c r="H8" i="8" s="1"/>
  <c r="G15" i="2"/>
  <c r="K6" i="8" l="1"/>
  <c r="H38" i="8"/>
  <c r="M12" i="52"/>
  <c r="L16" i="52"/>
  <c r="L6" i="52" s="1"/>
  <c r="J40" i="35"/>
  <c r="M15" i="2"/>
  <c r="H15" i="2"/>
  <c r="H37" i="11"/>
  <c r="K19" i="68"/>
  <c r="L15" i="68"/>
  <c r="J37" i="68"/>
  <c r="K35" i="68"/>
  <c r="L31" i="68"/>
  <c r="M31" i="70"/>
  <c r="L35" i="70"/>
  <c r="L38" i="70" s="1"/>
  <c r="X74" i="70"/>
  <c r="W75" i="70"/>
  <c r="W76" i="70" s="1"/>
  <c r="L60" i="70"/>
  <c r="K61" i="70"/>
  <c r="E72" i="69"/>
  <c r="M31" i="69"/>
  <c r="L35" i="69"/>
  <c r="L37" i="69" s="1"/>
  <c r="K70" i="69"/>
  <c r="J71" i="69"/>
  <c r="W84" i="69"/>
  <c r="V85" i="69"/>
  <c r="V86" i="69" s="1"/>
  <c r="K37" i="67"/>
  <c r="L33" i="67"/>
  <c r="L19" i="67"/>
  <c r="M15" i="67"/>
  <c r="K39" i="67"/>
  <c r="L19" i="66"/>
  <c r="L37" i="66" s="1"/>
  <c r="M15" i="66"/>
  <c r="N31" i="66"/>
  <c r="M35" i="66"/>
  <c r="M33" i="65"/>
  <c r="L37" i="65"/>
  <c r="L39" i="65" s="1"/>
  <c r="K72" i="65"/>
  <c r="J73" i="65"/>
  <c r="W87" i="65"/>
  <c r="W88" i="65" s="1"/>
  <c r="X86" i="65"/>
  <c r="K35" i="64"/>
  <c r="K37" i="64" s="1"/>
  <c r="L31" i="64"/>
  <c r="L19" i="64"/>
  <c r="M15" i="64"/>
  <c r="L19" i="63"/>
  <c r="L37" i="63" s="1"/>
  <c r="M15" i="63"/>
  <c r="N31" i="63"/>
  <c r="M35" i="63"/>
  <c r="N15" i="62"/>
  <c r="M19" i="62"/>
  <c r="K37" i="62"/>
  <c r="K39" i="62" s="1"/>
  <c r="L33" i="62"/>
  <c r="N31" i="61"/>
  <c r="M35" i="61"/>
  <c r="K19" i="61"/>
  <c r="K37" i="61" s="1"/>
  <c r="L15" i="61"/>
  <c r="N33" i="60"/>
  <c r="M37" i="60"/>
  <c r="L39" i="60"/>
  <c r="M19" i="60"/>
  <c r="M39" i="60" s="1"/>
  <c r="N15" i="60"/>
  <c r="L9" i="59"/>
  <c r="L14" i="59" s="1"/>
  <c r="L15" i="59" s="1"/>
  <c r="L19" i="59" s="1"/>
  <c r="L20" i="59" s="1"/>
  <c r="L7" i="59"/>
  <c r="L8" i="59" s="1"/>
  <c r="M16" i="59"/>
  <c r="M6" i="59" s="1"/>
  <c r="N12" i="59"/>
  <c r="K26" i="59"/>
  <c r="K27" i="59" s="1"/>
  <c r="K28" i="59" s="1"/>
  <c r="K33" i="59" s="1"/>
  <c r="K34" i="59" s="1"/>
  <c r="K24" i="59"/>
  <c r="K25" i="59" s="1"/>
  <c r="L23" i="59"/>
  <c r="L19" i="58"/>
  <c r="M15" i="58"/>
  <c r="K35" i="58"/>
  <c r="K37" i="58" s="1"/>
  <c r="L31" i="58"/>
  <c r="K37" i="57"/>
  <c r="K39" i="57" s="1"/>
  <c r="L33" i="57"/>
  <c r="L19" i="57"/>
  <c r="M15" i="57"/>
  <c r="N12" i="56"/>
  <c r="M16" i="56"/>
  <c r="M6" i="56" s="1"/>
  <c r="L9" i="56"/>
  <c r="L14" i="56" s="1"/>
  <c r="L15" i="56" s="1"/>
  <c r="L19" i="56" s="1"/>
  <c r="L20" i="56" s="1"/>
  <c r="L7" i="56"/>
  <c r="L8" i="56" s="1"/>
  <c r="K26" i="56"/>
  <c r="K27" i="56" s="1"/>
  <c r="K28" i="56" s="1"/>
  <c r="K33" i="56" s="1"/>
  <c r="K34" i="56" s="1"/>
  <c r="K24" i="56"/>
  <c r="K25" i="56" s="1"/>
  <c r="L23" i="56"/>
  <c r="I38" i="17"/>
  <c r="L23" i="55"/>
  <c r="K26" i="55"/>
  <c r="K27" i="55" s="1"/>
  <c r="K28" i="55" s="1"/>
  <c r="K33" i="55" s="1"/>
  <c r="K34" i="55" s="1"/>
  <c r="K24" i="55"/>
  <c r="K25" i="55"/>
  <c r="J37" i="55"/>
  <c r="N12" i="55"/>
  <c r="M16" i="55"/>
  <c r="K9" i="55"/>
  <c r="K14" i="55" s="1"/>
  <c r="K15" i="55" s="1"/>
  <c r="K19" i="55" s="1"/>
  <c r="K20" i="55" s="1"/>
  <c r="K7" i="55"/>
  <c r="K8" i="55" s="1"/>
  <c r="L6" i="55"/>
  <c r="I70" i="16"/>
  <c r="H71" i="16"/>
  <c r="I19" i="53"/>
  <c r="I37" i="53" s="1"/>
  <c r="K63" i="53"/>
  <c r="L62" i="53"/>
  <c r="K22" i="53"/>
  <c r="K34" i="53" s="1"/>
  <c r="K35" i="53" s="1"/>
  <c r="K6" i="53"/>
  <c r="J7" i="53"/>
  <c r="J8" i="53" s="1"/>
  <c r="J18" i="53"/>
  <c r="V77" i="53"/>
  <c r="V78" i="53" s="1"/>
  <c r="O79" i="53" s="1"/>
  <c r="W76" i="53"/>
  <c r="L31" i="53"/>
  <c r="K9" i="52"/>
  <c r="K14" i="52" s="1"/>
  <c r="K15" i="52" s="1"/>
  <c r="K19" i="52" s="1"/>
  <c r="K20" i="52" s="1"/>
  <c r="K7" i="52"/>
  <c r="K8" i="52"/>
  <c r="K26" i="52"/>
  <c r="K27" i="52" s="1"/>
  <c r="K28" i="52" s="1"/>
  <c r="K33" i="52" s="1"/>
  <c r="K34" i="52" s="1"/>
  <c r="K24" i="52"/>
  <c r="K25" i="52" s="1"/>
  <c r="L23" i="52"/>
  <c r="K9" i="50"/>
  <c r="K14" i="50" s="1"/>
  <c r="K15" i="50" s="1"/>
  <c r="K19" i="50" s="1"/>
  <c r="K20" i="50" s="1"/>
  <c r="K7" i="50"/>
  <c r="K8" i="50" s="1"/>
  <c r="J26" i="50"/>
  <c r="J27" i="50" s="1"/>
  <c r="J28" i="50" s="1"/>
  <c r="J33" i="50" s="1"/>
  <c r="J34" i="50" s="1"/>
  <c r="J24" i="50"/>
  <c r="J25" i="50" s="1"/>
  <c r="J36" i="50" s="1"/>
  <c r="K23" i="50"/>
  <c r="M12" i="50"/>
  <c r="L16" i="50"/>
  <c r="L6" i="50" s="1"/>
  <c r="L26" i="49"/>
  <c r="L27" i="49" s="1"/>
  <c r="L28" i="49" s="1"/>
  <c r="L33" i="49" s="1"/>
  <c r="L34" i="49" s="1"/>
  <c r="L24" i="49"/>
  <c r="L25" i="49" s="1"/>
  <c r="M23" i="49"/>
  <c r="K6" i="49"/>
  <c r="J9" i="49"/>
  <c r="J14" i="49" s="1"/>
  <c r="J15" i="49" s="1"/>
  <c r="J19" i="49" s="1"/>
  <c r="J20" i="49" s="1"/>
  <c r="J7" i="49"/>
  <c r="J8" i="49" s="1"/>
  <c r="J35" i="49" s="1"/>
  <c r="M12" i="49"/>
  <c r="L16" i="49"/>
  <c r="K9" i="47"/>
  <c r="K14" i="47" s="1"/>
  <c r="K15" i="47" s="1"/>
  <c r="K19" i="47" s="1"/>
  <c r="K20" i="47" s="1"/>
  <c r="K7" i="47"/>
  <c r="K8" i="47" s="1"/>
  <c r="K37" i="47" s="1"/>
  <c r="L16" i="47"/>
  <c r="L6" i="47" s="1"/>
  <c r="M12" i="47"/>
  <c r="M23" i="47"/>
  <c r="L26" i="47"/>
  <c r="L27" i="47" s="1"/>
  <c r="L28" i="47" s="1"/>
  <c r="L33" i="47" s="1"/>
  <c r="L34" i="47" s="1"/>
  <c r="L24" i="47"/>
  <c r="L25" i="47" s="1"/>
  <c r="L33" i="35"/>
  <c r="K37" i="35"/>
  <c r="L15" i="35"/>
  <c r="K19" i="35"/>
  <c r="J40" i="34"/>
  <c r="I41" i="34"/>
  <c r="L35" i="34"/>
  <c r="M31" i="34"/>
  <c r="U55" i="34"/>
  <c r="U56" i="34" s="1"/>
  <c r="N57" i="34" s="1"/>
  <c r="V54" i="34"/>
  <c r="L19" i="33"/>
  <c r="M15" i="33"/>
  <c r="K31" i="33"/>
  <c r="J35" i="33"/>
  <c r="J37" i="33" s="1"/>
  <c r="L31" i="31"/>
  <c r="K35" i="31"/>
  <c r="K37" i="31" s="1"/>
  <c r="M15" i="31"/>
  <c r="L19" i="31"/>
  <c r="K19" i="30"/>
  <c r="K37" i="30" s="1"/>
  <c r="L15" i="30"/>
  <c r="L35" i="30"/>
  <c r="M31" i="30"/>
  <c r="M15" i="29"/>
  <c r="L19" i="29"/>
  <c r="L33" i="29"/>
  <c r="K37" i="29"/>
  <c r="K39" i="29" s="1"/>
  <c r="L35" i="28"/>
  <c r="L37" i="28" s="1"/>
  <c r="M31" i="28"/>
  <c r="L18" i="27"/>
  <c r="L19" i="27"/>
  <c r="L37" i="27" s="1"/>
  <c r="M34" i="27"/>
  <c r="M35" i="27" s="1"/>
  <c r="L31" i="26"/>
  <c r="K35" i="26"/>
  <c r="L15" i="26"/>
  <c r="K19" i="26"/>
  <c r="K38" i="26" s="1"/>
  <c r="J35" i="25"/>
  <c r="J37" i="25" s="1"/>
  <c r="K31" i="25"/>
  <c r="K61" i="25"/>
  <c r="J62" i="25"/>
  <c r="U76" i="25"/>
  <c r="U77" i="25" s="1"/>
  <c r="N78" i="25" s="1"/>
  <c r="V75" i="25"/>
  <c r="U75" i="24"/>
  <c r="U76" i="24" s="1"/>
  <c r="N77" i="24" s="1"/>
  <c r="V74" i="24"/>
  <c r="K35" i="24"/>
  <c r="K38" i="24" s="1"/>
  <c r="L31" i="24"/>
  <c r="K60" i="24"/>
  <c r="J61" i="24"/>
  <c r="M18" i="23"/>
  <c r="M19" i="23" s="1"/>
  <c r="K34" i="23"/>
  <c r="K35" i="23" s="1"/>
  <c r="K37" i="23" s="1"/>
  <c r="M15" i="21"/>
  <c r="L19" i="21"/>
  <c r="L40" i="21" s="1"/>
  <c r="L37" i="21"/>
  <c r="M33" i="21"/>
  <c r="M36" i="20"/>
  <c r="L18" i="20"/>
  <c r="M33" i="20"/>
  <c r="L37" i="20"/>
  <c r="K19" i="20"/>
  <c r="K39" i="20" s="1"/>
  <c r="L15" i="20"/>
  <c r="L35" i="19"/>
  <c r="M31" i="19"/>
  <c r="M15" i="19"/>
  <c r="L19" i="19"/>
  <c r="L37" i="19" s="1"/>
  <c r="K15" i="17"/>
  <c r="J19" i="17"/>
  <c r="J35" i="17"/>
  <c r="V84" i="16"/>
  <c r="U85" i="16"/>
  <c r="U86" i="16" s="1"/>
  <c r="N87" i="16" s="1"/>
  <c r="M87" i="16"/>
  <c r="M15" i="16"/>
  <c r="I7" i="16"/>
  <c r="I8" i="16" s="1"/>
  <c r="I19" i="16" s="1"/>
  <c r="I37" i="16" s="1"/>
  <c r="J9" i="13"/>
  <c r="J14" i="13" s="1"/>
  <c r="J15" i="13" s="1"/>
  <c r="J19" i="13" s="1"/>
  <c r="J20" i="13" s="1"/>
  <c r="J7" i="13"/>
  <c r="J8" i="13" s="1"/>
  <c r="I26" i="13"/>
  <c r="I27" i="13" s="1"/>
  <c r="I28" i="13" s="1"/>
  <c r="I33" i="13" s="1"/>
  <c r="I34" i="13" s="1"/>
  <c r="I24" i="13"/>
  <c r="I25" i="13" s="1"/>
  <c r="J23" i="13"/>
  <c r="L12" i="13"/>
  <c r="K16" i="13"/>
  <c r="K6" i="13" s="1"/>
  <c r="I9" i="11"/>
  <c r="I14" i="11" s="1"/>
  <c r="I15" i="11" s="1"/>
  <c r="I19" i="11" s="1"/>
  <c r="I20" i="11" s="1"/>
  <c r="I7" i="11"/>
  <c r="I8" i="11" s="1"/>
  <c r="J16" i="11"/>
  <c r="J6" i="11" s="1"/>
  <c r="I26" i="11"/>
  <c r="I27" i="11" s="1"/>
  <c r="I28" i="11" s="1"/>
  <c r="I33" i="11" s="1"/>
  <c r="I34" i="11" s="1"/>
  <c r="I24" i="11"/>
  <c r="I25" i="11" s="1"/>
  <c r="J23" i="11"/>
  <c r="I7" i="10"/>
  <c r="I8" i="10" s="1"/>
  <c r="I9" i="10"/>
  <c r="I14" i="10" s="1"/>
  <c r="I15" i="10" s="1"/>
  <c r="I19" i="10" s="1"/>
  <c r="I20" i="10" s="1"/>
  <c r="J16" i="10"/>
  <c r="J6" i="10" s="1"/>
  <c r="J24" i="10"/>
  <c r="J25" i="10" s="1"/>
  <c r="J26" i="10"/>
  <c r="J27" i="10" s="1"/>
  <c r="J28" i="10" s="1"/>
  <c r="J33" i="10" s="1"/>
  <c r="J34" i="10" s="1"/>
  <c r="K23" i="10"/>
  <c r="L12" i="8"/>
  <c r="K16" i="8"/>
  <c r="J23" i="8"/>
  <c r="I24" i="8"/>
  <c r="I25" i="8" s="1"/>
  <c r="I26" i="8"/>
  <c r="I27" i="8" s="1"/>
  <c r="I28" i="8" s="1"/>
  <c r="I33" i="8" s="1"/>
  <c r="I34" i="8" s="1"/>
  <c r="I9" i="8"/>
  <c r="I14" i="8" s="1"/>
  <c r="I15" i="8" s="1"/>
  <c r="I19" i="8" s="1"/>
  <c r="I20" i="8" s="1"/>
  <c r="I7" i="8"/>
  <c r="I8" i="8" s="1"/>
  <c r="F31" i="2"/>
  <c r="F46" i="2"/>
  <c r="M44" i="2" s="1"/>
  <c r="L19" i="68" l="1"/>
  <c r="L37" i="68" s="1"/>
  <c r="M15" i="68"/>
  <c r="I37" i="11"/>
  <c r="K37" i="68"/>
  <c r="I38" i="8"/>
  <c r="N12" i="52"/>
  <c r="M16" i="52"/>
  <c r="M6" i="52" s="1"/>
  <c r="L39" i="20"/>
  <c r="K40" i="35"/>
  <c r="L35" i="68"/>
  <c r="M31" i="68"/>
  <c r="D62" i="70"/>
  <c r="L61" i="70"/>
  <c r="M60" i="70"/>
  <c r="Y74" i="70"/>
  <c r="X75" i="70"/>
  <c r="X76" i="70" s="1"/>
  <c r="N31" i="70"/>
  <c r="M35" i="70"/>
  <c r="M38" i="70" s="1"/>
  <c r="F72" i="69"/>
  <c r="L70" i="69"/>
  <c r="K71" i="69"/>
  <c r="W85" i="69"/>
  <c r="W86" i="69" s="1"/>
  <c r="X84" i="69"/>
  <c r="M35" i="69"/>
  <c r="M37" i="69" s="1"/>
  <c r="N31" i="69"/>
  <c r="N15" i="67"/>
  <c r="M19" i="67"/>
  <c r="L37" i="67"/>
  <c r="L39" i="67" s="1"/>
  <c r="M33" i="67"/>
  <c r="O31" i="66"/>
  <c r="O35" i="66" s="1"/>
  <c r="N35" i="66"/>
  <c r="N15" i="66"/>
  <c r="M19" i="66"/>
  <c r="M37" i="66" s="1"/>
  <c r="L72" i="65"/>
  <c r="K73" i="65"/>
  <c r="M37" i="65"/>
  <c r="M39" i="65" s="1"/>
  <c r="N33" i="65"/>
  <c r="Y86" i="65"/>
  <c r="X87" i="65"/>
  <c r="X88" i="65" s="1"/>
  <c r="J38" i="17"/>
  <c r="M19" i="64"/>
  <c r="N15" i="64"/>
  <c r="L35" i="64"/>
  <c r="L37" i="64" s="1"/>
  <c r="M31" i="64"/>
  <c r="O31" i="63"/>
  <c r="O35" i="63" s="1"/>
  <c r="N35" i="63"/>
  <c r="N15" i="63"/>
  <c r="M19" i="63"/>
  <c r="M37" i="63" s="1"/>
  <c r="L37" i="62"/>
  <c r="L39" i="62" s="1"/>
  <c r="M33" i="62"/>
  <c r="N19" i="62"/>
  <c r="O15" i="62"/>
  <c r="O19" i="62" s="1"/>
  <c r="O31" i="61"/>
  <c r="O35" i="61" s="1"/>
  <c r="N35" i="61"/>
  <c r="M15" i="61"/>
  <c r="L19" i="61"/>
  <c r="L37" i="61" s="1"/>
  <c r="N19" i="60"/>
  <c r="O15" i="60"/>
  <c r="O19" i="60" s="1"/>
  <c r="O33" i="60"/>
  <c r="O37" i="60" s="1"/>
  <c r="N37" i="60"/>
  <c r="M9" i="59"/>
  <c r="M14" i="59" s="1"/>
  <c r="M15" i="59" s="1"/>
  <c r="M19" i="59" s="1"/>
  <c r="M20" i="59" s="1"/>
  <c r="M7" i="59"/>
  <c r="M8" i="59" s="1"/>
  <c r="N16" i="59"/>
  <c r="N6" i="59" s="1"/>
  <c r="O12" i="59"/>
  <c r="O16" i="59" s="1"/>
  <c r="L26" i="59"/>
  <c r="L27" i="59" s="1"/>
  <c r="L28" i="59" s="1"/>
  <c r="L33" i="59" s="1"/>
  <c r="L34" i="59" s="1"/>
  <c r="L24" i="59"/>
  <c r="M23" i="59"/>
  <c r="L25" i="59"/>
  <c r="L35" i="58"/>
  <c r="L37" i="58" s="1"/>
  <c r="M31" i="58"/>
  <c r="N15" i="58"/>
  <c r="M19" i="58"/>
  <c r="N15" i="57"/>
  <c r="M19" i="57"/>
  <c r="L37" i="57"/>
  <c r="L39" i="57" s="1"/>
  <c r="M33" i="57"/>
  <c r="M9" i="56"/>
  <c r="M7" i="56"/>
  <c r="M8" i="56" s="1"/>
  <c r="M14" i="56"/>
  <c r="M15" i="56" s="1"/>
  <c r="M19" i="56" s="1"/>
  <c r="M20" i="56" s="1"/>
  <c r="L26" i="56"/>
  <c r="L27" i="56" s="1"/>
  <c r="L28" i="56" s="1"/>
  <c r="L33" i="56" s="1"/>
  <c r="L34" i="56" s="1"/>
  <c r="L24" i="56"/>
  <c r="L25" i="56" s="1"/>
  <c r="M23" i="56"/>
  <c r="N16" i="56"/>
  <c r="N6" i="56" s="1"/>
  <c r="O12" i="56"/>
  <c r="O16" i="56" s="1"/>
  <c r="N16" i="55"/>
  <c r="O12" i="55"/>
  <c r="O16" i="55" s="1"/>
  <c r="L9" i="55"/>
  <c r="L14" i="55" s="1"/>
  <c r="L15" i="55" s="1"/>
  <c r="L19" i="55" s="1"/>
  <c r="L20" i="55" s="1"/>
  <c r="L7" i="55"/>
  <c r="L8" i="55" s="1"/>
  <c r="L37" i="55" s="1"/>
  <c r="M6" i="55"/>
  <c r="K37" i="55"/>
  <c r="L26" i="55"/>
  <c r="L27" i="55" s="1"/>
  <c r="L28" i="55" s="1"/>
  <c r="L33" i="55" s="1"/>
  <c r="L34" i="55" s="1"/>
  <c r="L24" i="55"/>
  <c r="L25" i="55"/>
  <c r="M23" i="55"/>
  <c r="J70" i="16"/>
  <c r="I71" i="16"/>
  <c r="J19" i="53"/>
  <c r="J37" i="53" s="1"/>
  <c r="M62" i="53"/>
  <c r="L63" i="53"/>
  <c r="E64" i="53" s="1"/>
  <c r="D64" i="53"/>
  <c r="L22" i="53"/>
  <c r="L34" i="53" s="1"/>
  <c r="L35" i="53" s="1"/>
  <c r="K18" i="53"/>
  <c r="K7" i="53"/>
  <c r="K8" i="53" s="1"/>
  <c r="L6" i="53"/>
  <c r="M31" i="53"/>
  <c r="W77" i="53"/>
  <c r="W78" i="53" s="1"/>
  <c r="X76" i="53"/>
  <c r="L9" i="52"/>
  <c r="L14" i="52" s="1"/>
  <c r="L15" i="52" s="1"/>
  <c r="L19" i="52" s="1"/>
  <c r="L20" i="52" s="1"/>
  <c r="L7" i="52"/>
  <c r="L8" i="52" s="1"/>
  <c r="L26" i="52"/>
  <c r="L27" i="52" s="1"/>
  <c r="L28" i="52" s="1"/>
  <c r="L33" i="52" s="1"/>
  <c r="L34" i="52" s="1"/>
  <c r="L24" i="52"/>
  <c r="L25" i="52" s="1"/>
  <c r="M23" i="52"/>
  <c r="N12" i="50"/>
  <c r="M16" i="50"/>
  <c r="K26" i="50"/>
  <c r="K27" i="50" s="1"/>
  <c r="K28" i="50" s="1"/>
  <c r="K33" i="50" s="1"/>
  <c r="K34" i="50" s="1"/>
  <c r="K24" i="50"/>
  <c r="K25" i="50" s="1"/>
  <c r="K36" i="50" s="1"/>
  <c r="L23" i="50"/>
  <c r="L7" i="50"/>
  <c r="L8" i="50" s="1"/>
  <c r="M6" i="50"/>
  <c r="L9" i="50"/>
  <c r="L14" i="50" s="1"/>
  <c r="L15" i="50" s="1"/>
  <c r="L19" i="50" s="1"/>
  <c r="L20" i="50" s="1"/>
  <c r="L6" i="49"/>
  <c r="K9" i="49"/>
  <c r="K14" i="49" s="1"/>
  <c r="K15" i="49" s="1"/>
  <c r="K19" i="49" s="1"/>
  <c r="K20" i="49" s="1"/>
  <c r="K7" i="49"/>
  <c r="K8" i="49" s="1"/>
  <c r="K35" i="49" s="1"/>
  <c r="M26" i="49"/>
  <c r="M27" i="49" s="1"/>
  <c r="M28" i="49" s="1"/>
  <c r="M33" i="49" s="1"/>
  <c r="M34" i="49" s="1"/>
  <c r="M24" i="49"/>
  <c r="M25" i="49" s="1"/>
  <c r="N23" i="49"/>
  <c r="N12" i="49"/>
  <c r="M16" i="49"/>
  <c r="L9" i="47"/>
  <c r="L14" i="47" s="1"/>
  <c r="L15" i="47" s="1"/>
  <c r="L19" i="47" s="1"/>
  <c r="L20" i="47" s="1"/>
  <c r="L7" i="47"/>
  <c r="L8" i="47" s="1"/>
  <c r="L37" i="47" s="1"/>
  <c r="M16" i="47"/>
  <c r="M6" i="47" s="1"/>
  <c r="N12" i="47"/>
  <c r="N23" i="47"/>
  <c r="M26" i="47"/>
  <c r="M27" i="47" s="1"/>
  <c r="M28" i="47" s="1"/>
  <c r="M33" i="47" s="1"/>
  <c r="M34" i="47" s="1"/>
  <c r="M24" i="47"/>
  <c r="M25" i="47" s="1"/>
  <c r="M15" i="35"/>
  <c r="L19" i="35"/>
  <c r="L40" i="35" s="1"/>
  <c r="L37" i="35"/>
  <c r="M33" i="35"/>
  <c r="W54" i="34"/>
  <c r="V55" i="34"/>
  <c r="V56" i="34" s="1"/>
  <c r="O57" i="34" s="1"/>
  <c r="M35" i="34"/>
  <c r="N31" i="34"/>
  <c r="K40" i="34"/>
  <c r="J41" i="34"/>
  <c r="K35" i="33"/>
  <c r="K37" i="33" s="1"/>
  <c r="L31" i="33"/>
  <c r="N15" i="33"/>
  <c r="M19" i="33"/>
  <c r="M31" i="31"/>
  <c r="L35" i="31"/>
  <c r="L37" i="31" s="1"/>
  <c r="N15" i="31"/>
  <c r="M19" i="31"/>
  <c r="M15" i="30"/>
  <c r="L19" i="30"/>
  <c r="L37" i="30" s="1"/>
  <c r="M35" i="30"/>
  <c r="N31" i="30"/>
  <c r="M33" i="29"/>
  <c r="L37" i="29"/>
  <c r="L39" i="29" s="1"/>
  <c r="N15" i="29"/>
  <c r="M19" i="29"/>
  <c r="M35" i="28"/>
  <c r="M37" i="28" s="1"/>
  <c r="N31" i="28"/>
  <c r="N34" i="27"/>
  <c r="N35" i="27" s="1"/>
  <c r="M18" i="27"/>
  <c r="M19" i="27"/>
  <c r="M37" i="27" s="1"/>
  <c r="M15" i="26"/>
  <c r="L19" i="26"/>
  <c r="L35" i="26"/>
  <c r="M31" i="26"/>
  <c r="V76" i="25"/>
  <c r="V77" i="25" s="1"/>
  <c r="O78" i="25" s="1"/>
  <c r="W75" i="25"/>
  <c r="L61" i="25"/>
  <c r="K62" i="25"/>
  <c r="K35" i="25"/>
  <c r="K37" i="25" s="1"/>
  <c r="L31" i="25"/>
  <c r="L35" i="24"/>
  <c r="L38" i="24" s="1"/>
  <c r="M31" i="24"/>
  <c r="W74" i="24"/>
  <c r="V75" i="24"/>
  <c r="V76" i="24" s="1"/>
  <c r="O77" i="24" s="1"/>
  <c r="L60" i="24"/>
  <c r="K61" i="24"/>
  <c r="L34" i="23"/>
  <c r="L35" i="23" s="1"/>
  <c r="L37" i="23" s="1"/>
  <c r="N18" i="23"/>
  <c r="N19" i="23" s="1"/>
  <c r="M37" i="21"/>
  <c r="N33" i="21"/>
  <c r="N15" i="21"/>
  <c r="M19" i="21"/>
  <c r="M40" i="21" s="1"/>
  <c r="N36" i="20"/>
  <c r="M18" i="20"/>
  <c r="M15" i="20"/>
  <c r="L19" i="20"/>
  <c r="N33" i="20"/>
  <c r="M37" i="20"/>
  <c r="M19" i="19"/>
  <c r="N15" i="19"/>
  <c r="M35" i="19"/>
  <c r="N31" i="19"/>
  <c r="L15" i="17"/>
  <c r="K19" i="17"/>
  <c r="K35" i="17"/>
  <c r="V85" i="16"/>
  <c r="V86" i="16" s="1"/>
  <c r="O87" i="16" s="1"/>
  <c r="W84" i="16"/>
  <c r="N15" i="16"/>
  <c r="J7" i="16"/>
  <c r="J8" i="16" s="1"/>
  <c r="J19" i="16" s="1"/>
  <c r="J37" i="16" s="1"/>
  <c r="K9" i="13"/>
  <c r="K14" i="13" s="1"/>
  <c r="K15" i="13" s="1"/>
  <c r="K19" i="13" s="1"/>
  <c r="K20" i="13" s="1"/>
  <c r="K7" i="13"/>
  <c r="K8" i="13" s="1"/>
  <c r="M12" i="13"/>
  <c r="L16" i="13"/>
  <c r="L6" i="13" s="1"/>
  <c r="J26" i="13"/>
  <c r="J27" i="13" s="1"/>
  <c r="J28" i="13" s="1"/>
  <c r="J33" i="13" s="1"/>
  <c r="J34" i="13" s="1"/>
  <c r="J24" i="13"/>
  <c r="J25" i="13" s="1"/>
  <c r="K23" i="13"/>
  <c r="J7" i="11"/>
  <c r="J8" i="11" s="1"/>
  <c r="J37" i="11" s="1"/>
  <c r="J9" i="11"/>
  <c r="J14" i="11" s="1"/>
  <c r="J15" i="11" s="1"/>
  <c r="J19" i="11" s="1"/>
  <c r="J20" i="11" s="1"/>
  <c r="J26" i="11"/>
  <c r="J27" i="11" s="1"/>
  <c r="J28" i="11" s="1"/>
  <c r="J33" i="11" s="1"/>
  <c r="J34" i="11" s="1"/>
  <c r="J24" i="11"/>
  <c r="J25" i="11" s="1"/>
  <c r="K23" i="11"/>
  <c r="K16" i="11"/>
  <c r="K6" i="11" s="1"/>
  <c r="J9" i="10"/>
  <c r="J14" i="10" s="1"/>
  <c r="J15" i="10" s="1"/>
  <c r="J19" i="10" s="1"/>
  <c r="J20" i="10" s="1"/>
  <c r="J7" i="10"/>
  <c r="J8" i="10" s="1"/>
  <c r="K16" i="10"/>
  <c r="K6" i="10" s="1"/>
  <c r="L23" i="10"/>
  <c r="K26" i="10"/>
  <c r="K27" i="10" s="1"/>
  <c r="K28" i="10" s="1"/>
  <c r="K33" i="10" s="1"/>
  <c r="K34" i="10" s="1"/>
  <c r="K24" i="10"/>
  <c r="K25" i="10" s="1"/>
  <c r="J26" i="8"/>
  <c r="J27" i="8" s="1"/>
  <c r="J28" i="8" s="1"/>
  <c r="J33" i="8" s="1"/>
  <c r="J34" i="8" s="1"/>
  <c r="J24" i="8"/>
  <c r="J25" i="8" s="1"/>
  <c r="K23" i="8"/>
  <c r="M12" i="8"/>
  <c r="L16" i="8"/>
  <c r="L6" i="8" s="1"/>
  <c r="J7" i="8"/>
  <c r="J8" i="8" s="1"/>
  <c r="J38" i="8" s="1"/>
  <c r="J9" i="8"/>
  <c r="J14" i="8" s="1"/>
  <c r="J15" i="8" s="1"/>
  <c r="J19" i="8" s="1"/>
  <c r="J20" i="8" s="1"/>
  <c r="G46" i="2"/>
  <c r="G31" i="2"/>
  <c r="H31" i="2" s="1"/>
  <c r="C107" i="2"/>
  <c r="L107" i="2" s="1"/>
  <c r="E107" i="2"/>
  <c r="N16" i="52" l="1"/>
  <c r="O12" i="52"/>
  <c r="O16" i="52" s="1"/>
  <c r="N31" i="68"/>
  <c r="M35" i="68"/>
  <c r="M37" i="19"/>
  <c r="N15" i="68"/>
  <c r="M19" i="68"/>
  <c r="M46" i="2"/>
  <c r="H46" i="2"/>
  <c r="L38" i="26"/>
  <c r="Z74" i="70"/>
  <c r="Z75" i="70" s="1"/>
  <c r="Z76" i="70" s="1"/>
  <c r="Y75" i="70"/>
  <c r="Y76" i="70" s="1"/>
  <c r="M61" i="70"/>
  <c r="N60" i="70"/>
  <c r="E62" i="70"/>
  <c r="N35" i="70"/>
  <c r="N38" i="70" s="1"/>
  <c r="O31" i="70"/>
  <c r="O35" i="70" s="1"/>
  <c r="O38" i="70" s="1"/>
  <c r="G72" i="69"/>
  <c r="X85" i="69"/>
  <c r="X86" i="69" s="1"/>
  <c r="Y84" i="69"/>
  <c r="L71" i="69"/>
  <c r="M70" i="69"/>
  <c r="O31" i="69"/>
  <c r="O35" i="69" s="1"/>
  <c r="O37" i="69" s="1"/>
  <c r="N35" i="69"/>
  <c r="N37" i="69" s="1"/>
  <c r="N33" i="67"/>
  <c r="M37" i="67"/>
  <c r="M39" i="67" s="1"/>
  <c r="O15" i="67"/>
  <c r="O19" i="67" s="1"/>
  <c r="N19" i="67"/>
  <c r="O15" i="66"/>
  <c r="O19" i="66" s="1"/>
  <c r="O37" i="66" s="1"/>
  <c r="N19" i="66"/>
  <c r="N37" i="66" s="1"/>
  <c r="N37" i="65"/>
  <c r="N39" i="65" s="1"/>
  <c r="O33" i="65"/>
  <c r="O37" i="65" s="1"/>
  <c r="O39" i="65" s="1"/>
  <c r="D74" i="65"/>
  <c r="L73" i="65"/>
  <c r="M72" i="65"/>
  <c r="Z86" i="65"/>
  <c r="Z87" i="65" s="1"/>
  <c r="Z88" i="65" s="1"/>
  <c r="Y87" i="65"/>
  <c r="Y88" i="65" s="1"/>
  <c r="K38" i="17"/>
  <c r="M35" i="64"/>
  <c r="N31" i="64"/>
  <c r="O15" i="64"/>
  <c r="O19" i="64" s="1"/>
  <c r="N19" i="64"/>
  <c r="M37" i="64"/>
  <c r="N19" i="63"/>
  <c r="N37" i="63" s="1"/>
  <c r="O15" i="63"/>
  <c r="O19" i="63" s="1"/>
  <c r="O37" i="63" s="1"/>
  <c r="N33" i="62"/>
  <c r="M37" i="62"/>
  <c r="M39" i="62" s="1"/>
  <c r="N15" i="61"/>
  <c r="M19" i="61"/>
  <c r="M37" i="61" s="1"/>
  <c r="N39" i="60"/>
  <c r="O39" i="60"/>
  <c r="N9" i="59"/>
  <c r="N14" i="59" s="1"/>
  <c r="N15" i="59" s="1"/>
  <c r="N19" i="59" s="1"/>
  <c r="N20" i="59" s="1"/>
  <c r="N7" i="59"/>
  <c r="N8" i="59" s="1"/>
  <c r="O6" i="59"/>
  <c r="M26" i="59"/>
  <c r="M27" i="59" s="1"/>
  <c r="M28" i="59" s="1"/>
  <c r="M33" i="59" s="1"/>
  <c r="M34" i="59" s="1"/>
  <c r="N23" i="59"/>
  <c r="M24" i="59"/>
  <c r="M25" i="59" s="1"/>
  <c r="O15" i="58"/>
  <c r="O19" i="58" s="1"/>
  <c r="N19" i="58"/>
  <c r="N31" i="58"/>
  <c r="M35" i="58"/>
  <c r="M37" i="58" s="1"/>
  <c r="M37" i="57"/>
  <c r="M39" i="57" s="1"/>
  <c r="N33" i="57"/>
  <c r="O15" i="57"/>
  <c r="O19" i="57" s="1"/>
  <c r="N19" i="57"/>
  <c r="N9" i="56"/>
  <c r="N7" i="56"/>
  <c r="N8" i="56" s="1"/>
  <c r="N14" i="56"/>
  <c r="N15" i="56" s="1"/>
  <c r="N19" i="56" s="1"/>
  <c r="N20" i="56" s="1"/>
  <c r="O6" i="56"/>
  <c r="M26" i="56"/>
  <c r="M27" i="56" s="1"/>
  <c r="M28" i="56" s="1"/>
  <c r="M33" i="56" s="1"/>
  <c r="M34" i="56" s="1"/>
  <c r="M24" i="56"/>
  <c r="M25" i="56" s="1"/>
  <c r="N23" i="56"/>
  <c r="N6" i="55"/>
  <c r="M9" i="55"/>
  <c r="M7" i="55"/>
  <c r="M8" i="55" s="1"/>
  <c r="M14" i="55"/>
  <c r="M15" i="55" s="1"/>
  <c r="M19" i="55" s="1"/>
  <c r="M20" i="55" s="1"/>
  <c r="M26" i="55"/>
  <c r="M27" i="55" s="1"/>
  <c r="M28" i="55" s="1"/>
  <c r="M33" i="55" s="1"/>
  <c r="M34" i="55" s="1"/>
  <c r="M24" i="55"/>
  <c r="M25" i="55" s="1"/>
  <c r="N23" i="55"/>
  <c r="K70" i="16"/>
  <c r="J71" i="16"/>
  <c r="M63" i="53"/>
  <c r="N62" i="53"/>
  <c r="M22" i="53"/>
  <c r="M34" i="53" s="1"/>
  <c r="M35" i="53" s="1"/>
  <c r="L18" i="53"/>
  <c r="L7" i="53"/>
  <c r="L8" i="53" s="1"/>
  <c r="M6" i="53"/>
  <c r="K19" i="53"/>
  <c r="K37" i="53" s="1"/>
  <c r="N31" i="53"/>
  <c r="X77" i="53"/>
  <c r="X78" i="53" s="1"/>
  <c r="Y76" i="53"/>
  <c r="N6" i="52"/>
  <c r="M9" i="52"/>
  <c r="M14" i="52" s="1"/>
  <c r="M15" i="52" s="1"/>
  <c r="M19" i="52" s="1"/>
  <c r="M20" i="52" s="1"/>
  <c r="M7" i="52"/>
  <c r="M8" i="52" s="1"/>
  <c r="M26" i="52"/>
  <c r="M27" i="52" s="1"/>
  <c r="M28" i="52" s="1"/>
  <c r="M33" i="52" s="1"/>
  <c r="M34" i="52" s="1"/>
  <c r="M24" i="52"/>
  <c r="M25" i="52" s="1"/>
  <c r="N23" i="52"/>
  <c r="M9" i="50"/>
  <c r="M14" i="50" s="1"/>
  <c r="M15" i="50" s="1"/>
  <c r="M19" i="50" s="1"/>
  <c r="M20" i="50" s="1"/>
  <c r="M7" i="50"/>
  <c r="M8" i="50" s="1"/>
  <c r="L26" i="50"/>
  <c r="L27" i="50" s="1"/>
  <c r="L28" i="50" s="1"/>
  <c r="L33" i="50" s="1"/>
  <c r="L34" i="50" s="1"/>
  <c r="L24" i="50"/>
  <c r="L25" i="50" s="1"/>
  <c r="L36" i="50" s="1"/>
  <c r="M23" i="50"/>
  <c r="N16" i="50"/>
  <c r="N6" i="50" s="1"/>
  <c r="O12" i="50"/>
  <c r="O16" i="50" s="1"/>
  <c r="N26" i="49"/>
  <c r="N27" i="49" s="1"/>
  <c r="N28" i="49" s="1"/>
  <c r="N33" i="49" s="1"/>
  <c r="N34" i="49" s="1"/>
  <c r="N24" i="49"/>
  <c r="N25" i="49" s="1"/>
  <c r="O23" i="49"/>
  <c r="O12" i="49"/>
  <c r="O16" i="49" s="1"/>
  <c r="N16" i="49"/>
  <c r="L9" i="49"/>
  <c r="L14" i="49" s="1"/>
  <c r="L15" i="49" s="1"/>
  <c r="L19" i="49" s="1"/>
  <c r="L20" i="49" s="1"/>
  <c r="L7" i="49"/>
  <c r="L8" i="49" s="1"/>
  <c r="L35" i="49" s="1"/>
  <c r="M6" i="49"/>
  <c r="M9" i="47"/>
  <c r="M14" i="47" s="1"/>
  <c r="M15" i="47" s="1"/>
  <c r="M19" i="47" s="1"/>
  <c r="M20" i="47" s="1"/>
  <c r="M7" i="47"/>
  <c r="M8" i="47" s="1"/>
  <c r="M37" i="47" s="1"/>
  <c r="N16" i="47"/>
  <c r="N6" i="47" s="1"/>
  <c r="O12" i="47"/>
  <c r="O16" i="47" s="1"/>
  <c r="N26" i="47"/>
  <c r="N27" i="47" s="1"/>
  <c r="N28" i="47" s="1"/>
  <c r="N33" i="47" s="1"/>
  <c r="N34" i="47" s="1"/>
  <c r="N24" i="47"/>
  <c r="N25" i="47" s="1"/>
  <c r="O23" i="47"/>
  <c r="L9" i="8"/>
  <c r="L14" i="8" s="1"/>
  <c r="L15" i="8" s="1"/>
  <c r="L19" i="8" s="1"/>
  <c r="L20" i="8" s="1"/>
  <c r="N15" i="35"/>
  <c r="M19" i="35"/>
  <c r="M40" i="35" s="1"/>
  <c r="M37" i="35"/>
  <c r="N33" i="35"/>
  <c r="N35" i="34"/>
  <c r="O31" i="34"/>
  <c r="O35" i="34" s="1"/>
  <c r="L40" i="34"/>
  <c r="K41" i="34"/>
  <c r="D42" i="34" s="1"/>
  <c r="X54" i="34"/>
  <c r="W55" i="34"/>
  <c r="W56" i="34" s="1"/>
  <c r="O15" i="33"/>
  <c r="O19" i="33" s="1"/>
  <c r="N19" i="33"/>
  <c r="L35" i="33"/>
  <c r="L37" i="33" s="1"/>
  <c r="M31" i="33"/>
  <c r="N19" i="31"/>
  <c r="O15" i="31"/>
  <c r="O19" i="31" s="1"/>
  <c r="M35" i="31"/>
  <c r="M37" i="31" s="1"/>
  <c r="N31" i="31"/>
  <c r="N15" i="30"/>
  <c r="M19" i="30"/>
  <c r="M37" i="30" s="1"/>
  <c r="N35" i="30"/>
  <c r="O31" i="30"/>
  <c r="O35" i="30" s="1"/>
  <c r="N19" i="29"/>
  <c r="O15" i="29"/>
  <c r="O19" i="29" s="1"/>
  <c r="M37" i="29"/>
  <c r="M39" i="29" s="1"/>
  <c r="N33" i="29"/>
  <c r="O31" i="28"/>
  <c r="O35" i="28" s="1"/>
  <c r="O37" i="28" s="1"/>
  <c r="N35" i="28"/>
  <c r="N37" i="28" s="1"/>
  <c r="N18" i="27"/>
  <c r="N19" i="27" s="1"/>
  <c r="N37" i="27" s="1"/>
  <c r="O34" i="27"/>
  <c r="O35" i="27" s="1"/>
  <c r="M35" i="26"/>
  <c r="N31" i="26"/>
  <c r="N15" i="26"/>
  <c r="M19" i="26"/>
  <c r="M38" i="26" s="1"/>
  <c r="D63" i="25"/>
  <c r="L62" i="25"/>
  <c r="M61" i="25"/>
  <c r="L35" i="25"/>
  <c r="L37" i="25" s="1"/>
  <c r="M31" i="25"/>
  <c r="X75" i="25"/>
  <c r="W76" i="25"/>
  <c r="W77" i="25" s="1"/>
  <c r="D62" i="24"/>
  <c r="X74" i="24"/>
  <c r="W75" i="24"/>
  <c r="W76" i="24" s="1"/>
  <c r="L61" i="24"/>
  <c r="M60" i="24"/>
  <c r="M35" i="24"/>
  <c r="M38" i="24" s="1"/>
  <c r="N31" i="24"/>
  <c r="M34" i="23"/>
  <c r="M35" i="23" s="1"/>
  <c r="M37" i="23" s="1"/>
  <c r="O18" i="23"/>
  <c r="O19" i="23" s="1"/>
  <c r="O15" i="21"/>
  <c r="O19" i="21" s="1"/>
  <c r="N19" i="21"/>
  <c r="N37" i="21"/>
  <c r="O33" i="21"/>
  <c r="O37" i="21" s="1"/>
  <c r="O36" i="20"/>
  <c r="N18" i="20"/>
  <c r="N37" i="20"/>
  <c r="O33" i="20"/>
  <c r="N15" i="20"/>
  <c r="M19" i="20"/>
  <c r="M39" i="20" s="1"/>
  <c r="N19" i="19"/>
  <c r="N37" i="19" s="1"/>
  <c r="O15" i="19"/>
  <c r="O19" i="19" s="1"/>
  <c r="N35" i="19"/>
  <c r="O31" i="19"/>
  <c r="O35" i="19" s="1"/>
  <c r="M15" i="17"/>
  <c r="L19" i="17"/>
  <c r="L35" i="17"/>
  <c r="W85" i="16"/>
  <c r="W86" i="16" s="1"/>
  <c r="X84" i="16"/>
  <c r="O15" i="16"/>
  <c r="K7" i="16"/>
  <c r="K8" i="16" s="1"/>
  <c r="K19" i="16" s="1"/>
  <c r="K37" i="16" s="1"/>
  <c r="L9" i="13"/>
  <c r="L14" i="13" s="1"/>
  <c r="L15" i="13" s="1"/>
  <c r="L19" i="13" s="1"/>
  <c r="L20" i="13" s="1"/>
  <c r="L7" i="13"/>
  <c r="L8" i="13" s="1"/>
  <c r="N12" i="13"/>
  <c r="M16" i="13"/>
  <c r="M6" i="13" s="1"/>
  <c r="K26" i="13"/>
  <c r="K27" i="13" s="1"/>
  <c r="K28" i="13" s="1"/>
  <c r="K33" i="13" s="1"/>
  <c r="K34" i="13" s="1"/>
  <c r="K24" i="13"/>
  <c r="K25" i="13" s="1"/>
  <c r="L23" i="13"/>
  <c r="K9" i="11"/>
  <c r="K14" i="11" s="1"/>
  <c r="K15" i="11" s="1"/>
  <c r="K19" i="11" s="1"/>
  <c r="K20" i="11" s="1"/>
  <c r="K7" i="11"/>
  <c r="K8" i="11" s="1"/>
  <c r="L23" i="11"/>
  <c r="K24" i="11"/>
  <c r="K25" i="11" s="1"/>
  <c r="K26" i="11"/>
  <c r="K27" i="11" s="1"/>
  <c r="K28" i="11" s="1"/>
  <c r="K33" i="11" s="1"/>
  <c r="K34" i="11" s="1"/>
  <c r="L16" i="11"/>
  <c r="L6" i="11" s="1"/>
  <c r="K9" i="10"/>
  <c r="K14" i="10" s="1"/>
  <c r="K15" i="10" s="1"/>
  <c r="K19" i="10" s="1"/>
  <c r="K20" i="10" s="1"/>
  <c r="K7" i="10"/>
  <c r="K8" i="10" s="1"/>
  <c r="L16" i="10"/>
  <c r="L6" i="10" s="1"/>
  <c r="M23" i="10"/>
  <c r="L26" i="10"/>
  <c r="L27" i="10" s="1"/>
  <c r="L28" i="10" s="1"/>
  <c r="L33" i="10" s="1"/>
  <c r="L34" i="10" s="1"/>
  <c r="L24" i="10"/>
  <c r="L25" i="10" s="1"/>
  <c r="L23" i="8"/>
  <c r="K24" i="8"/>
  <c r="K25" i="8" s="1"/>
  <c r="K26" i="8"/>
  <c r="K27" i="8" s="1"/>
  <c r="K28" i="8" s="1"/>
  <c r="K33" i="8" s="1"/>
  <c r="K34" i="8" s="1"/>
  <c r="M16" i="8"/>
  <c r="M6" i="8" s="1"/>
  <c r="N12" i="8"/>
  <c r="K7" i="8"/>
  <c r="K8" i="8" s="1"/>
  <c r="K38" i="8" s="1"/>
  <c r="K9" i="8"/>
  <c r="K14" i="8" s="1"/>
  <c r="K15" i="8" s="1"/>
  <c r="K19" i="8" s="1"/>
  <c r="K20" i="8" s="1"/>
  <c r="M28" i="2"/>
  <c r="M31" i="2"/>
  <c r="F106" i="2"/>
  <c r="E106" i="2"/>
  <c r="C106" i="2"/>
  <c r="L106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92" i="2"/>
  <c r="E92" i="2"/>
  <c r="E94" i="2"/>
  <c r="E95" i="2"/>
  <c r="E96" i="2"/>
  <c r="E97" i="2"/>
  <c r="E98" i="2"/>
  <c r="E99" i="2"/>
  <c r="E100" i="2"/>
  <c r="E101" i="2"/>
  <c r="E102" i="2"/>
  <c r="E103" i="2"/>
  <c r="E93" i="2"/>
  <c r="C92" i="2"/>
  <c r="L92" i="2" s="1"/>
  <c r="C94" i="2"/>
  <c r="L94" i="2" s="1"/>
  <c r="C95" i="2"/>
  <c r="L95" i="2" s="1"/>
  <c r="C96" i="2"/>
  <c r="L96" i="2" s="1"/>
  <c r="C97" i="2"/>
  <c r="L97" i="2" s="1"/>
  <c r="C98" i="2"/>
  <c r="L98" i="2" s="1"/>
  <c r="C99" i="2"/>
  <c r="L99" i="2" s="1"/>
  <c r="C100" i="2"/>
  <c r="L100" i="2" s="1"/>
  <c r="C101" i="2"/>
  <c r="L101" i="2" s="1"/>
  <c r="C102" i="2"/>
  <c r="L102" i="2" s="1"/>
  <c r="C103" i="2"/>
  <c r="C93" i="2"/>
  <c r="L93" i="2" s="1"/>
  <c r="E78" i="2"/>
  <c r="E80" i="2"/>
  <c r="E81" i="2"/>
  <c r="E82" i="2"/>
  <c r="E83" i="2"/>
  <c r="E84" i="2"/>
  <c r="E85" i="2"/>
  <c r="E86" i="2"/>
  <c r="E87" i="2"/>
  <c r="E88" i="2"/>
  <c r="E89" i="2"/>
  <c r="E79" i="2"/>
  <c r="C78" i="2"/>
  <c r="L78" i="2" s="1"/>
  <c r="C80" i="2"/>
  <c r="L80" i="2" s="1"/>
  <c r="C81" i="2"/>
  <c r="L81" i="2" s="1"/>
  <c r="C82" i="2"/>
  <c r="L82" i="2" s="1"/>
  <c r="C83" i="2"/>
  <c r="L83" i="2" s="1"/>
  <c r="C84" i="2"/>
  <c r="L84" i="2" s="1"/>
  <c r="C85" i="2"/>
  <c r="L85" i="2" s="1"/>
  <c r="C86" i="2"/>
  <c r="L86" i="2" s="1"/>
  <c r="C87" i="2"/>
  <c r="L87" i="2" s="1"/>
  <c r="C88" i="2"/>
  <c r="L88" i="2" s="1"/>
  <c r="C89" i="2"/>
  <c r="C79" i="2"/>
  <c r="L79" i="2" s="1"/>
  <c r="G78" i="2"/>
  <c r="G79" i="2"/>
  <c r="G80" i="2"/>
  <c r="G81" i="2"/>
  <c r="G82" i="2"/>
  <c r="G83" i="2"/>
  <c r="G84" i="2"/>
  <c r="G85" i="2"/>
  <c r="G86" i="2"/>
  <c r="G87" i="2"/>
  <c r="G88" i="2"/>
  <c r="G89" i="2"/>
  <c r="M89" i="2" s="1"/>
  <c r="E63" i="2"/>
  <c r="E65" i="2"/>
  <c r="E66" i="2"/>
  <c r="E67" i="2"/>
  <c r="E68" i="2"/>
  <c r="E69" i="2"/>
  <c r="E70" i="2"/>
  <c r="E71" i="2"/>
  <c r="E72" i="2"/>
  <c r="E73" i="2"/>
  <c r="E74" i="2"/>
  <c r="E64" i="2"/>
  <c r="C63" i="2"/>
  <c r="L63" i="2" s="1"/>
  <c r="C65" i="2"/>
  <c r="L65" i="2" s="1"/>
  <c r="C66" i="2"/>
  <c r="L66" i="2" s="1"/>
  <c r="C67" i="2"/>
  <c r="L67" i="2" s="1"/>
  <c r="C68" i="2"/>
  <c r="L68" i="2" s="1"/>
  <c r="C69" i="2"/>
  <c r="L69" i="2" s="1"/>
  <c r="C70" i="2"/>
  <c r="L70" i="2" s="1"/>
  <c r="C71" i="2"/>
  <c r="L71" i="2" s="1"/>
  <c r="C72" i="2"/>
  <c r="L72" i="2" s="1"/>
  <c r="C73" i="2"/>
  <c r="L73" i="2" s="1"/>
  <c r="C74" i="2"/>
  <c r="C64" i="2"/>
  <c r="L64" i="2" s="1"/>
  <c r="G63" i="2"/>
  <c r="G65" i="2"/>
  <c r="G66" i="2"/>
  <c r="G67" i="2"/>
  <c r="G68" i="2"/>
  <c r="G69" i="2"/>
  <c r="G70" i="2"/>
  <c r="G71" i="2"/>
  <c r="G72" i="2"/>
  <c r="G73" i="2"/>
  <c r="G74" i="2"/>
  <c r="M74" i="2" s="1"/>
  <c r="G64" i="2"/>
  <c r="G49" i="2"/>
  <c r="G51" i="2"/>
  <c r="G52" i="2"/>
  <c r="G53" i="2"/>
  <c r="G54" i="2"/>
  <c r="G55" i="2"/>
  <c r="G56" i="2"/>
  <c r="G57" i="2"/>
  <c r="G58" i="2"/>
  <c r="G59" i="2"/>
  <c r="G60" i="2"/>
  <c r="M60" i="2" s="1"/>
  <c r="G50" i="2"/>
  <c r="E59" i="2"/>
  <c r="E60" i="2"/>
  <c r="C59" i="2"/>
  <c r="L59" i="2" s="1"/>
  <c r="C60" i="2"/>
  <c r="E49" i="2"/>
  <c r="E51" i="2"/>
  <c r="E52" i="2"/>
  <c r="E53" i="2"/>
  <c r="E54" i="2"/>
  <c r="E55" i="2"/>
  <c r="E56" i="2"/>
  <c r="E57" i="2"/>
  <c r="E58" i="2"/>
  <c r="E50" i="2"/>
  <c r="C49" i="2"/>
  <c r="L49" i="2" s="1"/>
  <c r="C51" i="2"/>
  <c r="L51" i="2" s="1"/>
  <c r="C52" i="2"/>
  <c r="L52" i="2" s="1"/>
  <c r="C53" i="2"/>
  <c r="L53" i="2" s="1"/>
  <c r="C54" i="2"/>
  <c r="L54" i="2" s="1"/>
  <c r="C55" i="2"/>
  <c r="L55" i="2" s="1"/>
  <c r="C56" i="2"/>
  <c r="L56" i="2" s="1"/>
  <c r="C57" i="2"/>
  <c r="L57" i="2" s="1"/>
  <c r="C58" i="2"/>
  <c r="L58" i="2" s="1"/>
  <c r="C50" i="2"/>
  <c r="L50" i="2" s="1"/>
  <c r="K37" i="11" l="1"/>
  <c r="M37" i="68"/>
  <c r="L74" i="2"/>
  <c r="G75" i="2"/>
  <c r="O37" i="19"/>
  <c r="N19" i="68"/>
  <c r="N37" i="68" s="1"/>
  <c r="O15" i="68"/>
  <c r="O19" i="68" s="1"/>
  <c r="L89" i="2"/>
  <c r="G90" i="2"/>
  <c r="L103" i="2"/>
  <c r="G104" i="2"/>
  <c r="G111" i="2" s="1"/>
  <c r="N40" i="21"/>
  <c r="O31" i="68"/>
  <c r="O35" i="68" s="1"/>
  <c r="N35" i="68"/>
  <c r="L60" i="2"/>
  <c r="G61" i="2"/>
  <c r="O40" i="21"/>
  <c r="N61" i="70"/>
  <c r="O60" i="70"/>
  <c r="F62" i="70"/>
  <c r="G62" i="70"/>
  <c r="H72" i="69"/>
  <c r="M71" i="69"/>
  <c r="N70" i="69"/>
  <c r="Z84" i="69"/>
  <c r="Z85" i="69" s="1"/>
  <c r="Z86" i="69" s="1"/>
  <c r="Y85" i="69"/>
  <c r="Y86" i="69" s="1"/>
  <c r="O33" i="67"/>
  <c r="O37" i="67" s="1"/>
  <c r="O39" i="67" s="1"/>
  <c r="N37" i="67"/>
  <c r="N39" i="67" s="1"/>
  <c r="M73" i="65"/>
  <c r="F74" i="65" s="1"/>
  <c r="N72" i="65"/>
  <c r="E74" i="65"/>
  <c r="O31" i="64"/>
  <c r="O35" i="64" s="1"/>
  <c r="O37" i="64" s="1"/>
  <c r="N35" i="64"/>
  <c r="N37" i="64" s="1"/>
  <c r="O33" i="62"/>
  <c r="O37" i="62" s="1"/>
  <c r="O39" i="62" s="1"/>
  <c r="N37" i="62"/>
  <c r="N39" i="62" s="1"/>
  <c r="O15" i="61"/>
  <c r="O19" i="61" s="1"/>
  <c r="O37" i="61" s="1"/>
  <c r="N19" i="61"/>
  <c r="N37" i="61" s="1"/>
  <c r="O23" i="59"/>
  <c r="N26" i="59"/>
  <c r="N27" i="59" s="1"/>
  <c r="N28" i="59" s="1"/>
  <c r="N33" i="59" s="1"/>
  <c r="N34" i="59" s="1"/>
  <c r="N24" i="59"/>
  <c r="N25" i="59" s="1"/>
  <c r="O9" i="59"/>
  <c r="O14" i="59" s="1"/>
  <c r="O15" i="59" s="1"/>
  <c r="O19" i="59" s="1"/>
  <c r="O20" i="59" s="1"/>
  <c r="O7" i="59"/>
  <c r="O8" i="59"/>
  <c r="O31" i="58"/>
  <c r="O35" i="58" s="1"/>
  <c r="O37" i="58" s="1"/>
  <c r="N35" i="58"/>
  <c r="N37" i="58" s="1"/>
  <c r="O33" i="57"/>
  <c r="O37" i="57" s="1"/>
  <c r="O39" i="57" s="1"/>
  <c r="N37" i="57"/>
  <c r="N39" i="57" s="1"/>
  <c r="O23" i="56"/>
  <c r="N26" i="56"/>
  <c r="N27" i="56" s="1"/>
  <c r="N28" i="56" s="1"/>
  <c r="N33" i="56" s="1"/>
  <c r="N34" i="56" s="1"/>
  <c r="N24" i="56"/>
  <c r="N25" i="56" s="1"/>
  <c r="O9" i="56"/>
  <c r="O14" i="56" s="1"/>
  <c r="O15" i="56" s="1"/>
  <c r="O19" i="56" s="1"/>
  <c r="O20" i="56" s="1"/>
  <c r="O7" i="56"/>
  <c r="O8" i="56" s="1"/>
  <c r="L38" i="17"/>
  <c r="M37" i="55"/>
  <c r="O23" i="55"/>
  <c r="N26" i="55"/>
  <c r="N27" i="55" s="1"/>
  <c r="N28" i="55" s="1"/>
  <c r="N33" i="55" s="1"/>
  <c r="N34" i="55" s="1"/>
  <c r="N24" i="55"/>
  <c r="N25" i="55"/>
  <c r="O6" i="55"/>
  <c r="N8" i="55"/>
  <c r="N37" i="55" s="1"/>
  <c r="N9" i="55"/>
  <c r="N7" i="55"/>
  <c r="N14" i="55"/>
  <c r="N15" i="55" s="1"/>
  <c r="N19" i="55" s="1"/>
  <c r="N20" i="55" s="1"/>
  <c r="L70" i="16"/>
  <c r="K71" i="16"/>
  <c r="L19" i="53"/>
  <c r="L37" i="53" s="1"/>
  <c r="N63" i="53"/>
  <c r="G64" i="53" s="1"/>
  <c r="O62" i="53"/>
  <c r="F64" i="53"/>
  <c r="N22" i="53"/>
  <c r="N34" i="53" s="1"/>
  <c r="N35" i="53" s="1"/>
  <c r="N6" i="53"/>
  <c r="M18" i="53"/>
  <c r="M7" i="53"/>
  <c r="M8" i="53" s="1"/>
  <c r="O31" i="53"/>
  <c r="Y77" i="53"/>
  <c r="Y78" i="53" s="1"/>
  <c r="Z76" i="53"/>
  <c r="Z77" i="53" s="1"/>
  <c r="Z78" i="53" s="1"/>
  <c r="O6" i="52"/>
  <c r="N9" i="52"/>
  <c r="N14" i="52" s="1"/>
  <c r="N15" i="52" s="1"/>
  <c r="N19" i="52" s="1"/>
  <c r="N20" i="52" s="1"/>
  <c r="N7" i="52"/>
  <c r="N8" i="52" s="1"/>
  <c r="N24" i="52"/>
  <c r="N25" i="52" s="1"/>
  <c r="O23" i="52"/>
  <c r="N26" i="52"/>
  <c r="N27" i="52" s="1"/>
  <c r="N28" i="52" s="1"/>
  <c r="N33" i="52" s="1"/>
  <c r="N34" i="52" s="1"/>
  <c r="N9" i="50"/>
  <c r="N14" i="50" s="1"/>
  <c r="N15" i="50" s="1"/>
  <c r="N19" i="50" s="1"/>
  <c r="N20" i="50" s="1"/>
  <c r="N7" i="50"/>
  <c r="N8" i="50" s="1"/>
  <c r="O6" i="50"/>
  <c r="M26" i="50"/>
  <c r="M27" i="50" s="1"/>
  <c r="M28" i="50" s="1"/>
  <c r="M33" i="50" s="1"/>
  <c r="M34" i="50" s="1"/>
  <c r="M24" i="50"/>
  <c r="M25" i="50" s="1"/>
  <c r="M36" i="50" s="1"/>
  <c r="N23" i="50"/>
  <c r="M9" i="49"/>
  <c r="M14" i="49" s="1"/>
  <c r="M15" i="49" s="1"/>
  <c r="M19" i="49" s="1"/>
  <c r="M20" i="49" s="1"/>
  <c r="M7" i="49"/>
  <c r="M8" i="49" s="1"/>
  <c r="M35" i="49" s="1"/>
  <c r="N6" i="49"/>
  <c r="O26" i="49"/>
  <c r="O27" i="49" s="1"/>
  <c r="O28" i="49" s="1"/>
  <c r="O33" i="49" s="1"/>
  <c r="O34" i="49" s="1"/>
  <c r="O24" i="49"/>
  <c r="O25" i="49" s="1"/>
  <c r="O6" i="47"/>
  <c r="N9" i="47"/>
  <c r="N14" i="47" s="1"/>
  <c r="N15" i="47" s="1"/>
  <c r="N19" i="47" s="1"/>
  <c r="N20" i="47" s="1"/>
  <c r="N7" i="47"/>
  <c r="N8" i="47" s="1"/>
  <c r="N37" i="47" s="1"/>
  <c r="O26" i="47"/>
  <c r="O27" i="47" s="1"/>
  <c r="O28" i="47" s="1"/>
  <c r="O33" i="47" s="1"/>
  <c r="O34" i="47" s="1"/>
  <c r="O24" i="47"/>
  <c r="O25" i="47" s="1"/>
  <c r="P12" i="44"/>
  <c r="P16" i="44" s="1"/>
  <c r="P23" i="44"/>
  <c r="L7" i="8"/>
  <c r="L8" i="8" s="1"/>
  <c r="L38" i="8" s="1"/>
  <c r="M7" i="8"/>
  <c r="M8" i="8" s="1"/>
  <c r="N37" i="35"/>
  <c r="O33" i="35"/>
  <c r="O37" i="35" s="1"/>
  <c r="O15" i="35"/>
  <c r="O19" i="35" s="1"/>
  <c r="O40" i="35" s="1"/>
  <c r="N19" i="35"/>
  <c r="X55" i="34"/>
  <c r="X56" i="34" s="1"/>
  <c r="Y54" i="34"/>
  <c r="L41" i="34"/>
  <c r="M40" i="34"/>
  <c r="M35" i="33"/>
  <c r="M37" i="33" s="1"/>
  <c r="N31" i="33"/>
  <c r="N35" i="31"/>
  <c r="N37" i="31" s="1"/>
  <c r="O31" i="31"/>
  <c r="O35" i="31" s="1"/>
  <c r="O37" i="31" s="1"/>
  <c r="N19" i="30"/>
  <c r="N37" i="30" s="1"/>
  <c r="O15" i="30"/>
  <c r="O19" i="30" s="1"/>
  <c r="O37" i="30" s="1"/>
  <c r="N37" i="29"/>
  <c r="N39" i="29" s="1"/>
  <c r="O33" i="29"/>
  <c r="O37" i="29" s="1"/>
  <c r="O39" i="29" s="1"/>
  <c r="O18" i="27"/>
  <c r="O19" i="27" s="1"/>
  <c r="O37" i="27" s="1"/>
  <c r="O15" i="26"/>
  <c r="O19" i="26" s="1"/>
  <c r="N19" i="26"/>
  <c r="N35" i="26"/>
  <c r="O31" i="26"/>
  <c r="O35" i="26" s="1"/>
  <c r="E63" i="25"/>
  <c r="M62" i="25"/>
  <c r="N61" i="25"/>
  <c r="Y75" i="25"/>
  <c r="X76" i="25"/>
  <c r="X77" i="25" s="1"/>
  <c r="M35" i="25"/>
  <c r="M37" i="25" s="1"/>
  <c r="N31" i="25"/>
  <c r="E62" i="24"/>
  <c r="N35" i="24"/>
  <c r="N38" i="24" s="1"/>
  <c r="O31" i="24"/>
  <c r="O35" i="24" s="1"/>
  <c r="O38" i="24" s="1"/>
  <c r="Y74" i="24"/>
  <c r="X75" i="24"/>
  <c r="X76" i="24" s="1"/>
  <c r="M61" i="24"/>
  <c r="N60" i="24"/>
  <c r="N34" i="23"/>
  <c r="N35" i="23" s="1"/>
  <c r="N37" i="23" s="1"/>
  <c r="O37" i="20"/>
  <c r="O18" i="20"/>
  <c r="N19" i="20"/>
  <c r="N39" i="20" s="1"/>
  <c r="O15" i="20"/>
  <c r="N15" i="17"/>
  <c r="M19" i="17"/>
  <c r="M35" i="17"/>
  <c r="Y84" i="16"/>
  <c r="X85" i="16"/>
  <c r="X86" i="16" s="1"/>
  <c r="L7" i="16"/>
  <c r="L8" i="16" s="1"/>
  <c r="L19" i="16" s="1"/>
  <c r="L37" i="16" s="1"/>
  <c r="M9" i="13"/>
  <c r="M14" i="13" s="1"/>
  <c r="M15" i="13" s="1"/>
  <c r="M19" i="13" s="1"/>
  <c r="M20" i="13" s="1"/>
  <c r="M7" i="13"/>
  <c r="M8" i="13" s="1"/>
  <c r="N16" i="13"/>
  <c r="N6" i="13" s="1"/>
  <c r="O6" i="13" s="1"/>
  <c r="O12" i="13"/>
  <c r="O16" i="13" s="1"/>
  <c r="L26" i="13"/>
  <c r="L27" i="13" s="1"/>
  <c r="L28" i="13" s="1"/>
  <c r="L33" i="13" s="1"/>
  <c r="L34" i="13" s="1"/>
  <c r="L24" i="13"/>
  <c r="L25" i="13" s="1"/>
  <c r="M23" i="13"/>
  <c r="L7" i="11"/>
  <c r="L8" i="11" s="1"/>
  <c r="L9" i="11"/>
  <c r="L14" i="11" s="1"/>
  <c r="L15" i="11" s="1"/>
  <c r="L19" i="11" s="1"/>
  <c r="L20" i="11" s="1"/>
  <c r="M23" i="11"/>
  <c r="L26" i="11"/>
  <c r="L27" i="11" s="1"/>
  <c r="L28" i="11" s="1"/>
  <c r="L33" i="11" s="1"/>
  <c r="L34" i="11" s="1"/>
  <c r="L24" i="11"/>
  <c r="L25" i="11" s="1"/>
  <c r="M16" i="11"/>
  <c r="M6" i="11" s="1"/>
  <c r="L9" i="10"/>
  <c r="L14" i="10" s="1"/>
  <c r="L15" i="10" s="1"/>
  <c r="L19" i="10" s="1"/>
  <c r="L20" i="10" s="1"/>
  <c r="L7" i="10"/>
  <c r="L8" i="10" s="1"/>
  <c r="M16" i="10"/>
  <c r="M6" i="10" s="1"/>
  <c r="N23" i="10"/>
  <c r="M26" i="10"/>
  <c r="M27" i="10" s="1"/>
  <c r="M28" i="10" s="1"/>
  <c r="M33" i="10" s="1"/>
  <c r="M34" i="10" s="1"/>
  <c r="M24" i="10"/>
  <c r="M25" i="10" s="1"/>
  <c r="M9" i="8"/>
  <c r="M14" i="8" s="1"/>
  <c r="M15" i="8" s="1"/>
  <c r="M19" i="8" s="1"/>
  <c r="M20" i="8" s="1"/>
  <c r="N16" i="8"/>
  <c r="N6" i="8" s="1"/>
  <c r="O6" i="8" s="1"/>
  <c r="O12" i="8"/>
  <c r="O16" i="8" s="1"/>
  <c r="M23" i="8"/>
  <c r="L24" i="8"/>
  <c r="L25" i="8" s="1"/>
  <c r="L26" i="8"/>
  <c r="L27" i="8" s="1"/>
  <c r="L28" i="8" s="1"/>
  <c r="L33" i="8" s="1"/>
  <c r="L34" i="8" s="1"/>
  <c r="G106" i="2"/>
  <c r="J106" i="2"/>
  <c r="G92" i="2"/>
  <c r="J92" i="2"/>
  <c r="G94" i="2"/>
  <c r="G98" i="2"/>
  <c r="G93" i="2"/>
  <c r="G96" i="2"/>
  <c r="G97" i="2"/>
  <c r="G103" i="2"/>
  <c r="M103" i="2" s="1"/>
  <c r="G95" i="2"/>
  <c r="G100" i="2"/>
  <c r="G102" i="2"/>
  <c r="G101" i="2"/>
  <c r="G99" i="2"/>
  <c r="G107" i="2"/>
  <c r="M107" i="2" s="1"/>
  <c r="L37" i="11" l="1"/>
  <c r="O37" i="68"/>
  <c r="N40" i="35"/>
  <c r="N38" i="26"/>
  <c r="O38" i="26"/>
  <c r="P60" i="70"/>
  <c r="O61" i="70"/>
  <c r="I72" i="69"/>
  <c r="O70" i="69"/>
  <c r="N71" i="69"/>
  <c r="O72" i="65"/>
  <c r="N73" i="65"/>
  <c r="O26" i="59"/>
  <c r="O27" i="59" s="1"/>
  <c r="O28" i="59" s="1"/>
  <c r="O33" i="59" s="1"/>
  <c r="O34" i="59" s="1"/>
  <c r="O24" i="59"/>
  <c r="O25" i="59" s="1"/>
  <c r="O24" i="56"/>
  <c r="O25" i="56" s="1"/>
  <c r="O26" i="56"/>
  <c r="O27" i="56" s="1"/>
  <c r="O28" i="56" s="1"/>
  <c r="O33" i="56" s="1"/>
  <c r="O34" i="56" s="1"/>
  <c r="M38" i="17"/>
  <c r="O9" i="55"/>
  <c r="O14" i="55" s="1"/>
  <c r="O15" i="55" s="1"/>
  <c r="O19" i="55" s="1"/>
  <c r="O20" i="55" s="1"/>
  <c r="O7" i="55"/>
  <c r="O8" i="55" s="1"/>
  <c r="O26" i="55"/>
  <c r="O27" i="55" s="1"/>
  <c r="O28" i="55" s="1"/>
  <c r="O33" i="55" s="1"/>
  <c r="O34" i="55" s="1"/>
  <c r="O24" i="55"/>
  <c r="O25" i="55" s="1"/>
  <c r="D72" i="16"/>
  <c r="M70" i="16"/>
  <c r="L71" i="16"/>
  <c r="M19" i="53"/>
  <c r="M37" i="53" s="1"/>
  <c r="O63" i="53"/>
  <c r="P62" i="53"/>
  <c r="O22" i="53"/>
  <c r="O34" i="53" s="1"/>
  <c r="O35" i="53" s="1"/>
  <c r="N18" i="53"/>
  <c r="N7" i="53"/>
  <c r="N8" i="53" s="1"/>
  <c r="N19" i="53" s="1"/>
  <c r="N37" i="53" s="1"/>
  <c r="O6" i="53"/>
  <c r="O26" i="52"/>
  <c r="O27" i="52" s="1"/>
  <c r="O28" i="52" s="1"/>
  <c r="O33" i="52" s="1"/>
  <c r="O34" i="52" s="1"/>
  <c r="O24" i="52"/>
  <c r="O25" i="52" s="1"/>
  <c r="O9" i="52"/>
  <c r="O14" i="52" s="1"/>
  <c r="O15" i="52" s="1"/>
  <c r="O19" i="52" s="1"/>
  <c r="O20" i="52" s="1"/>
  <c r="O7" i="52"/>
  <c r="O8" i="52" s="1"/>
  <c r="O23" i="50"/>
  <c r="N26" i="50"/>
  <c r="N27" i="50" s="1"/>
  <c r="N28" i="50" s="1"/>
  <c r="N33" i="50" s="1"/>
  <c r="N34" i="50" s="1"/>
  <c r="N24" i="50"/>
  <c r="N25" i="50" s="1"/>
  <c r="N36" i="50" s="1"/>
  <c r="O9" i="50"/>
  <c r="O14" i="50" s="1"/>
  <c r="O15" i="50" s="1"/>
  <c r="O19" i="50" s="1"/>
  <c r="O20" i="50" s="1"/>
  <c r="O7" i="50"/>
  <c r="O8" i="50" s="1"/>
  <c r="N9" i="49"/>
  <c r="N14" i="49" s="1"/>
  <c r="N15" i="49" s="1"/>
  <c r="N19" i="49" s="1"/>
  <c r="N20" i="49" s="1"/>
  <c r="N7" i="49"/>
  <c r="N8" i="49" s="1"/>
  <c r="N35" i="49" s="1"/>
  <c r="O6" i="49"/>
  <c r="O9" i="47"/>
  <c r="O14" i="47" s="1"/>
  <c r="O15" i="47" s="1"/>
  <c r="O19" i="47" s="1"/>
  <c r="O20" i="47" s="1"/>
  <c r="O7" i="47"/>
  <c r="O8" i="47" s="1"/>
  <c r="O37" i="47" s="1"/>
  <c r="P26" i="44"/>
  <c r="P27" i="44" s="1"/>
  <c r="P28" i="44" s="1"/>
  <c r="P33" i="44" s="1"/>
  <c r="P34" i="44" s="1"/>
  <c r="P24" i="44"/>
  <c r="P25" i="44" s="1"/>
  <c r="P6" i="44"/>
  <c r="E42" i="34"/>
  <c r="M41" i="34"/>
  <c r="N40" i="34"/>
  <c r="Z54" i="34"/>
  <c r="Z55" i="34" s="1"/>
  <c r="Z56" i="34" s="1"/>
  <c r="Y55" i="34"/>
  <c r="Y56" i="34" s="1"/>
  <c r="O31" i="33"/>
  <c r="O35" i="33" s="1"/>
  <c r="O37" i="33" s="1"/>
  <c r="N35" i="33"/>
  <c r="N37" i="33" s="1"/>
  <c r="Z75" i="25"/>
  <c r="Z76" i="25" s="1"/>
  <c r="Z77" i="25" s="1"/>
  <c r="Y76" i="25"/>
  <c r="Y77" i="25" s="1"/>
  <c r="N62" i="25"/>
  <c r="O61" i="25"/>
  <c r="F63" i="25"/>
  <c r="N35" i="25"/>
  <c r="N37" i="25" s="1"/>
  <c r="O31" i="25"/>
  <c r="O35" i="25" s="1"/>
  <c r="O37" i="25" s="1"/>
  <c r="O60" i="24"/>
  <c r="N61" i="24"/>
  <c r="F62" i="24"/>
  <c r="Z74" i="24"/>
  <c r="Z75" i="24" s="1"/>
  <c r="Z76" i="24" s="1"/>
  <c r="Y75" i="24"/>
  <c r="Y76" i="24" s="1"/>
  <c r="O34" i="23"/>
  <c r="O35" i="23" s="1"/>
  <c r="O37" i="23" s="1"/>
  <c r="O19" i="20"/>
  <c r="O39" i="20" s="1"/>
  <c r="O15" i="17"/>
  <c r="O19" i="17" s="1"/>
  <c r="N19" i="17"/>
  <c r="N35" i="17"/>
  <c r="O35" i="17"/>
  <c r="Z84" i="16"/>
  <c r="Z85" i="16" s="1"/>
  <c r="Z86" i="16" s="1"/>
  <c r="Y85" i="16"/>
  <c r="Y86" i="16" s="1"/>
  <c r="M7" i="16"/>
  <c r="M8" i="16" s="1"/>
  <c r="M19" i="16" s="1"/>
  <c r="M37" i="16" s="1"/>
  <c r="N9" i="13"/>
  <c r="N14" i="13" s="1"/>
  <c r="N15" i="13" s="1"/>
  <c r="N19" i="13" s="1"/>
  <c r="N20" i="13" s="1"/>
  <c r="N7" i="13"/>
  <c r="N8" i="13" s="1"/>
  <c r="M26" i="13"/>
  <c r="M27" i="13" s="1"/>
  <c r="M28" i="13" s="1"/>
  <c r="M33" i="13" s="1"/>
  <c r="M34" i="13" s="1"/>
  <c r="M24" i="13"/>
  <c r="M25" i="13" s="1"/>
  <c r="N23" i="13"/>
  <c r="M9" i="11"/>
  <c r="M14" i="11" s="1"/>
  <c r="M15" i="11" s="1"/>
  <c r="M19" i="11" s="1"/>
  <c r="M20" i="11" s="1"/>
  <c r="M7" i="11"/>
  <c r="M8" i="11" s="1"/>
  <c r="M37" i="11" s="1"/>
  <c r="N16" i="11"/>
  <c r="N6" i="11" s="1"/>
  <c r="O16" i="11"/>
  <c r="N23" i="11"/>
  <c r="M26" i="11"/>
  <c r="M27" i="11" s="1"/>
  <c r="M28" i="11" s="1"/>
  <c r="M33" i="11" s="1"/>
  <c r="M34" i="11" s="1"/>
  <c r="M24" i="11"/>
  <c r="M25" i="11" s="1"/>
  <c r="M9" i="10"/>
  <c r="M14" i="10" s="1"/>
  <c r="M15" i="10" s="1"/>
  <c r="M19" i="10" s="1"/>
  <c r="M20" i="10" s="1"/>
  <c r="M7" i="10"/>
  <c r="M8" i="10" s="1"/>
  <c r="N16" i="10"/>
  <c r="N6" i="10" s="1"/>
  <c r="O6" i="10" s="1"/>
  <c r="O16" i="10"/>
  <c r="O23" i="10"/>
  <c r="N26" i="10"/>
  <c r="N27" i="10" s="1"/>
  <c r="N28" i="10" s="1"/>
  <c r="N33" i="10" s="1"/>
  <c r="N34" i="10" s="1"/>
  <c r="N24" i="10"/>
  <c r="N25" i="10" s="1"/>
  <c r="N9" i="8"/>
  <c r="N14" i="8" s="1"/>
  <c r="N15" i="8" s="1"/>
  <c r="N19" i="8" s="1"/>
  <c r="N20" i="8" s="1"/>
  <c r="N7" i="8"/>
  <c r="N8" i="8" s="1"/>
  <c r="N23" i="8"/>
  <c r="M26" i="8"/>
  <c r="M27" i="8" s="1"/>
  <c r="M28" i="8" s="1"/>
  <c r="M33" i="8" s="1"/>
  <c r="M34" i="8" s="1"/>
  <c r="M24" i="8"/>
  <c r="M25" i="8" s="1"/>
  <c r="M38" i="8" s="1"/>
  <c r="Q60" i="70" l="1"/>
  <c r="P61" i="70"/>
  <c r="H62" i="70"/>
  <c r="J72" i="69"/>
  <c r="P70" i="69"/>
  <c r="O71" i="69"/>
  <c r="O73" i="65"/>
  <c r="P72" i="65"/>
  <c r="G74" i="65"/>
  <c r="O38" i="17"/>
  <c r="N38" i="17"/>
  <c r="O37" i="55"/>
  <c r="N70" i="16"/>
  <c r="M71" i="16"/>
  <c r="E72" i="16"/>
  <c r="P63" i="53"/>
  <c r="Q62" i="53"/>
  <c r="H64" i="53"/>
  <c r="I64" i="53"/>
  <c r="O7" i="53"/>
  <c r="O8" i="53" s="1"/>
  <c r="O18" i="53"/>
  <c r="O26" i="50"/>
  <c r="O27" i="50" s="1"/>
  <c r="O28" i="50" s="1"/>
  <c r="O33" i="50" s="1"/>
  <c r="O34" i="50" s="1"/>
  <c r="O24" i="50"/>
  <c r="O25" i="50" s="1"/>
  <c r="O36" i="50" s="1"/>
  <c r="O9" i="49"/>
  <c r="O14" i="49" s="1"/>
  <c r="O15" i="49" s="1"/>
  <c r="O19" i="49" s="1"/>
  <c r="O20" i="49" s="1"/>
  <c r="O7" i="49"/>
  <c r="O8" i="49" s="1"/>
  <c r="O35" i="49" s="1"/>
  <c r="P9" i="44"/>
  <c r="P14" i="44" s="1"/>
  <c r="P15" i="44" s="1"/>
  <c r="P19" i="44" s="1"/>
  <c r="P20" i="44" s="1"/>
  <c r="P7" i="44"/>
  <c r="P8" i="44" s="1"/>
  <c r="P38" i="44" s="1"/>
  <c r="O6" i="11"/>
  <c r="O40" i="34"/>
  <c r="N41" i="34"/>
  <c r="F42" i="34"/>
  <c r="P61" i="25"/>
  <c r="O62" i="25"/>
  <c r="G63" i="25"/>
  <c r="H63" i="25"/>
  <c r="O61" i="24"/>
  <c r="P60" i="24"/>
  <c r="G62" i="24"/>
  <c r="N7" i="16"/>
  <c r="N8" i="16" s="1"/>
  <c r="N19" i="16" s="1"/>
  <c r="N37" i="16" s="1"/>
  <c r="O23" i="13"/>
  <c r="N26" i="13"/>
  <c r="N27" i="13" s="1"/>
  <c r="N28" i="13" s="1"/>
  <c r="N33" i="13" s="1"/>
  <c r="N34" i="13" s="1"/>
  <c r="N24" i="13"/>
  <c r="N25" i="13" s="1"/>
  <c r="O9" i="13"/>
  <c r="O14" i="13" s="1"/>
  <c r="O15" i="13" s="1"/>
  <c r="O19" i="13" s="1"/>
  <c r="O20" i="13" s="1"/>
  <c r="O7" i="13"/>
  <c r="O8" i="13" s="1"/>
  <c r="N9" i="11"/>
  <c r="N14" i="11" s="1"/>
  <c r="N15" i="11" s="1"/>
  <c r="N19" i="11" s="1"/>
  <c r="N20" i="11" s="1"/>
  <c r="N7" i="11"/>
  <c r="N8" i="11" s="1"/>
  <c r="O23" i="11"/>
  <c r="N26" i="11"/>
  <c r="N27" i="11" s="1"/>
  <c r="N28" i="11" s="1"/>
  <c r="N33" i="11" s="1"/>
  <c r="N34" i="11" s="1"/>
  <c r="N24" i="11"/>
  <c r="N25" i="11" s="1"/>
  <c r="N9" i="10"/>
  <c r="N14" i="10" s="1"/>
  <c r="N15" i="10" s="1"/>
  <c r="N19" i="10" s="1"/>
  <c r="N20" i="10" s="1"/>
  <c r="N7" i="10"/>
  <c r="N8" i="10" s="1"/>
  <c r="O26" i="10"/>
  <c r="O27" i="10" s="1"/>
  <c r="O28" i="10" s="1"/>
  <c r="O33" i="10" s="1"/>
  <c r="O34" i="10" s="1"/>
  <c r="O24" i="10"/>
  <c r="O25" i="10" s="1"/>
  <c r="O23" i="8"/>
  <c r="N26" i="8"/>
  <c r="N27" i="8" s="1"/>
  <c r="N28" i="8" s="1"/>
  <c r="N33" i="8" s="1"/>
  <c r="N34" i="8" s="1"/>
  <c r="N24" i="8"/>
  <c r="N25" i="8" s="1"/>
  <c r="N38" i="8" s="1"/>
  <c r="O7" i="8"/>
  <c r="O9" i="8"/>
  <c r="O14" i="8" s="1"/>
  <c r="O15" i="8" s="1"/>
  <c r="O19" i="8" s="1"/>
  <c r="O20" i="8" s="1"/>
  <c r="O8" i="8"/>
  <c r="N37" i="11" l="1"/>
  <c r="I62" i="70"/>
  <c r="R60" i="70"/>
  <c r="Q61" i="70"/>
  <c r="K72" i="69"/>
  <c r="Q70" i="69"/>
  <c r="P71" i="69"/>
  <c r="Q72" i="65"/>
  <c r="P73" i="65"/>
  <c r="H74" i="65"/>
  <c r="F72" i="16"/>
  <c r="O70" i="16"/>
  <c r="N71" i="16"/>
  <c r="Q63" i="53"/>
  <c r="J64" i="53" s="1"/>
  <c r="R62" i="53"/>
  <c r="O19" i="53"/>
  <c r="O37" i="53" s="1"/>
  <c r="P40" i="34"/>
  <c r="O41" i="34"/>
  <c r="G42" i="34"/>
  <c r="Q61" i="25"/>
  <c r="P62" i="25"/>
  <c r="Q60" i="24"/>
  <c r="P61" i="24"/>
  <c r="H62" i="24"/>
  <c r="O7" i="16"/>
  <c r="O8" i="16" s="1"/>
  <c r="O19" i="16" s="1"/>
  <c r="O37" i="16" s="1"/>
  <c r="O26" i="13"/>
  <c r="O27" i="13" s="1"/>
  <c r="O28" i="13" s="1"/>
  <c r="O33" i="13" s="1"/>
  <c r="O34" i="13" s="1"/>
  <c r="O24" i="13"/>
  <c r="O25" i="13" s="1"/>
  <c r="O26" i="11"/>
  <c r="O27" i="11" s="1"/>
  <c r="O28" i="11" s="1"/>
  <c r="O33" i="11" s="1"/>
  <c r="O34" i="11" s="1"/>
  <c r="O24" i="11"/>
  <c r="O25" i="11" s="1"/>
  <c r="O9" i="11"/>
  <c r="O14" i="11" s="1"/>
  <c r="O15" i="11" s="1"/>
  <c r="O19" i="11" s="1"/>
  <c r="O20" i="11" s="1"/>
  <c r="O7" i="11"/>
  <c r="O8" i="11" s="1"/>
  <c r="O9" i="10"/>
  <c r="O14" i="10" s="1"/>
  <c r="O15" i="10" s="1"/>
  <c r="O19" i="10" s="1"/>
  <c r="O20" i="10" s="1"/>
  <c r="O7" i="10"/>
  <c r="O8" i="10" s="1"/>
  <c r="O26" i="8"/>
  <c r="O27" i="8" s="1"/>
  <c r="O28" i="8" s="1"/>
  <c r="O33" i="8" s="1"/>
  <c r="O34" i="8" s="1"/>
  <c r="O24" i="8"/>
  <c r="O25" i="8" s="1"/>
  <c r="O38" i="8" s="1"/>
  <c r="O37" i="11" l="1"/>
  <c r="J62" i="70"/>
  <c r="S60" i="70"/>
  <c r="R61" i="70"/>
  <c r="L72" i="69"/>
  <c r="Q71" i="69"/>
  <c r="R70" i="69"/>
  <c r="I74" i="65"/>
  <c r="R72" i="65"/>
  <c r="Q73" i="65"/>
  <c r="J74" i="65" s="1"/>
  <c r="G72" i="16"/>
  <c r="P70" i="16"/>
  <c r="O71" i="16"/>
  <c r="S62" i="53"/>
  <c r="R63" i="53"/>
  <c r="K64" i="53" s="1"/>
  <c r="P41" i="34"/>
  <c r="Q40" i="34"/>
  <c r="H42" i="34"/>
  <c r="R61" i="25"/>
  <c r="Q62" i="25"/>
  <c r="I63" i="25"/>
  <c r="I62" i="24"/>
  <c r="R60" i="24"/>
  <c r="Q61" i="24"/>
  <c r="T60" i="70" l="1"/>
  <c r="S61" i="70"/>
  <c r="K62" i="70"/>
  <c r="M72" i="69"/>
  <c r="R71" i="69"/>
  <c r="S70" i="69"/>
  <c r="S72" i="65"/>
  <c r="R73" i="65"/>
  <c r="H72" i="16"/>
  <c r="Q70" i="16"/>
  <c r="P71" i="16"/>
  <c r="S63" i="53"/>
  <c r="L64" i="53" s="1"/>
  <c r="T62" i="53"/>
  <c r="I42" i="34"/>
  <c r="R40" i="34"/>
  <c r="Q41" i="34"/>
  <c r="J63" i="25"/>
  <c r="S61" i="25"/>
  <c r="R62" i="25"/>
  <c r="S60" i="24"/>
  <c r="R61" i="24"/>
  <c r="K62" i="24" s="1"/>
  <c r="J62" i="24"/>
  <c r="L62" i="70" l="1"/>
  <c r="T61" i="70"/>
  <c r="U60" i="70"/>
  <c r="N72" i="69"/>
  <c r="T70" i="69"/>
  <c r="S71" i="69"/>
  <c r="K74" i="65"/>
  <c r="T72" i="65"/>
  <c r="S73" i="65"/>
  <c r="I72" i="16"/>
  <c r="R70" i="16"/>
  <c r="Q71" i="16"/>
  <c r="U62" i="53"/>
  <c r="T63" i="53"/>
  <c r="M64" i="53" s="1"/>
  <c r="S40" i="34"/>
  <c r="R41" i="34"/>
  <c r="J42" i="34"/>
  <c r="K63" i="25"/>
  <c r="T61" i="25"/>
  <c r="S62" i="25"/>
  <c r="T60" i="24"/>
  <c r="S61" i="24"/>
  <c r="U61" i="70" l="1"/>
  <c r="N62" i="70" s="1"/>
  <c r="V60" i="70"/>
  <c r="M62" i="70"/>
  <c r="O72" i="69"/>
  <c r="T71" i="69"/>
  <c r="U70" i="69"/>
  <c r="L74" i="65"/>
  <c r="T73" i="65"/>
  <c r="U72" i="65"/>
  <c r="S70" i="16"/>
  <c r="R71" i="16"/>
  <c r="J72" i="16"/>
  <c r="V62" i="53"/>
  <c r="U63" i="53"/>
  <c r="N64" i="53" s="1"/>
  <c r="K42" i="34"/>
  <c r="T40" i="34"/>
  <c r="S41" i="34"/>
  <c r="T62" i="25"/>
  <c r="U61" i="25"/>
  <c r="L63" i="25"/>
  <c r="L62" i="24"/>
  <c r="T61" i="24"/>
  <c r="U60" i="24"/>
  <c r="V61" i="70" l="1"/>
  <c r="W60" i="70"/>
  <c r="P72" i="69"/>
  <c r="U71" i="69"/>
  <c r="Q72" i="69" s="1"/>
  <c r="V70" i="69"/>
  <c r="M74" i="65"/>
  <c r="U73" i="65"/>
  <c r="N74" i="65" s="1"/>
  <c r="V72" i="65"/>
  <c r="K72" i="16"/>
  <c r="T70" i="16"/>
  <c r="S71" i="16"/>
  <c r="V63" i="53"/>
  <c r="W62" i="53"/>
  <c r="T41" i="34"/>
  <c r="U40" i="34"/>
  <c r="L42" i="34"/>
  <c r="U62" i="25"/>
  <c r="N63" i="25" s="1"/>
  <c r="V61" i="25"/>
  <c r="M63" i="25"/>
  <c r="U61" i="24"/>
  <c r="V60" i="24"/>
  <c r="M62" i="24"/>
  <c r="X60" i="70" l="1"/>
  <c r="W61" i="70"/>
  <c r="P62" i="70" s="1"/>
  <c r="O62" i="70"/>
  <c r="W70" i="69"/>
  <c r="V71" i="69"/>
  <c r="R72" i="69" s="1"/>
  <c r="W72" i="65"/>
  <c r="V73" i="65"/>
  <c r="O74" i="65" s="1"/>
  <c r="L72" i="16"/>
  <c r="U70" i="16"/>
  <c r="T71" i="16"/>
  <c r="M72" i="16" s="1"/>
  <c r="X62" i="53"/>
  <c r="W63" i="53"/>
  <c r="P64" i="53" s="1"/>
  <c r="O64" i="53"/>
  <c r="M42" i="34"/>
  <c r="U41" i="34"/>
  <c r="V40" i="34"/>
  <c r="V62" i="25"/>
  <c r="W61" i="25"/>
  <c r="W60" i="24"/>
  <c r="V61" i="24"/>
  <c r="N62" i="24"/>
  <c r="Y60" i="70" l="1"/>
  <c r="X61" i="70"/>
  <c r="Q62" i="70" s="1"/>
  <c r="W71" i="69"/>
  <c r="S72" i="69" s="1"/>
  <c r="X70" i="69"/>
  <c r="W73" i="65"/>
  <c r="P74" i="65" s="1"/>
  <c r="X72" i="65"/>
  <c r="V70" i="16"/>
  <c r="U71" i="16"/>
  <c r="N72" i="16" s="1"/>
  <c r="X63" i="53"/>
  <c r="Q64" i="53" s="1"/>
  <c r="Y62" i="53"/>
  <c r="W40" i="34"/>
  <c r="V41" i="34"/>
  <c r="N42" i="34"/>
  <c r="X61" i="25"/>
  <c r="W62" i="25"/>
  <c r="P63" i="25" s="1"/>
  <c r="O63" i="25"/>
  <c r="O62" i="24"/>
  <c r="X60" i="24"/>
  <c r="W61" i="24"/>
  <c r="Z60" i="70" l="1"/>
  <c r="Z61" i="70" s="1"/>
  <c r="Y61" i="70"/>
  <c r="R62" i="70" s="1"/>
  <c r="Y70" i="69"/>
  <c r="X71" i="69"/>
  <c r="Y72" i="65"/>
  <c r="X73" i="65"/>
  <c r="W70" i="16"/>
  <c r="V71" i="16"/>
  <c r="O72" i="16" s="1"/>
  <c r="Y63" i="53"/>
  <c r="Z62" i="53"/>
  <c r="Z63" i="53" s="1"/>
  <c r="O42" i="34"/>
  <c r="X40" i="34"/>
  <c r="W41" i="34"/>
  <c r="Y61" i="25"/>
  <c r="X62" i="25"/>
  <c r="Y60" i="24"/>
  <c r="X61" i="24"/>
  <c r="P62" i="24"/>
  <c r="S62" i="70" l="1"/>
  <c r="Z70" i="69"/>
  <c r="Z71" i="69" s="1"/>
  <c r="Y71" i="69"/>
  <c r="Z72" i="65"/>
  <c r="Z73" i="65" s="1"/>
  <c r="Y73" i="65"/>
  <c r="R74" i="65" s="1"/>
  <c r="Q74" i="65"/>
  <c r="X70" i="16"/>
  <c r="W71" i="16"/>
  <c r="P72" i="16" s="1"/>
  <c r="R64" i="53"/>
  <c r="T64" i="53"/>
  <c r="S64" i="53"/>
  <c r="P42" i="34"/>
  <c r="Y40" i="34"/>
  <c r="X41" i="34"/>
  <c r="Z61" i="25"/>
  <c r="Z62" i="25" s="1"/>
  <c r="Z63" i="25" s="1"/>
  <c r="Y62" i="25"/>
  <c r="S63" i="25" s="1"/>
  <c r="Q63" i="25"/>
  <c r="Z60" i="24"/>
  <c r="Z61" i="24" s="1"/>
  <c r="Z62" i="24" s="1"/>
  <c r="Y61" i="24"/>
  <c r="X62" i="24" s="1"/>
  <c r="Q62" i="24"/>
  <c r="S74" i="65" l="1"/>
  <c r="Y70" i="16"/>
  <c r="X71" i="16"/>
  <c r="Q72" i="16" s="1"/>
  <c r="T63" i="25"/>
  <c r="X63" i="25"/>
  <c r="U63" i="25"/>
  <c r="Z40" i="34"/>
  <c r="Z41" i="34" s="1"/>
  <c r="Y41" i="34"/>
  <c r="Q42" i="34"/>
  <c r="Y63" i="25"/>
  <c r="R63" i="25"/>
  <c r="W63" i="25"/>
  <c r="V63" i="25"/>
  <c r="V62" i="24"/>
  <c r="Y62" i="24"/>
  <c r="R62" i="24"/>
  <c r="U62" i="24"/>
  <c r="S62" i="24"/>
  <c r="W62" i="24"/>
  <c r="T62" i="24"/>
  <c r="Z70" i="16" l="1"/>
  <c r="Z71" i="16" s="1"/>
  <c r="Y71" i="16"/>
  <c r="R72" i="16" s="1"/>
  <c r="X42" i="34"/>
  <c r="V42" i="34"/>
  <c r="U42" i="34"/>
  <c r="W42" i="34"/>
  <c r="Y42" i="34"/>
  <c r="R42" i="34"/>
  <c r="Z42" i="34"/>
  <c r="T42" i="34"/>
  <c r="S42" i="34"/>
  <c r="S72" i="16" l="1"/>
</calcChain>
</file>

<file path=xl/sharedStrings.xml><?xml version="1.0" encoding="utf-8"?>
<sst xmlns="http://schemas.openxmlformats.org/spreadsheetml/2006/main" count="2361" uniqueCount="569">
  <si>
    <t>BEV Sales</t>
    <phoneticPr fontId="2" type="noConversion"/>
  </si>
  <si>
    <t>PHEV Sales</t>
    <phoneticPr fontId="2" type="noConversion"/>
  </si>
  <si>
    <t>NEV/Total</t>
    <phoneticPr fontId="2" type="noConversion"/>
  </si>
  <si>
    <t>BEV/Total</t>
    <phoneticPr fontId="2" type="noConversion"/>
  </si>
  <si>
    <t>PHEV (Cumulative)</t>
    <phoneticPr fontId="2" type="noConversion"/>
  </si>
  <si>
    <t>BEV</t>
    <phoneticPr fontId="2" type="noConversion"/>
  </si>
  <si>
    <t>PHEV</t>
    <phoneticPr fontId="2" type="noConversion"/>
  </si>
  <si>
    <t>NEV</t>
    <phoneticPr fontId="2" type="noConversion"/>
  </si>
  <si>
    <t>Passenger Vehicle Sales</t>
    <phoneticPr fontId="2" type="noConversion"/>
  </si>
  <si>
    <t>BEV/PVS</t>
    <phoneticPr fontId="2" type="noConversion"/>
  </si>
  <si>
    <t>NEV/PVS</t>
    <phoneticPr fontId="2" type="noConversion"/>
  </si>
  <si>
    <t>PVS</t>
    <phoneticPr fontId="2" type="noConversion"/>
  </si>
  <si>
    <t>BEV/PVS Annual Growth Rate</t>
    <phoneticPr fontId="2" type="noConversion"/>
  </si>
  <si>
    <t>PVS Cumulative</t>
    <phoneticPr fontId="2" type="noConversion"/>
  </si>
  <si>
    <t>NEV Sale</t>
    <phoneticPr fontId="2" type="noConversion"/>
  </si>
  <si>
    <t>NEV Cumulative</t>
    <phoneticPr fontId="2" type="noConversion"/>
  </si>
  <si>
    <t>BEV Cumulative</t>
    <phoneticPr fontId="2" type="noConversion"/>
  </si>
  <si>
    <t>BEV (Cum)/PVS(Cum)</t>
    <phoneticPr fontId="2" type="noConversion"/>
  </si>
  <si>
    <t>NEV(Cum)/PVS(Cum)</t>
    <phoneticPr fontId="2" type="noConversion"/>
  </si>
  <si>
    <t>ROEWE Model</t>
    <phoneticPr fontId="2" type="noConversion"/>
  </si>
  <si>
    <t>Sticker Price (RMB)</t>
    <phoneticPr fontId="2" type="noConversion"/>
  </si>
  <si>
    <t>National Subsidy</t>
    <phoneticPr fontId="2" type="noConversion"/>
  </si>
  <si>
    <t>Local Subsidy</t>
    <phoneticPr fontId="2" type="noConversion"/>
  </si>
  <si>
    <t>Purchase Tax</t>
  </si>
  <si>
    <t>Purchase Tax</t>
    <phoneticPr fontId="2" type="noConversion"/>
  </si>
  <si>
    <t>ERX5 (EV400)</t>
    <phoneticPr fontId="2" type="noConversion"/>
  </si>
  <si>
    <t>RX5 (2018)</t>
    <phoneticPr fontId="2" type="noConversion"/>
  </si>
  <si>
    <t>Final Price</t>
    <phoneticPr fontId="2" type="noConversion"/>
  </si>
  <si>
    <t>Liscense Plate Fee</t>
    <phoneticPr fontId="2" type="noConversion"/>
  </si>
  <si>
    <t>BEV (Passenger)</t>
    <phoneticPr fontId="2" type="noConversion"/>
  </si>
  <si>
    <t>Percentage Change</t>
    <phoneticPr fontId="2" type="noConversion"/>
  </si>
  <si>
    <r>
      <t>150</t>
    </r>
    <r>
      <rPr>
        <sz val="11"/>
        <color theme="1"/>
        <rFont val="宋体"/>
        <family val="2"/>
      </rPr>
      <t>≤R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200</t>
    </r>
    <phoneticPr fontId="2" type="noConversion"/>
  </si>
  <si>
    <t>Standards</t>
    <phoneticPr fontId="2" type="noConversion"/>
  </si>
  <si>
    <r>
      <t>200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R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250</t>
    </r>
    <phoneticPr fontId="2" type="noConversion"/>
  </si>
  <si>
    <r>
      <t>250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R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300</t>
    </r>
    <phoneticPr fontId="2" type="noConversion"/>
  </si>
  <si>
    <r>
      <t>300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R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400</t>
    </r>
    <phoneticPr fontId="2" type="noConversion"/>
  </si>
  <si>
    <r>
      <t>R</t>
    </r>
    <r>
      <rPr>
        <sz val="11"/>
        <color theme="1"/>
        <rFont val="宋体"/>
        <family val="2"/>
      </rPr>
      <t>≥</t>
    </r>
    <r>
      <rPr>
        <sz val="11"/>
        <color theme="1"/>
        <rFont val="宋体"/>
        <family val="2"/>
        <scheme val="minor"/>
      </rPr>
      <t>400</t>
    </r>
    <phoneticPr fontId="2" type="noConversion"/>
  </si>
  <si>
    <t>Driving Range
(KM)</t>
    <phoneticPr fontId="2" type="noConversion"/>
  </si>
  <si>
    <r>
      <t>E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105</t>
    </r>
    <phoneticPr fontId="2" type="noConversion"/>
  </si>
  <si>
    <r>
      <t>105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E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120</t>
    </r>
    <phoneticPr fontId="2" type="noConversion"/>
  </si>
  <si>
    <r>
      <t>120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E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125</t>
    </r>
    <phoneticPr fontId="2" type="noConversion"/>
  </si>
  <si>
    <r>
      <t>125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E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140</t>
    </r>
    <phoneticPr fontId="2" type="noConversion"/>
  </si>
  <si>
    <r>
      <t>140</t>
    </r>
    <r>
      <rPr>
        <sz val="11"/>
        <color theme="1"/>
        <rFont val="宋体"/>
        <family val="2"/>
      </rPr>
      <t>≤</t>
    </r>
    <r>
      <rPr>
        <sz val="11"/>
        <color theme="1"/>
        <rFont val="宋体"/>
        <family val="2"/>
        <scheme val="minor"/>
      </rPr>
      <t>E</t>
    </r>
    <r>
      <rPr>
        <sz val="11"/>
        <color theme="1"/>
        <rFont val="Arial"/>
        <family val="2"/>
      </rPr>
      <t>&lt;</t>
    </r>
    <r>
      <rPr>
        <sz val="11"/>
        <color theme="1"/>
        <rFont val="宋体"/>
        <family val="3"/>
        <charset val="134"/>
      </rPr>
      <t>160</t>
    </r>
    <phoneticPr fontId="2" type="noConversion"/>
  </si>
  <si>
    <r>
      <t>E</t>
    </r>
    <r>
      <rPr>
        <sz val="11"/>
        <color theme="1"/>
        <rFont val="宋体"/>
        <family val="2"/>
      </rPr>
      <t>≥</t>
    </r>
    <r>
      <rPr>
        <sz val="11"/>
        <color theme="1"/>
        <rFont val="宋体"/>
        <family val="2"/>
        <scheme val="minor"/>
      </rPr>
      <t>160</t>
    </r>
    <phoneticPr fontId="2" type="noConversion"/>
  </si>
  <si>
    <t>Energy Density
(Wh/kg)</t>
    <phoneticPr fontId="2" type="noConversion"/>
  </si>
  <si>
    <t>Retail Price</t>
  </si>
  <si>
    <t>Purchase Tax</t>
    <phoneticPr fontId="2" type="noConversion"/>
  </si>
  <si>
    <t>Consumer Final Price</t>
  </si>
  <si>
    <t>Consumer Final Price</t>
    <phoneticPr fontId="2" type="noConversion"/>
  </si>
  <si>
    <t>Dealer Gross Profit(5%)</t>
    <phoneticPr fontId="2" type="noConversion"/>
  </si>
  <si>
    <t>Subsidies</t>
    <phoneticPr fontId="2" type="noConversion"/>
  </si>
  <si>
    <t>Auto Company Revenue</t>
    <phoneticPr fontId="2" type="noConversion"/>
  </si>
  <si>
    <t>Power Battery System Cost</t>
    <phoneticPr fontId="2" type="noConversion"/>
  </si>
  <si>
    <t>Electric Motor &amp;
Electric Controlling</t>
    <phoneticPr fontId="2" type="noConversion"/>
  </si>
  <si>
    <t>Other Cost</t>
    <phoneticPr fontId="2" type="noConversion"/>
  </si>
  <si>
    <t>Retail Price</t>
    <phoneticPr fontId="2" type="noConversion"/>
  </si>
  <si>
    <t>Consumer Final Price</t>
    <phoneticPr fontId="2" type="noConversion"/>
  </si>
  <si>
    <t>Dealer Gross Profit (5%)</t>
    <phoneticPr fontId="2" type="noConversion"/>
  </si>
  <si>
    <t>Auto Company Revenue</t>
    <phoneticPr fontId="2" type="noConversion"/>
  </si>
  <si>
    <t>Motor Cost</t>
    <phoneticPr fontId="2" type="noConversion"/>
  </si>
  <si>
    <t>Transmission Cost</t>
    <phoneticPr fontId="2" type="noConversion"/>
  </si>
  <si>
    <t>48V System Cost</t>
    <phoneticPr fontId="2" type="noConversion"/>
  </si>
  <si>
    <t>Retail Price</t>
    <phoneticPr fontId="2" type="noConversion"/>
  </si>
  <si>
    <t>Chery QQ6</t>
    <phoneticPr fontId="2" type="noConversion"/>
  </si>
  <si>
    <t>Chery eQ1</t>
    <phoneticPr fontId="2" type="noConversion"/>
  </si>
  <si>
    <t>Battery (kwh)</t>
    <phoneticPr fontId="2" type="noConversion"/>
  </si>
  <si>
    <t>Range (km)</t>
    <phoneticPr fontId="2" type="noConversion"/>
  </si>
  <si>
    <t>Other Cost</t>
    <phoneticPr fontId="2" type="noConversion"/>
  </si>
  <si>
    <t>Revenue (after vat)</t>
    <phoneticPr fontId="2" type="noConversion"/>
  </si>
  <si>
    <t>Profit Margin(ICEV)</t>
    <phoneticPr fontId="2" type="noConversion"/>
  </si>
  <si>
    <t>PM/Revenue</t>
    <phoneticPr fontId="2" type="noConversion"/>
  </si>
  <si>
    <t>Profit Margin(BEV)</t>
    <phoneticPr fontId="2" type="noConversion"/>
  </si>
  <si>
    <t>Battery Price/wh</t>
    <phoneticPr fontId="2" type="noConversion"/>
  </si>
  <si>
    <t>BAIC D50</t>
    <phoneticPr fontId="2" type="noConversion"/>
  </si>
  <si>
    <t>BAIC EU5</t>
    <phoneticPr fontId="2" type="noConversion"/>
  </si>
  <si>
    <t>BYD Qin Pro EV-Supreme</t>
    <phoneticPr fontId="2" type="noConversion"/>
  </si>
  <si>
    <t>BYD Pro</t>
    <phoneticPr fontId="2" type="noConversion"/>
  </si>
  <si>
    <t>Audi e-tron 55 quattro</t>
    <phoneticPr fontId="2" type="noConversion"/>
  </si>
  <si>
    <t>Audi A6 all-road quattro</t>
    <phoneticPr fontId="2" type="noConversion"/>
  </si>
  <si>
    <t>A00</t>
    <phoneticPr fontId="2" type="noConversion"/>
  </si>
  <si>
    <t>A0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</si>
  <si>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</si>
  <si>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</si>
  <si>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</si>
  <si>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Range/Day (km)</t>
    <phoneticPr fontId="2" type="noConversion"/>
  </si>
  <si>
    <t>Electricity/hundred KM (Kwh)</t>
    <phoneticPr fontId="2" type="noConversion"/>
  </si>
  <si>
    <t>Electricity Price (RMB/Kwh)</t>
    <phoneticPr fontId="2" type="noConversion"/>
  </si>
  <si>
    <t>Residual Value after Depreciation</t>
    <phoneticPr fontId="2" type="noConversion"/>
  </si>
  <si>
    <t>NPV Energy Cost</t>
    <phoneticPr fontId="2" type="noConversion"/>
  </si>
  <si>
    <t>NPV Maintenance Cost</t>
    <phoneticPr fontId="2" type="noConversion"/>
  </si>
  <si>
    <t>NPV Insurance Cost</t>
    <phoneticPr fontId="2" type="noConversion"/>
  </si>
  <si>
    <t>NPV Vehicle and Vessel Tax</t>
    <phoneticPr fontId="2" type="noConversion"/>
  </si>
  <si>
    <t>Discount Rate</t>
    <phoneticPr fontId="2" type="noConversion"/>
  </si>
  <si>
    <t xml:space="preserve">TCO </t>
    <phoneticPr fontId="2" type="noConversion"/>
  </si>
  <si>
    <t>Years of Usage</t>
    <phoneticPr fontId="2" type="noConversion"/>
  </si>
  <si>
    <t>Oil/hundred KM (L/100km)</t>
    <phoneticPr fontId="2" type="noConversion"/>
  </si>
  <si>
    <t>Oil Price (RMB/Litre)</t>
    <phoneticPr fontId="2" type="noConversion"/>
  </si>
  <si>
    <t>Discount Rate</t>
    <phoneticPr fontId="2" type="noConversion"/>
  </si>
  <si>
    <t>Annual range</t>
    <phoneticPr fontId="2" type="noConversion"/>
  </si>
  <si>
    <t>Electricity amount</t>
    <phoneticPr fontId="2" type="noConversion"/>
  </si>
  <si>
    <t>Discounted Electricity Cost</t>
    <phoneticPr fontId="2" type="noConversion"/>
  </si>
  <si>
    <t>Electricity Cost</t>
    <phoneticPr fontId="2" type="noConversion"/>
  </si>
  <si>
    <t>Electricity Cost NPV</t>
    <phoneticPr fontId="2" type="noConversion"/>
  </si>
  <si>
    <t>Maintenance Cost</t>
    <phoneticPr fontId="2" type="noConversion"/>
  </si>
  <si>
    <t>Insurance cost</t>
    <phoneticPr fontId="2" type="noConversion"/>
  </si>
  <si>
    <t>Discounted Insurance Cost</t>
    <phoneticPr fontId="2" type="noConversion"/>
  </si>
  <si>
    <t>Insurance cost NPV</t>
    <phoneticPr fontId="2" type="noConversion"/>
  </si>
  <si>
    <t>Oil amount</t>
    <phoneticPr fontId="2" type="noConversion"/>
  </si>
  <si>
    <t>Oil cost</t>
    <phoneticPr fontId="2" type="noConversion"/>
  </si>
  <si>
    <t>Discounted Oil cost</t>
    <phoneticPr fontId="2" type="noConversion"/>
  </si>
  <si>
    <t>NPV oil</t>
    <phoneticPr fontId="2" type="noConversion"/>
  </si>
  <si>
    <t>BEV</t>
    <phoneticPr fontId="2" type="noConversion"/>
  </si>
  <si>
    <t>Total</t>
    <phoneticPr fontId="2" type="noConversion"/>
  </si>
  <si>
    <t>A00</t>
    <phoneticPr fontId="2" type="noConversion"/>
  </si>
  <si>
    <t>A</t>
    <phoneticPr fontId="2" type="noConversion"/>
  </si>
  <si>
    <t>ICEV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</si>
  <si>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</si>
  <si>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</si>
  <si>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</si>
  <si>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A00 TCO</t>
    <phoneticPr fontId="2" type="noConversion"/>
  </si>
  <si>
    <t>A TCO</t>
    <phoneticPr fontId="2" type="noConversion"/>
  </si>
  <si>
    <t>B TCO</t>
    <phoneticPr fontId="2" type="noConversion"/>
  </si>
  <si>
    <t>C TCO</t>
    <phoneticPr fontId="2" type="noConversion"/>
  </si>
  <si>
    <t xml:space="preserve">A00 TCO (diff) </t>
    <phoneticPr fontId="2" type="noConversion"/>
  </si>
  <si>
    <t xml:space="preserve">A TCO (diff) </t>
    <phoneticPr fontId="2" type="noConversion"/>
  </si>
  <si>
    <t xml:space="preserve">B TCO (diff) </t>
    <phoneticPr fontId="2" type="noConversion"/>
  </si>
  <si>
    <t xml:space="preserve">C TCO (diff) </t>
    <phoneticPr fontId="2" type="noConversion"/>
  </si>
  <si>
    <t>Standard</t>
    <phoneticPr fontId="2" type="noConversion"/>
  </si>
  <si>
    <t>Chademo 50kw</t>
    <phoneticPr fontId="2" type="noConversion"/>
  </si>
  <si>
    <t>CCS 50kw</t>
    <phoneticPr fontId="2" type="noConversion"/>
  </si>
  <si>
    <t>Type 243 kw</t>
    <phoneticPr fontId="2" type="noConversion"/>
  </si>
  <si>
    <t>Tesla Supercharger</t>
    <phoneticPr fontId="2" type="noConversion"/>
  </si>
  <si>
    <t>Total</t>
    <phoneticPr fontId="2" type="noConversion"/>
  </si>
  <si>
    <t>statista.com</t>
    <phoneticPr fontId="2" type="noConversion"/>
  </si>
  <si>
    <t>Combined Charging System</t>
    <phoneticPr fontId="2" type="noConversion"/>
  </si>
  <si>
    <t>BEV</t>
    <phoneticPr fontId="2" type="noConversion"/>
  </si>
  <si>
    <t>Standard(&lt;22kw)</t>
    <phoneticPr fontId="2" type="noConversion"/>
  </si>
  <si>
    <t>Fast Charge (&gt;22kw)</t>
    <phoneticPr fontId="2" type="noConversion"/>
  </si>
  <si>
    <t>BEV Sales</t>
    <phoneticPr fontId="2" type="noConversion"/>
  </si>
  <si>
    <t>standard</t>
    <phoneticPr fontId="2" type="noConversion"/>
  </si>
  <si>
    <t>Penetrations</t>
    <phoneticPr fontId="2" type="noConversion"/>
  </si>
  <si>
    <t>Penetration</t>
    <phoneticPr fontId="2" type="noConversion"/>
  </si>
  <si>
    <t>A0级乘用车：轴距为2.3米至2.5米，排量为1升至1.5升。</t>
  </si>
  <si>
    <t>A级乘用车：轴距在2.5米至2.7米之间，排量约在1.6升至2.0升。</t>
  </si>
  <si>
    <t>B级乘用车：轴距约在2.7米至2.9米之间，排量从1.8升到2.4升。</t>
  </si>
  <si>
    <t>C级乘用车：轴距约在2.8米至3米之间，发动机排量大于2.4升</t>
  </si>
  <si>
    <t>乘用车级别：A00级乘用车：轴距在2米至2.3米之间，发动机排量小于1升</t>
  </si>
  <si>
    <t>BYD Qin Pro EV</t>
    <phoneticPr fontId="2" type="noConversion"/>
  </si>
  <si>
    <t>Changhe Beidou Star
昌河北斗星</t>
    <phoneticPr fontId="2" type="noConversion"/>
  </si>
  <si>
    <t>Changhe Beidou StarX5
昌河北斗星X5</t>
    <phoneticPr fontId="2" type="noConversion"/>
  </si>
  <si>
    <t>Suzuki Beidou Star
铃木北斗星</t>
    <phoneticPr fontId="2" type="noConversion"/>
  </si>
  <si>
    <t>SGMW Hongguang
上汽五菱宏光</t>
    <phoneticPr fontId="2" type="noConversion"/>
  </si>
  <si>
    <t>Chery QQ6
奇瑞QQ6</t>
    <phoneticPr fontId="2" type="noConversion"/>
  </si>
  <si>
    <t>SGMW Zhiguang
上汽五菱之光</t>
    <phoneticPr fontId="2" type="noConversion"/>
  </si>
  <si>
    <t>SGMW Lechi
上汽通用乐驰</t>
    <phoneticPr fontId="2" type="noConversion"/>
  </si>
  <si>
    <t>Mercedes Benz Smart
奔驰Smart</t>
    <phoneticPr fontId="2" type="noConversion"/>
  </si>
  <si>
    <t>Nissan March
东风日产玛驰</t>
    <phoneticPr fontId="2" type="noConversion"/>
  </si>
  <si>
    <t>Changan Benben
长安奔奔</t>
    <phoneticPr fontId="2" type="noConversion"/>
  </si>
  <si>
    <t>Chery eQ1
奇瑞eQ1</t>
    <phoneticPr fontId="2" type="noConversion"/>
  </si>
  <si>
    <t>JAC iEV6E
江淮iEV6E</t>
    <phoneticPr fontId="2" type="noConversion"/>
  </si>
  <si>
    <t>SGMW E100
上汽通用宝骏E100</t>
    <phoneticPr fontId="2" type="noConversion"/>
  </si>
  <si>
    <t>SGMW E200
上汽通用宝骏E200</t>
    <phoneticPr fontId="2" type="noConversion"/>
  </si>
  <si>
    <t>Zotye E200
众泰E200</t>
    <phoneticPr fontId="2" type="noConversion"/>
  </si>
  <si>
    <t>Changan EV360
长安EV360</t>
    <phoneticPr fontId="2" type="noConversion"/>
  </si>
  <si>
    <t>Zhidou D2
知豆D2</t>
    <phoneticPr fontId="2" type="noConversion"/>
  </si>
  <si>
    <t>JMEV E200L
江铃E200L</t>
    <phoneticPr fontId="2" type="noConversion"/>
  </si>
  <si>
    <t>Changhe EC100
北汽昌河EC100</t>
    <phoneticPr fontId="2" type="noConversion"/>
  </si>
  <si>
    <t>BAIC Lite
北汽新能源Lite</t>
    <phoneticPr fontId="2" type="noConversion"/>
  </si>
  <si>
    <t>Post 2030</t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</si>
  <si>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</si>
  <si>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</si>
  <si>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</si>
  <si>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</si>
  <si>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</si>
  <si>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</si>
  <si>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Roewe i5GL
荣威i5GL</t>
    <phoneticPr fontId="2" type="noConversion"/>
  </si>
  <si>
    <t>BAIC D70
北汽D70</t>
    <phoneticPr fontId="2" type="noConversion"/>
  </si>
  <si>
    <t>Roewe i6 Plus
荣威i6 Plus</t>
    <phoneticPr fontId="2" type="noConversion"/>
  </si>
  <si>
    <t>BYD Tang （SUV）
比亚迪唐</t>
    <phoneticPr fontId="2" type="noConversion"/>
  </si>
  <si>
    <t>BYD Song （SUV）
比亚迪宋</t>
    <phoneticPr fontId="2" type="noConversion"/>
  </si>
  <si>
    <t>BMW 1
宝马1系</t>
    <phoneticPr fontId="2" type="noConversion"/>
  </si>
  <si>
    <t>BMW 2
宝马2系</t>
    <phoneticPr fontId="2" type="noConversion"/>
  </si>
  <si>
    <t>Volkswagen Golf GTI
大众高尔夫GTI</t>
    <phoneticPr fontId="2" type="noConversion"/>
  </si>
  <si>
    <t>Volkswagen Bora
大众宝来</t>
    <phoneticPr fontId="2" type="noConversion"/>
  </si>
  <si>
    <t>Honda VEZEL （SUV）
本田缤智</t>
    <phoneticPr fontId="2" type="noConversion"/>
  </si>
  <si>
    <t>Buick EXCELLE GT
别克英朗</t>
    <phoneticPr fontId="2" type="noConversion"/>
  </si>
  <si>
    <t>BAIC EU 5
北汽EU5</t>
    <phoneticPr fontId="2" type="noConversion"/>
  </si>
  <si>
    <t>JAC iEV7L
江淮iEV7L</t>
    <phoneticPr fontId="2" type="noConversion"/>
  </si>
  <si>
    <t>Roewe ei5
荣威ei5</t>
    <phoneticPr fontId="2" type="noConversion"/>
  </si>
  <si>
    <t>BMW i3
宝马i3</t>
    <phoneticPr fontId="2" type="noConversion"/>
  </si>
  <si>
    <t>Volkswagen e-Golf
大众e高尔夫</t>
    <phoneticPr fontId="2" type="noConversion"/>
  </si>
  <si>
    <t>Volkswagen e-Bora
大众e宝来</t>
    <phoneticPr fontId="2" type="noConversion"/>
  </si>
  <si>
    <t>Buick Velite 6
别克微蓝6</t>
    <phoneticPr fontId="2" type="noConversion"/>
  </si>
  <si>
    <t>JAC Heyue A30
江淮和悦A30</t>
    <phoneticPr fontId="2" type="noConversion"/>
  </si>
  <si>
    <t>Post 2030</t>
    <phoneticPr fontId="2" type="noConversion"/>
  </si>
  <si>
    <t>Post 2030</t>
    <phoneticPr fontId="2" type="noConversion"/>
  </si>
  <si>
    <t>Middle term</t>
    <phoneticPr fontId="2" type="noConversion"/>
  </si>
  <si>
    <t>BAIC D50
北汽绅宝D50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</si>
  <si>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</si>
  <si>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</si>
  <si>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</si>
  <si>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Nissan ALTIMA 2.0 XE
尼桑天籁 2.0 XE</t>
    <phoneticPr fontId="2" type="noConversion"/>
  </si>
  <si>
    <t>BYD Qin Pro EV-Supreme
比亚迪秦Pro EV</t>
    <phoneticPr fontId="2" type="noConversion"/>
  </si>
  <si>
    <t>Nissan Sylphy
尼桑轩逸</t>
    <phoneticPr fontId="2" type="noConversion"/>
  </si>
  <si>
    <t>Changan EADO EV460
长安逸动EV460</t>
    <phoneticPr fontId="2" type="noConversion"/>
  </si>
  <si>
    <t>BYD QIN PRO
比亚迪秦Pro</t>
    <phoneticPr fontId="2" type="noConversion"/>
  </si>
  <si>
    <t>BYD QIN
比亚迪秦</t>
    <phoneticPr fontId="2" type="noConversion"/>
  </si>
  <si>
    <t>JAC Jiayue A5
江淮嘉悦A5</t>
    <phoneticPr fontId="2" type="noConversion"/>
  </si>
  <si>
    <t>JAC S7 （SUV）
江淮瑞风</t>
    <phoneticPr fontId="2" type="noConversion"/>
  </si>
  <si>
    <t>Nissan Sylphy 1.6XE
尼桑轩逸1.6XE</t>
    <phoneticPr fontId="2" type="noConversion"/>
  </si>
  <si>
    <t>Hyundai LA FESTA
现代菲斯塔</t>
    <phoneticPr fontId="2" type="noConversion"/>
  </si>
  <si>
    <t>Toyota Camry
丰田凯美瑞</t>
    <phoneticPr fontId="2" type="noConversion"/>
  </si>
  <si>
    <t>Ford Frontier （SUV）
福特领界</t>
    <phoneticPr fontId="2" type="noConversion"/>
  </si>
  <si>
    <t>Roewe RX5 MAX
荣威RX5 MAX</t>
    <phoneticPr fontId="2" type="noConversion"/>
  </si>
  <si>
    <t>Changan EADO XT
长安逸动XT</t>
    <phoneticPr fontId="2" type="noConversion"/>
  </si>
  <si>
    <t>Mazda AXELA （SUV）
马自达AXELA</t>
    <phoneticPr fontId="2" type="noConversion"/>
  </si>
  <si>
    <t>Mazda CX-5 （SUV）
马自达CX-5</t>
    <phoneticPr fontId="2" type="noConversion"/>
  </si>
  <si>
    <t>Cadillac ATS-L
凯迪拉克 ATS-L</t>
    <phoneticPr fontId="2" type="noConversion"/>
  </si>
  <si>
    <t>BYD QIN EV
比亚迪秦EV</t>
    <phoneticPr fontId="2" type="noConversion"/>
  </si>
  <si>
    <t>BYD QIN EV450
比亚迪秦EV450</t>
    <phoneticPr fontId="2" type="noConversion"/>
  </si>
  <si>
    <t>BAIC EU7
北汽EU7</t>
    <phoneticPr fontId="2" type="noConversion"/>
  </si>
  <si>
    <t>JAC iC5
江淮iC5</t>
    <phoneticPr fontId="2" type="noConversion"/>
  </si>
  <si>
    <t>JAC iEVA50
江淮iEVA50</t>
    <phoneticPr fontId="2" type="noConversion"/>
  </si>
  <si>
    <t>Tesla Model 3
特斯拉 Model 3</t>
    <phoneticPr fontId="2" type="noConversion"/>
  </si>
  <si>
    <t>Ford Territory EV （SUV）
福特领界</t>
    <phoneticPr fontId="2" type="noConversion"/>
  </si>
  <si>
    <t>Weltmeister EX6 （SUV）
威马EX6</t>
    <phoneticPr fontId="2" type="noConversion"/>
  </si>
  <si>
    <t>Weltmeister EX5 （SUV）
威马EX5</t>
    <phoneticPr fontId="2" type="noConversion"/>
  </si>
  <si>
    <t>Roewe RX5 eMax （SUV）
荣威RX5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</si>
  <si>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</si>
  <si>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</si>
  <si>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</si>
  <si>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</si>
  <si>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</si>
  <si>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</si>
  <si>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</si>
  <si>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</si>
  <si>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Post 2030</t>
    <phoneticPr fontId="2" type="noConversion"/>
  </si>
  <si>
    <t>Short term</t>
    <phoneticPr fontId="2" type="noConversion"/>
  </si>
  <si>
    <t>Long term</t>
    <phoneticPr fontId="2" type="noConversion"/>
  </si>
  <si>
    <t>Short</t>
    <phoneticPr fontId="2" type="noConversion"/>
  </si>
  <si>
    <t>Middle</t>
    <phoneticPr fontId="2" type="noConversion"/>
  </si>
  <si>
    <t>Long</t>
    <phoneticPr fontId="2" type="noConversion"/>
  </si>
  <si>
    <t>Short</t>
    <phoneticPr fontId="2" type="noConversion"/>
  </si>
  <si>
    <t>Middle</t>
    <phoneticPr fontId="2" type="noConversion"/>
  </si>
  <si>
    <t>Long</t>
    <phoneticPr fontId="2" type="noConversion"/>
  </si>
  <si>
    <t>BYD Qin</t>
    <phoneticPr fontId="2" type="noConversion"/>
  </si>
  <si>
    <t>Nissan Altima</t>
    <phoneticPr fontId="2" type="noConversion"/>
  </si>
  <si>
    <t>Tesla model 3</t>
    <phoneticPr fontId="2" type="noConversion"/>
  </si>
  <si>
    <t>Roewe RX5</t>
    <phoneticPr fontId="2" type="noConversion"/>
  </si>
  <si>
    <t>JAC IEVA50</t>
    <phoneticPr fontId="2" type="noConversion"/>
  </si>
  <si>
    <t>Short</t>
    <phoneticPr fontId="2" type="noConversion"/>
  </si>
  <si>
    <t>Changan</t>
    <phoneticPr fontId="2" type="noConversion"/>
  </si>
  <si>
    <t>BMW2</t>
    <phoneticPr fontId="2" type="noConversion"/>
  </si>
  <si>
    <t>VK GTI</t>
    <phoneticPr fontId="2" type="noConversion"/>
  </si>
  <si>
    <t>JAC heyue</t>
    <phoneticPr fontId="2" type="noConversion"/>
  </si>
  <si>
    <t>BMWi3</t>
    <phoneticPr fontId="2" type="noConversion"/>
  </si>
  <si>
    <t>Hyundai Encore</t>
    <phoneticPr fontId="2" type="noConversion"/>
  </si>
  <si>
    <t>JAC iev7l</t>
    <phoneticPr fontId="2" type="noConversion"/>
  </si>
  <si>
    <t>BYD yuan EV360</t>
    <phoneticPr fontId="2" type="noConversion"/>
  </si>
  <si>
    <t>short</t>
    <phoneticPr fontId="2" type="noConversion"/>
  </si>
  <si>
    <t>Middle</t>
    <phoneticPr fontId="2" type="noConversion"/>
  </si>
  <si>
    <t>Long</t>
    <phoneticPr fontId="2" type="noConversion"/>
  </si>
  <si>
    <t>Middle</t>
    <phoneticPr fontId="2" type="noConversion"/>
  </si>
  <si>
    <t>Volvo XC90</t>
    <phoneticPr fontId="2" type="noConversion"/>
  </si>
  <si>
    <t>BMWX5</t>
    <phoneticPr fontId="2" type="noConversion"/>
  </si>
  <si>
    <t>BYD Tang</t>
    <phoneticPr fontId="2" type="noConversion"/>
  </si>
  <si>
    <t>JAC A60</t>
    <phoneticPr fontId="2" type="noConversion"/>
  </si>
  <si>
    <t>Tesla modelx</t>
    <phoneticPr fontId="2" type="noConversion"/>
  </si>
  <si>
    <t>Tesla model Y</t>
    <phoneticPr fontId="2" type="noConversion"/>
  </si>
  <si>
    <t>Aiway U5</t>
    <phoneticPr fontId="2" type="noConversion"/>
  </si>
  <si>
    <t>Roewe MarvelX</t>
    <phoneticPr fontId="2" type="noConversion"/>
  </si>
  <si>
    <t>Middle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</si>
  <si>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</si>
  <si>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</si>
  <si>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</si>
  <si>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Short</t>
    <phoneticPr fontId="2" type="noConversion"/>
  </si>
  <si>
    <t>Post 2030</t>
    <phoneticPr fontId="2" type="noConversion"/>
  </si>
  <si>
    <r>
      <t xml:space="preserve">ICEV             </t>
    </r>
    <r>
      <rPr>
        <b/>
        <vertAlign val="superscript"/>
        <sz val="22"/>
        <color theme="1"/>
        <rFont val="宋体"/>
        <family val="3"/>
        <charset val="134"/>
        <scheme val="minor"/>
      </rPr>
      <t>BEV</t>
    </r>
    <phoneticPr fontId="2" type="noConversion"/>
  </si>
  <si>
    <t>BYD Yuan EV360（SUV）
比亚迪 元 EV360</t>
    <phoneticPr fontId="2" type="noConversion"/>
  </si>
  <si>
    <t>BYD Yuan EV（SUV）
比亚迪 元 EV</t>
    <phoneticPr fontId="2" type="noConversion"/>
  </si>
  <si>
    <t>Hyundai ENCINO（SUV）
现代昂希诺纯电</t>
    <phoneticPr fontId="2" type="noConversion"/>
  </si>
  <si>
    <t>Honda VE-1（SUV）
本田VE-1纯电</t>
    <phoneticPr fontId="2" type="noConversion"/>
  </si>
  <si>
    <t>Honda XNV（SUV）
本田XNV</t>
    <phoneticPr fontId="2" type="noConversion"/>
  </si>
  <si>
    <t>Hyundai Encore（SUV）
现代昂希诺</t>
    <phoneticPr fontId="2" type="noConversion"/>
  </si>
  <si>
    <r>
      <t xml:space="preserve">ICEV           </t>
    </r>
    <r>
      <rPr>
        <b/>
        <vertAlign val="superscript"/>
        <sz val="22"/>
        <color theme="1"/>
        <rFont val="宋体"/>
        <family val="3"/>
        <charset val="134"/>
        <scheme val="minor"/>
      </rPr>
      <t>BEV</t>
    </r>
    <phoneticPr fontId="2" type="noConversion"/>
  </si>
  <si>
    <r>
      <t xml:space="preserve">ICEV            </t>
    </r>
    <r>
      <rPr>
        <b/>
        <vertAlign val="superscript"/>
        <sz val="22"/>
        <color theme="1"/>
        <rFont val="宋体"/>
        <family val="3"/>
        <charset val="134"/>
        <scheme val="minor"/>
      </rPr>
      <t>BEV</t>
    </r>
    <phoneticPr fontId="2" type="noConversion"/>
  </si>
  <si>
    <r>
      <t xml:space="preserve">ICEV         </t>
    </r>
    <r>
      <rPr>
        <b/>
        <vertAlign val="superscript"/>
        <sz val="22"/>
        <color theme="1"/>
        <rFont val="宋体"/>
        <family val="3"/>
        <charset val="134"/>
        <scheme val="minor"/>
      </rPr>
      <t>BEV</t>
    </r>
    <phoneticPr fontId="2" type="noConversion"/>
  </si>
  <si>
    <t>Post 2030</t>
    <phoneticPr fontId="2" type="noConversion"/>
  </si>
  <si>
    <t>Total</t>
    <phoneticPr fontId="2" type="noConversion"/>
  </si>
  <si>
    <t>Chery eQ1
奇瑞eQ1</t>
  </si>
  <si>
    <t>JAC iEV6E
江淮iEV6E</t>
  </si>
  <si>
    <t>SGMW E100
上汽通用宝骏E100</t>
  </si>
  <si>
    <t>SGMW E200
上汽通用宝骏E200</t>
  </si>
  <si>
    <t>Changan EV360
长安EV360</t>
  </si>
  <si>
    <t>Zotye E200
众泰E200</t>
  </si>
  <si>
    <t>Zhidou D2
知豆D2</t>
  </si>
  <si>
    <t>A00 (10km/day)</t>
  </si>
  <si>
    <t>A00 (10km/day)</t>
    <phoneticPr fontId="2" type="noConversion"/>
  </si>
  <si>
    <t>A00 (20km/day)</t>
  </si>
  <si>
    <t>A00 (20km/day)</t>
    <phoneticPr fontId="2" type="noConversion"/>
  </si>
  <si>
    <t>A00 (40km/day)</t>
  </si>
  <si>
    <t>A00 (40km/day)</t>
    <phoneticPr fontId="2" type="noConversion"/>
  </si>
  <si>
    <t>A00 (60km/day)</t>
  </si>
  <si>
    <t>A00 (60km/day)</t>
    <phoneticPr fontId="2" type="noConversion"/>
  </si>
  <si>
    <t>A 20km/day</t>
  </si>
  <si>
    <t>A 20km/day</t>
    <phoneticPr fontId="2" type="noConversion"/>
  </si>
  <si>
    <t>A 40km/day</t>
  </si>
  <si>
    <t>A 40km/day</t>
    <phoneticPr fontId="2" type="noConversion"/>
  </si>
  <si>
    <t>A 60km/day</t>
  </si>
  <si>
    <t>A 60km/day</t>
    <phoneticPr fontId="2" type="noConversion"/>
  </si>
  <si>
    <t>A 80km/day</t>
  </si>
  <si>
    <t>A 80km/day</t>
    <phoneticPr fontId="2" type="noConversion"/>
  </si>
  <si>
    <t>A 300km/day</t>
  </si>
  <si>
    <t>A 300km/day</t>
    <phoneticPr fontId="2" type="noConversion"/>
  </si>
  <si>
    <t>B 300km/day</t>
  </si>
  <si>
    <t>B 300km/day</t>
    <phoneticPr fontId="2" type="noConversion"/>
  </si>
  <si>
    <t>B 40km/day</t>
  </si>
  <si>
    <t>B 40km/day</t>
    <phoneticPr fontId="2" type="noConversion"/>
  </si>
  <si>
    <t>B 60km/day</t>
  </si>
  <si>
    <t>B 60km/day</t>
    <phoneticPr fontId="2" type="noConversion"/>
  </si>
  <si>
    <t>B 80km/day</t>
  </si>
  <si>
    <t>B 80km/day</t>
    <phoneticPr fontId="2" type="noConversion"/>
  </si>
  <si>
    <t>B 20km/day</t>
  </si>
  <si>
    <t>B 20km/day</t>
    <phoneticPr fontId="2" type="noConversion"/>
  </si>
  <si>
    <t>B 30km/day</t>
  </si>
  <si>
    <t>B 30km/day</t>
    <phoneticPr fontId="2" type="noConversion"/>
  </si>
  <si>
    <t>C 60km/day</t>
  </si>
  <si>
    <t>C 60km/day</t>
    <phoneticPr fontId="2" type="noConversion"/>
  </si>
  <si>
    <t>C 80km/day</t>
  </si>
  <si>
    <t>C 80km/day</t>
    <phoneticPr fontId="2" type="noConversion"/>
  </si>
  <si>
    <t>C 90km/day</t>
  </si>
  <si>
    <t>C 90km/day</t>
    <phoneticPr fontId="2" type="noConversion"/>
  </si>
  <si>
    <t>C 120km/day</t>
  </si>
  <si>
    <t>C 120km/day</t>
    <phoneticPr fontId="2" type="noConversion"/>
  </si>
  <si>
    <t>C 40km/day</t>
  </si>
  <si>
    <t>C 40km/day</t>
    <phoneticPr fontId="2" type="noConversion"/>
  </si>
  <si>
    <t>C 30km/day</t>
  </si>
  <si>
    <t>C 30km/day</t>
    <phoneticPr fontId="2" type="noConversion"/>
  </si>
  <si>
    <t>C 20km/day</t>
  </si>
  <si>
    <t>C 20km/day</t>
    <phoneticPr fontId="2" type="noConversion"/>
  </si>
  <si>
    <t>C 300km/day</t>
  </si>
  <si>
    <t>C 300km/day</t>
    <phoneticPr fontId="2" type="noConversion"/>
  </si>
  <si>
    <t>A 30km/day</t>
  </si>
  <si>
    <t>A 30km/day</t>
    <phoneticPr fontId="2" type="noConversion"/>
  </si>
  <si>
    <t>A00 (80km/day)</t>
  </si>
  <si>
    <t>A00 (80km/day)</t>
    <phoneticPr fontId="2" type="noConversion"/>
  </si>
  <si>
    <t>Average Price</t>
    <phoneticPr fontId="2" type="noConversion"/>
  </si>
  <si>
    <t>A00</t>
    <phoneticPr fontId="2" type="noConversion"/>
  </si>
  <si>
    <t>ICEV</t>
    <phoneticPr fontId="2" type="noConversion"/>
  </si>
  <si>
    <t>BEV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</si>
  <si>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</si>
  <si>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</si>
  <si>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</si>
  <si>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Changan EADO Xt</t>
    <phoneticPr fontId="2" type="noConversion"/>
  </si>
  <si>
    <t>Cadillac</t>
    <phoneticPr fontId="2" type="noConversion"/>
  </si>
  <si>
    <t>A00 (300km/day)</t>
    <phoneticPr fontId="2" type="noConversion"/>
  </si>
  <si>
    <t>A00 10km/day</t>
    <phoneticPr fontId="2" type="noConversion"/>
  </si>
  <si>
    <t>A00 20km/day</t>
    <phoneticPr fontId="2" type="noConversion"/>
  </si>
  <si>
    <t>A00 40km/day</t>
    <phoneticPr fontId="2" type="noConversion"/>
  </si>
  <si>
    <t>A00 60km/day</t>
    <phoneticPr fontId="2" type="noConversion"/>
  </si>
  <si>
    <t>A00 300km/day</t>
    <phoneticPr fontId="2" type="noConversion"/>
  </si>
  <si>
    <t>A Class ICEV Sample Avg</t>
  </si>
  <si>
    <t>A Class ICEV Sample Avg</t>
    <phoneticPr fontId="2" type="noConversion"/>
  </si>
  <si>
    <t>A Class BEV Sample Avg</t>
  </si>
  <si>
    <t>A Class BEV Sample Avg</t>
    <phoneticPr fontId="2" type="noConversion"/>
  </si>
  <si>
    <t>A00 Class ICEV Sample Avg</t>
    <phoneticPr fontId="2" type="noConversion"/>
  </si>
  <si>
    <t>A00 Class BEV Sample Avg</t>
  </si>
  <si>
    <t>A00 Class BEV Sample Avg</t>
    <phoneticPr fontId="2" type="noConversion"/>
  </si>
  <si>
    <t>A00 Class ICEV Sample Avg</t>
    <phoneticPr fontId="2" type="noConversion"/>
  </si>
  <si>
    <t>A00 Class ICEV Sample Avg</t>
    <phoneticPr fontId="2" type="noConversion"/>
  </si>
  <si>
    <t>A00 Class ICEV Sample Avg</t>
    <phoneticPr fontId="2" type="noConversion"/>
  </si>
  <si>
    <t>A00 Class ICEV Sample Avg</t>
    <phoneticPr fontId="2" type="noConversion"/>
  </si>
  <si>
    <t>A Class BEV Sample Avg</t>
    <phoneticPr fontId="2" type="noConversion"/>
  </si>
  <si>
    <t>A Class ICEV Sample Avg</t>
    <phoneticPr fontId="2" type="noConversion"/>
  </si>
  <si>
    <t>A Class ICEV Sample Avg</t>
    <phoneticPr fontId="2" type="noConversion"/>
  </si>
  <si>
    <t>A Class ICEV Sample Avg</t>
    <phoneticPr fontId="2" type="noConversion"/>
  </si>
  <si>
    <t>B Class BEV Sample Avg</t>
  </si>
  <si>
    <t>B Class BEV Sample Avg</t>
    <phoneticPr fontId="2" type="noConversion"/>
  </si>
  <si>
    <t>B Class ICEV Sample Avg</t>
  </si>
  <si>
    <t>B Class ICEV Sample Avg</t>
    <phoneticPr fontId="2" type="noConversion"/>
  </si>
  <si>
    <t>B Class ICEV Sample Avg</t>
    <phoneticPr fontId="2" type="noConversion"/>
  </si>
  <si>
    <t>B Class ICEV Sample Avg</t>
    <phoneticPr fontId="2" type="noConversion"/>
  </si>
  <si>
    <t>B Class ICEV Sample Avg</t>
    <phoneticPr fontId="2" type="noConversion"/>
  </si>
  <si>
    <t>B Class ICEV Sample Avg</t>
    <phoneticPr fontId="2" type="noConversion"/>
  </si>
  <si>
    <t>B Class ICEV Sample Avg</t>
    <phoneticPr fontId="2" type="noConversion"/>
  </si>
  <si>
    <t>C Class BEV Sample Avg</t>
    <phoneticPr fontId="2" type="noConversion"/>
  </si>
  <si>
    <t>C Class ICEV Sample Avg</t>
    <phoneticPr fontId="2" type="noConversion"/>
  </si>
  <si>
    <t>C Class ICEV Sample Avg</t>
    <phoneticPr fontId="2" type="noConversion"/>
  </si>
  <si>
    <t>C Class ICEV Sample Avg</t>
    <phoneticPr fontId="2" type="noConversion"/>
  </si>
  <si>
    <t>C Class ICEV Sample Avg</t>
    <phoneticPr fontId="2" type="noConversion"/>
  </si>
  <si>
    <t>A00 Class BEV Sample Avg</t>
    <phoneticPr fontId="2" type="noConversion"/>
  </si>
  <si>
    <t>A00 Class ICEV Sample Avg</t>
    <phoneticPr fontId="2" type="noConversion"/>
  </si>
  <si>
    <t>A00 BEV</t>
    <phoneticPr fontId="2" type="noConversion"/>
  </si>
  <si>
    <t>A00 ICEV</t>
    <phoneticPr fontId="2" type="noConversion"/>
  </si>
  <si>
    <t>A BEV</t>
    <phoneticPr fontId="2" type="noConversion"/>
  </si>
  <si>
    <t>A ICEV</t>
    <phoneticPr fontId="2" type="noConversion"/>
  </si>
  <si>
    <t>B BEV</t>
    <phoneticPr fontId="2" type="noConversion"/>
  </si>
  <si>
    <t>B ICEV</t>
    <phoneticPr fontId="2" type="noConversion"/>
  </si>
  <si>
    <t>C BEV</t>
    <phoneticPr fontId="2" type="noConversion"/>
  </si>
  <si>
    <t>C ICEV</t>
    <phoneticPr fontId="2" type="noConversion"/>
  </si>
  <si>
    <t>Price</t>
    <phoneticPr fontId="2" type="noConversion"/>
  </si>
  <si>
    <t>10km/day</t>
    <phoneticPr fontId="2" type="noConversion"/>
  </si>
  <si>
    <t>20km/day</t>
    <phoneticPr fontId="2" type="noConversion"/>
  </si>
  <si>
    <t>30km/day</t>
    <phoneticPr fontId="2" type="noConversion"/>
  </si>
  <si>
    <t>40km/day</t>
    <phoneticPr fontId="2" type="noConversion"/>
  </si>
  <si>
    <t>60km/day</t>
    <phoneticPr fontId="2" type="noConversion"/>
  </si>
  <si>
    <t>80km/day</t>
    <phoneticPr fontId="2" type="noConversion"/>
  </si>
  <si>
    <t>300km/day</t>
    <phoneticPr fontId="2" type="noConversion"/>
  </si>
  <si>
    <t>TCO 2019</t>
    <phoneticPr fontId="2" type="noConversion"/>
  </si>
  <si>
    <t>PVS</t>
    <phoneticPr fontId="2" type="noConversion"/>
  </si>
  <si>
    <t>statista</t>
    <phoneticPr fontId="2" type="noConversion"/>
  </si>
  <si>
    <t>https://insideevs.com/news/393067/plugin-car-sales-germany-december-2019/</t>
  </si>
  <si>
    <t>Normal Charge (&lt;=22kw)</t>
    <phoneticPr fontId="2" type="noConversion"/>
  </si>
  <si>
    <t>ChaDeMo</t>
    <phoneticPr fontId="2" type="noConversion"/>
  </si>
  <si>
    <t>CCS</t>
    <phoneticPr fontId="2" type="noConversion"/>
  </si>
  <si>
    <t>Type-2AC</t>
    <phoneticPr fontId="2" type="noConversion"/>
  </si>
  <si>
    <t>Tesla SC</t>
    <phoneticPr fontId="2" type="noConversion"/>
  </si>
  <si>
    <t>Total</t>
    <phoneticPr fontId="2" type="noConversion"/>
  </si>
  <si>
    <t>DC</t>
    <phoneticPr fontId="2" type="noConversion"/>
  </si>
  <si>
    <t>AC</t>
    <phoneticPr fontId="2" type="noConversion"/>
  </si>
  <si>
    <t>AC/DC</t>
    <phoneticPr fontId="2" type="noConversion"/>
  </si>
  <si>
    <t>中国产业信息网</t>
    <phoneticPr fontId="2" type="noConversion"/>
  </si>
  <si>
    <t>chyxx.com</t>
    <phoneticPr fontId="2" type="noConversion"/>
  </si>
  <si>
    <t>BEV</t>
    <phoneticPr fontId="2" type="noConversion"/>
  </si>
  <si>
    <t>Commercial</t>
    <phoneticPr fontId="2" type="noConversion"/>
  </si>
  <si>
    <t>BEV/total</t>
    <phoneticPr fontId="2" type="noConversion"/>
  </si>
  <si>
    <t>BEV/DC</t>
    <phoneticPr fontId="2" type="noConversion"/>
  </si>
  <si>
    <t>Public Charging Piles</t>
    <phoneticPr fontId="2" type="noConversion"/>
  </si>
  <si>
    <t>BEV Sales</t>
    <phoneticPr fontId="2" type="noConversion"/>
  </si>
  <si>
    <t>Public Charging Piles</t>
    <phoneticPr fontId="2" type="noConversion"/>
  </si>
  <si>
    <t>Historical Data</t>
    <phoneticPr fontId="2" type="noConversion"/>
  </si>
  <si>
    <t>Projected Data</t>
    <phoneticPr fontId="2" type="noConversion"/>
  </si>
  <si>
    <t>Tesla Model S</t>
    <phoneticPr fontId="2" type="noConversion"/>
  </si>
  <si>
    <t>Nissan Leaf</t>
    <phoneticPr fontId="2" type="noConversion"/>
  </si>
  <si>
    <t>BMW i3</t>
    <phoneticPr fontId="2" type="noConversion"/>
  </si>
  <si>
    <t>Kia Soul EV</t>
    <phoneticPr fontId="2" type="noConversion"/>
  </si>
  <si>
    <t>Tesla Model 3</t>
    <phoneticPr fontId="2" type="noConversion"/>
  </si>
  <si>
    <t>BAIC EU5</t>
    <phoneticPr fontId="2" type="noConversion"/>
  </si>
  <si>
    <t>Roewe Ei5</t>
    <phoneticPr fontId="2" type="noConversion"/>
  </si>
  <si>
    <t>Volkswagen eGolf</t>
    <phoneticPr fontId="2" type="noConversion"/>
  </si>
  <si>
    <t>BYD Qin EV</t>
    <phoneticPr fontId="2" type="noConversion"/>
  </si>
  <si>
    <t>n/a</t>
    <phoneticPr fontId="2" type="noConversion"/>
  </si>
  <si>
    <t>km (NEDC)</t>
    <phoneticPr fontId="2" type="noConversion"/>
  </si>
  <si>
    <t>n/a</t>
    <phoneticPr fontId="2" type="noConversion"/>
  </si>
  <si>
    <t>n/a</t>
    <phoneticPr fontId="2" type="noConversion"/>
  </si>
  <si>
    <t>n/a</t>
    <phoneticPr fontId="2" type="noConversion"/>
  </si>
  <si>
    <t>n/a</t>
    <phoneticPr fontId="2" type="noConversion"/>
  </si>
  <si>
    <t>n/a</t>
    <phoneticPr fontId="2" type="noConversion"/>
  </si>
  <si>
    <t>n/a</t>
    <phoneticPr fontId="2" type="noConversion"/>
  </si>
  <si>
    <t>Ford Focus EV</t>
    <phoneticPr fontId="2" type="noConversion"/>
  </si>
  <si>
    <t>Ave Annual Percentage Increase</t>
    <phoneticPr fontId="2" type="noConversion"/>
  </si>
  <si>
    <t>BYD QIN EV
比亚迪秦EV</t>
  </si>
  <si>
    <t>BYD QIN EV450
比亚迪秦EV450</t>
  </si>
  <si>
    <t>BAIC EU7
北汽EU7</t>
  </si>
  <si>
    <t>JAC iC5
江淮iC5</t>
  </si>
  <si>
    <t>JAC iEVA50
江淮iEVA50</t>
  </si>
  <si>
    <t>Gac-Toyota iA5
丰田iA5</t>
  </si>
  <si>
    <t>BAIC EU 5
北汽EU5</t>
  </si>
  <si>
    <t>JAC iEV7L
江淮iEV7L</t>
  </si>
  <si>
    <t>Roewe ei5
荣威ei5</t>
  </si>
  <si>
    <t>BMW i3
宝马i3</t>
  </si>
  <si>
    <t>Honda XNV（SUV）
本田XNV</t>
  </si>
  <si>
    <t>Hyundai lafesta ev
现代菲斯塔</t>
    <phoneticPr fontId="2" type="noConversion"/>
  </si>
  <si>
    <t>GAC NE Aion S
广汽新能源AionS</t>
    <phoneticPr fontId="2" type="noConversion"/>
  </si>
  <si>
    <t>GAC NE GE3
广汽新能源GE3</t>
    <phoneticPr fontId="2" type="noConversion"/>
  </si>
  <si>
    <t>GAC NE Aion S广汽新能源</t>
    <phoneticPr fontId="2" type="noConversion"/>
  </si>
  <si>
    <t>GAC NE GE530 广汽新能源</t>
    <phoneticPr fontId="2" type="noConversion"/>
  </si>
  <si>
    <t>Roewe RX5 eMax （SUV）
荣威RX5</t>
  </si>
  <si>
    <t>Changan EADO EV460
长安逸动EV460</t>
  </si>
  <si>
    <t>BYD Yuan EV360（SUV）
比亚迪 元 EV360</t>
    <phoneticPr fontId="2" type="noConversion"/>
  </si>
  <si>
    <t>Weltmeister EX5 （SUV）
威马EX5</t>
    <phoneticPr fontId="2" type="noConversion"/>
  </si>
  <si>
    <t>Tesla Model Y （SUV）
特斯拉ModelY</t>
    <phoneticPr fontId="2" type="noConversion"/>
  </si>
  <si>
    <t>Tesla Model S
特斯拉 Model S</t>
    <phoneticPr fontId="2" type="noConversion"/>
  </si>
  <si>
    <t>Nio es8 （SUV）
蔚来es8</t>
    <phoneticPr fontId="2" type="noConversion"/>
  </si>
  <si>
    <t>Jaguar I-Pace
捷豹I-PACE</t>
    <phoneticPr fontId="2" type="noConversion"/>
  </si>
  <si>
    <t>Volkswagen e-Bora
大众e宝来</t>
    <phoneticPr fontId="2" type="noConversion"/>
  </si>
  <si>
    <t>Volkswagen e-Golf
大众e高尔夫</t>
    <phoneticPr fontId="2" type="noConversion"/>
  </si>
  <si>
    <t>Weltmeister EX6 （SUV）
威马EX6</t>
    <phoneticPr fontId="2" type="noConversion"/>
  </si>
  <si>
    <t>Ford Territory EV （SUV）
福特领界</t>
    <phoneticPr fontId="2" type="noConversion"/>
  </si>
  <si>
    <t>BYD Tang EV （SUV）
比亚迪唐纯电</t>
    <phoneticPr fontId="2" type="noConversion"/>
  </si>
  <si>
    <t>Roewe MarvelX （SUV）
荣威MarvelX</t>
    <phoneticPr fontId="2" type="noConversion"/>
  </si>
  <si>
    <t>Honda VE-1（SUV）
本田VE-1纯电</t>
    <phoneticPr fontId="2" type="noConversion"/>
  </si>
  <si>
    <t>Hyundai ENCINO（SUV）
现代昂希诺纯电</t>
    <phoneticPr fontId="2" type="noConversion"/>
  </si>
  <si>
    <t>DENZA X（SUV）
腾势X</t>
    <phoneticPr fontId="2" type="noConversion"/>
  </si>
  <si>
    <t>Nissan Sylphy
尼桑轩逸</t>
    <phoneticPr fontId="2" type="noConversion"/>
  </si>
  <si>
    <t>Audi e-tron
奥迪e-tron</t>
    <phoneticPr fontId="2" type="noConversion"/>
  </si>
  <si>
    <t>Buick Velite 6
别克微蓝6</t>
    <phoneticPr fontId="2" type="noConversion"/>
  </si>
  <si>
    <t>Changhe EC100
北汽昌河EC100</t>
    <phoneticPr fontId="2" type="noConversion"/>
  </si>
  <si>
    <t>BAIC Lite
北汽新能源Lite</t>
    <phoneticPr fontId="2" type="noConversion"/>
  </si>
  <si>
    <t>Hyundai festa ev
现代菲斯塔</t>
    <phoneticPr fontId="2" type="noConversion"/>
  </si>
  <si>
    <t>Tesla Model 3
特斯拉 Model 3</t>
    <phoneticPr fontId="2" type="noConversion"/>
  </si>
  <si>
    <t>Aiways U5 （SUV）
爱驰U5</t>
    <phoneticPr fontId="2" type="noConversion"/>
  </si>
  <si>
    <t>JMEV E200L
江铃E200L</t>
    <phoneticPr fontId="2" type="noConversion"/>
  </si>
  <si>
    <t>Mercedes Benz EQC （SUV）
奔驰EQC</t>
    <phoneticPr fontId="2" type="noConversion"/>
  </si>
  <si>
    <t>BYD Qin Pro EV-Supreme
比亚迪秦Pro EV</t>
    <phoneticPr fontId="2" type="noConversion"/>
  </si>
  <si>
    <t>Nio es6 （SUV）
蔚来es6</t>
    <phoneticPr fontId="2" type="noConversion"/>
  </si>
  <si>
    <t>BYD Yuan EV（SUV）
比亚迪 元 EV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</si>
  <si>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</si>
  <si>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</si>
  <si>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</si>
  <si>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A00</t>
    <phoneticPr fontId="2" type="noConversion"/>
  </si>
  <si>
    <t>Country</t>
    <phoneticPr fontId="2" type="noConversion"/>
  </si>
  <si>
    <t>Company</t>
    <phoneticPr fontId="2" type="noConversion"/>
  </si>
  <si>
    <t>200-2025</t>
    <phoneticPr fontId="2" type="noConversion"/>
  </si>
  <si>
    <t>2025-2030</t>
    <phoneticPr fontId="2" type="noConversion"/>
  </si>
  <si>
    <t>Ford</t>
    <phoneticPr fontId="2" type="noConversion"/>
  </si>
  <si>
    <t>a. 10-25% of Ford Vehicles would be NEVs in Global Sales
b. Launch 13 NEV models in 2020
c. NEVs would make up 70% of Ford sales in China before 2025</t>
    <phoneticPr fontId="2" type="noConversion"/>
  </si>
  <si>
    <t>n/a</t>
    <phoneticPr fontId="2" type="noConversion"/>
  </si>
  <si>
    <t>General Motor</t>
    <phoneticPr fontId="2" type="noConversion"/>
  </si>
  <si>
    <t>a. 150,000 NEV sales in China
b. Launch 10 NEV models in 2020 and another 20 models in 2023
c. Continue developing BEV technolgies</t>
    <phoneticPr fontId="2" type="noConversion"/>
  </si>
  <si>
    <t>Tesla</t>
    <phoneticPr fontId="2" type="noConversion"/>
  </si>
  <si>
    <t>a. 500,000 global sales in 2020
b. Invest in smart and shared transportation
c. Further developing high-end sedans and SUVs</t>
    <phoneticPr fontId="2" type="noConversion"/>
  </si>
  <si>
    <t>Launch heavy trucks and other densely-populated transportation vehicles</t>
    <phoneticPr fontId="2" type="noConversion"/>
  </si>
  <si>
    <t>500,000 NEV sales in China</t>
    <phoneticPr fontId="2" type="noConversion"/>
  </si>
  <si>
    <t>Toyota</t>
    <phoneticPr fontId="2" type="noConversion"/>
  </si>
  <si>
    <t xml:space="preserve">a. 1.5 million HEV global sales and 30,000 FCVs by 2020
b. Continue pushing for PHEV production and research </t>
    <phoneticPr fontId="2" type="noConversion"/>
  </si>
  <si>
    <t>Make HEV &amp; PHEV make up 70% of sales. FCV and 
BEV make up the remaining 30%</t>
    <phoneticPr fontId="2" type="noConversion"/>
  </si>
  <si>
    <t>Honda</t>
    <phoneticPr fontId="2" type="noConversion"/>
  </si>
  <si>
    <t>Collaborate with GM on FCVs and make FCVs to the market</t>
    <phoneticPr fontId="2" type="noConversion"/>
  </si>
  <si>
    <t>HEV, BEV and FCVs make up 2/3 of the sales by 2030</t>
    <phoneticPr fontId="2" type="noConversion"/>
  </si>
  <si>
    <t>Nissan</t>
    <phoneticPr fontId="2" type="noConversion"/>
  </si>
  <si>
    <t>BEVs sales goals:
a. Japan and Europe 40% by 2022, 50% by 2025
b. 20-30% in the U.S. and 35-40% in China
c. Launch 8 BEV models 
d. Infiniti would make up 50% of its total BEV sales by 2025</t>
    <phoneticPr fontId="2" type="noConversion"/>
  </si>
  <si>
    <t>BMW</t>
    <phoneticPr fontId="2" type="noConversion"/>
  </si>
  <si>
    <t>a. Launch 25 NEV models before 2025
b. NEV sales would make up 15-25% of global sales by 2025</t>
    <phoneticPr fontId="2" type="noConversion"/>
  </si>
  <si>
    <t>n/a</t>
    <phoneticPr fontId="2" type="noConversion"/>
  </si>
  <si>
    <t>Volkswagen</t>
    <phoneticPr fontId="2" type="noConversion"/>
  </si>
  <si>
    <t>a. BEV reach 2-3 million global sales making up 20-25% of its total sales
b. Lauch 25 new BEV models and planning to sell 400K NEVs in 2020, 1.5M by 2025</t>
    <phoneticPr fontId="2" type="noConversion"/>
  </si>
  <si>
    <t>Provide NEV options for all models for consumers</t>
    <phoneticPr fontId="2" type="noConversion"/>
  </si>
  <si>
    <t>Mercedes Benz</t>
    <phoneticPr fontId="2" type="noConversion"/>
  </si>
  <si>
    <t>a. BEV make up 15-25% of global sales by 2025
b. Invest 10 billion Euros in NEV R&amp;D
c. Launch cumulative 50 NEV models by 2020,in which 10 are BEVs
d. Provide NEV options for all models by 2022</t>
    <phoneticPr fontId="2" type="noConversion"/>
  </si>
  <si>
    <t>SGMW</t>
    <phoneticPr fontId="2" type="noConversion"/>
  </si>
  <si>
    <t>a. The only company in China that covered PHEV, BEV, and FCV
b. Plan to sell 600K NEVs by 2020, in which 20K are independent brands</t>
    <phoneticPr fontId="2" type="noConversion"/>
  </si>
  <si>
    <t>n/a</t>
    <phoneticPr fontId="2" type="noConversion"/>
  </si>
  <si>
    <t>BAIC</t>
    <phoneticPr fontId="2" type="noConversion"/>
  </si>
  <si>
    <t>a. Plan to sell 500K vehicles and established 800K production capabilities
b. Lauch 18 different BEV models
c. Make all models BEV and stop selling ICEVs by 2025</t>
    <phoneticPr fontId="2" type="noConversion"/>
  </si>
  <si>
    <t xml:space="preserve">BYD </t>
    <phoneticPr fontId="2" type="noConversion"/>
  </si>
  <si>
    <t>a. Continue cooperating with overseas partners for R&amp;D in battery research
b. Further on the BEV and PHEV strategies and lauch new modesl every year</t>
    <phoneticPr fontId="2" type="noConversion"/>
  </si>
  <si>
    <t xml:space="preserve">USA </t>
    <phoneticPr fontId="2" type="noConversion"/>
  </si>
  <si>
    <t>Japan</t>
    <phoneticPr fontId="2" type="noConversion"/>
  </si>
  <si>
    <t>Germany</t>
    <phoneticPr fontId="2" type="noConversion"/>
  </si>
  <si>
    <t>China</t>
    <phoneticPr fontId="2" type="noConversion"/>
  </si>
  <si>
    <t xml:space="preserve"> </t>
    <phoneticPr fontId="2" type="noConversion"/>
  </si>
  <si>
    <t xml:space="preserve">Tesla Model S
</t>
    <phoneticPr fontId="2" type="noConversion"/>
  </si>
  <si>
    <t xml:space="preserve">Tesla Model Y （SUV）
</t>
    <phoneticPr fontId="2" type="noConversion"/>
  </si>
  <si>
    <t xml:space="preserve">Mercedes Benz EQC （SUV）
</t>
    <phoneticPr fontId="2" type="noConversion"/>
  </si>
  <si>
    <t xml:space="preserve">Nio es6 （SUV）
</t>
    <phoneticPr fontId="2" type="noConversion"/>
  </si>
  <si>
    <t xml:space="preserve">Nio es8 （SUV）
</t>
    <phoneticPr fontId="2" type="noConversion"/>
  </si>
  <si>
    <t xml:space="preserve">Jaguar I-Pace
</t>
    <phoneticPr fontId="2" type="noConversion"/>
  </si>
  <si>
    <t xml:space="preserve">Audi e-tron
</t>
    <phoneticPr fontId="2" type="noConversion"/>
  </si>
  <si>
    <t xml:space="preserve">BYD Tang EV （SUV）
</t>
    <phoneticPr fontId="2" type="noConversion"/>
  </si>
  <si>
    <t xml:space="preserve">Aiways U5 （SUV）
</t>
    <phoneticPr fontId="2" type="noConversion"/>
  </si>
  <si>
    <t xml:space="preserve">DENZA X（SUV）
</t>
    <phoneticPr fontId="2" type="noConversion"/>
  </si>
  <si>
    <t xml:space="preserve">Roewe MarvelX （SUV）
</t>
    <phoneticPr fontId="2" type="noConversion"/>
  </si>
  <si>
    <t xml:space="preserve">JAC Ruifeng A60
</t>
    <phoneticPr fontId="2" type="noConversion"/>
  </si>
  <si>
    <t xml:space="preserve">Mercedes Benz GLC （SUV）
</t>
    <phoneticPr fontId="2" type="noConversion"/>
  </si>
  <si>
    <t xml:space="preserve">Mercedes Benz C Class
</t>
    <phoneticPr fontId="2" type="noConversion"/>
  </si>
  <si>
    <t xml:space="preserve">BMW X3 （SUV）
</t>
    <phoneticPr fontId="2" type="noConversion"/>
  </si>
  <si>
    <t xml:space="preserve">BMW X5 （SUV）
</t>
    <phoneticPr fontId="2" type="noConversion"/>
  </si>
  <si>
    <t xml:space="preserve">Jaguar F-Type
</t>
    <phoneticPr fontId="2" type="noConversion"/>
  </si>
  <si>
    <t xml:space="preserve">Audi SQ5 （SUV）
</t>
    <phoneticPr fontId="2" type="noConversion"/>
  </si>
  <si>
    <t xml:space="preserve">BYD Tang （SUV）
</t>
    <phoneticPr fontId="2" type="noConversion"/>
  </si>
  <si>
    <t xml:space="preserve">Volvo XC60 
</t>
    <phoneticPr fontId="2" type="noConversion"/>
  </si>
  <si>
    <t xml:space="preserve">Volvo XC90 
</t>
    <phoneticPr fontId="2" type="noConversion"/>
  </si>
  <si>
    <t xml:space="preserve">Toyota Highlander 
</t>
    <phoneticPr fontId="2" type="noConversion"/>
  </si>
  <si>
    <t xml:space="preserve"> 
</t>
    <phoneticPr fontId="2" type="noConversion"/>
  </si>
  <si>
    <t>Toyota IZOA
丰田奕泽</t>
    <phoneticPr fontId="2" type="noConversion"/>
  </si>
  <si>
    <t>simple exopnential growth</t>
    <phoneticPr fontId="2" type="noConversion"/>
  </si>
  <si>
    <t>Linear growth (0.9)</t>
    <phoneticPr fontId="2" type="noConversion"/>
  </si>
  <si>
    <t>Wheelbase 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</si>
</sst>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8" formatCode="&quot;¥&quot;#,##0.00;[Red]&quot;¥&quot;\-#,##0.00"/>
    <numFmt numFmtId="43" formatCode="_ * #,##0.00_ ;_ * \-#,##0.00_ ;_ * &quot;-&quot;??_ ;_ @_ "/>
    <numFmt numFmtId="176" formatCode="0_);[Red]\(0\)"/>
    <numFmt numFmtId="177" formatCode="_ * #,##0_ ;_ * \-#,##0_ ;_ * &quot;-&quot;??_ ;_ @_ "/>
    <numFmt numFmtId="178" formatCode="0.0%"/>
    <numFmt numFmtId="180" formatCode="0.00000"/>
    <numFmt numFmtId="181" formatCode="_ * #,##0.0_ ;_ * \-#,##0.0_ ;_ * &quot;-&quot;??_ ;_ @_ "/>
    <numFmt numFmtId="182" formatCode="0.00_);[Red]\(0.00\)"/>
    <numFmt numFmtId="183" formatCode="_ * #,##0.0_ ;_ * \-#,##0.0_ ;_ * &quot;-&quot;?_ ;_ @_ "/>
    <numFmt numFmtId="184" formatCode="_ * #,##0_ ;_ * \-#,##0_ ;_ * &quot;-&quot;?_ ;_ @_ "/>
    <numFmt numFmtId="185" formatCode="0.0"/>
    <numFmt numFmtId="186" formatCode="_ * #,##0.000_ ;_ * \-#,##0.000_ ;_ * &quot;-&quot;??_ ;_ @_ "/>
  </numFmts>
  <fonts count="1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color theme="1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sz val="11"/>
      <color theme="0"/>
      <name val="宋体"/>
      <family val="2"/>
      <scheme val="minor"/>
    </font>
    <font>
      <vertAlign val="subscript"/>
      <sz val="11"/>
      <color theme="1"/>
      <name val="宋体"/>
      <family val="2"/>
      <scheme val="minor"/>
    </font>
    <font>
      <b/>
      <vertAlign val="subscript"/>
      <sz val="22"/>
      <color theme="1"/>
      <name val="宋体"/>
      <family val="3"/>
      <charset val="134"/>
      <scheme val="minor"/>
    </font>
    <font>
      <b/>
      <vertAlign val="superscript"/>
      <sz val="22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60">
    <xf numFmtId="0" fontId="0" fillId="0" borderId="0" xfId="0"/>
    <xf numFmtId="177" fontId="0" fillId="0" borderId="0" xfId="1" applyNumberFormat="1" applyFont="1" applyAlignment="1"/>
    <xf numFmtId="10" fontId="0" fillId="0" borderId="0" xfId="0" applyNumberFormat="1"/>
    <xf numFmtId="0" fontId="3" fillId="0" borderId="0" xfId="2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  <xf numFmtId="17" fontId="0" fillId="0" borderId="1" xfId="0" applyNumberFormat="1" applyBorder="1"/>
    <xf numFmtId="0" fontId="0" fillId="0" borderId="1" xfId="0" applyNumberFormat="1" applyBorder="1"/>
    <xf numFmtId="177" fontId="0" fillId="3" borderId="1" xfId="1" applyNumberFormat="1" applyFont="1" applyFill="1" applyBorder="1" applyAlignment="1"/>
    <xf numFmtId="177" fontId="0" fillId="5" borderId="1" xfId="1" applyNumberFormat="1" applyFont="1" applyFill="1" applyBorder="1" applyAlignment="1"/>
    <xf numFmtId="176" fontId="0" fillId="0" borderId="1" xfId="0" applyNumberFormat="1" applyBorder="1"/>
    <xf numFmtId="176" fontId="0" fillId="0" borderId="1" xfId="1" applyNumberFormat="1" applyFont="1" applyBorder="1" applyAlignment="1"/>
    <xf numFmtId="177" fontId="0" fillId="4" borderId="1" xfId="1" applyNumberFormat="1" applyFont="1" applyFill="1" applyBorder="1" applyAlignment="1"/>
    <xf numFmtId="177" fontId="4" fillId="3" borderId="1" xfId="1" applyNumberFormat="1" applyFont="1" applyFill="1" applyBorder="1" applyAlignment="1"/>
    <xf numFmtId="177" fontId="0" fillId="7" borderId="1" xfId="1" applyNumberFormat="1" applyFont="1" applyFill="1" applyBorder="1" applyAlignment="1"/>
    <xf numFmtId="10" fontId="0" fillId="6" borderId="1" xfId="3" applyNumberFormat="1" applyFont="1" applyFill="1" applyBorder="1" applyAlignment="1"/>
    <xf numFmtId="10" fontId="0" fillId="3" borderId="1" xfId="3" applyNumberFormat="1" applyFont="1" applyFill="1" applyBorder="1" applyAlignment="1"/>
    <xf numFmtId="10" fontId="0" fillId="0" borderId="0" xfId="3" applyNumberFormat="1" applyFont="1" applyAlignment="1"/>
    <xf numFmtId="177" fontId="5" fillId="3" borderId="1" xfId="1" applyNumberFormat="1" applyFont="1" applyFill="1" applyBorder="1" applyAlignment="1"/>
    <xf numFmtId="10" fontId="4" fillId="0" borderId="0" xfId="3" applyNumberFormat="1" applyFont="1" applyAlignment="1"/>
    <xf numFmtId="177" fontId="4" fillId="4" borderId="1" xfId="1" applyNumberFormat="1" applyFont="1" applyFill="1" applyBorder="1" applyAlignment="1"/>
    <xf numFmtId="177" fontId="4" fillId="7" borderId="1" xfId="1" applyNumberFormat="1" applyFont="1" applyFill="1" applyBorder="1" applyAlignment="1"/>
    <xf numFmtId="10" fontId="0" fillId="2" borderId="0" xfId="3" applyNumberFormat="1" applyFont="1" applyFill="1" applyAlignment="1"/>
    <xf numFmtId="177" fontId="4" fillId="0" borderId="0" xfId="1" applyNumberFormat="1" applyFont="1" applyAlignment="1"/>
    <xf numFmtId="178" fontId="0" fillId="0" borderId="0" xfId="3" applyNumberFormat="1" applyFont="1" applyAlignment="1"/>
    <xf numFmtId="178" fontId="0" fillId="0" borderId="0" xfId="0" applyNumberFormat="1"/>
    <xf numFmtId="177" fontId="0" fillId="0" borderId="0" xfId="0" applyNumberFormat="1"/>
    <xf numFmtId="43" fontId="0" fillId="0" borderId="0" xfId="0" applyNumberFormat="1"/>
    <xf numFmtId="2" fontId="0" fillId="0" borderId="0" xfId="3" applyNumberFormat="1" applyFont="1" applyAlignment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9" fontId="6" fillId="9" borderId="0" xfId="0" applyNumberFormat="1" applyFont="1" applyFill="1"/>
    <xf numFmtId="177" fontId="6" fillId="9" borderId="0" xfId="1" applyNumberFormat="1" applyFont="1" applyFill="1" applyAlignment="1"/>
    <xf numFmtId="176" fontId="6" fillId="9" borderId="0" xfId="1" applyNumberFormat="1" applyFont="1" applyFill="1" applyAlignment="1"/>
    <xf numFmtId="9" fontId="6" fillId="6" borderId="0" xfId="0" applyNumberFormat="1" applyFont="1" applyFill="1"/>
    <xf numFmtId="177" fontId="6" fillId="6" borderId="0" xfId="1" applyNumberFormat="1" applyFont="1" applyFill="1" applyAlignment="1"/>
    <xf numFmtId="0" fontId="6" fillId="6" borderId="0" xfId="0" applyFont="1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0" fontId="0" fillId="0" borderId="0" xfId="0" applyNumberFormat="1"/>
    <xf numFmtId="0" fontId="0" fillId="0" borderId="2" xfId="0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177" fontId="0" fillId="0" borderId="2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4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8" fontId="0" fillId="13" borderId="10" xfId="3" applyNumberFormat="1" applyFont="1" applyFill="1" applyBorder="1" applyAlignment="1"/>
    <xf numFmtId="178" fontId="0" fillId="13" borderId="11" xfId="3" applyNumberFormat="1" applyFont="1" applyFill="1" applyBorder="1" applyAlignment="1"/>
    <xf numFmtId="178" fontId="0" fillId="2" borderId="11" xfId="3" applyNumberFormat="1" applyFont="1" applyFill="1" applyBorder="1" applyAlignment="1"/>
    <xf numFmtId="178" fontId="0" fillId="2" borderId="12" xfId="3" applyNumberFormat="1" applyFont="1" applyFill="1" applyBorder="1" applyAlignment="1"/>
    <xf numFmtId="178" fontId="0" fillId="0" borderId="10" xfId="3" applyNumberFormat="1" applyFont="1" applyBorder="1" applyAlignment="1"/>
    <xf numFmtId="178" fontId="0" fillId="8" borderId="11" xfId="3" applyNumberFormat="1" applyFont="1" applyFill="1" applyBorder="1" applyAlignment="1"/>
    <xf numFmtId="178" fontId="0" fillId="8" borderId="12" xfId="3" applyNumberFormat="1" applyFont="1" applyFill="1" applyBorder="1" applyAlignment="1"/>
    <xf numFmtId="181" fontId="0" fillId="0" borderId="0" xfId="0" applyNumberFormat="1"/>
    <xf numFmtId="0" fontId="0" fillId="2" borderId="0" xfId="0" applyFill="1"/>
    <xf numFmtId="0" fontId="0" fillId="12" borderId="0" xfId="0" applyFill="1"/>
    <xf numFmtId="0" fontId="0" fillId="14" borderId="0" xfId="0" applyFill="1"/>
    <xf numFmtId="177" fontId="0" fillId="0" borderId="0" xfId="1" applyNumberFormat="1" applyFont="1" applyBorder="1" applyAlignment="1"/>
    <xf numFmtId="184" fontId="0" fillId="4" borderId="0" xfId="0" applyNumberFormat="1" applyFill="1" applyBorder="1"/>
    <xf numFmtId="184" fontId="0" fillId="2" borderId="0" xfId="0" applyNumberFormat="1" applyFill="1" applyBorder="1"/>
    <xf numFmtId="184" fontId="0" fillId="10" borderId="0" xfId="0" applyNumberFormat="1" applyFill="1" applyBorder="1"/>
    <xf numFmtId="0" fontId="0" fillId="0" borderId="0" xfId="0" applyBorder="1"/>
    <xf numFmtId="0" fontId="0" fillId="4" borderId="0" xfId="0" applyFill="1" applyBorder="1"/>
    <xf numFmtId="183" fontId="0" fillId="4" borderId="0" xfId="0" applyNumberFormat="1" applyFill="1" applyBorder="1"/>
    <xf numFmtId="183" fontId="0" fillId="2" borderId="0" xfId="0" applyNumberFormat="1" applyFill="1" applyBorder="1"/>
    <xf numFmtId="183" fontId="0" fillId="10" borderId="0" xfId="0" applyNumberFormat="1" applyFill="1" applyBorder="1"/>
    <xf numFmtId="177" fontId="0" fillId="0" borderId="0" xfId="0" applyNumberFormat="1" applyBorder="1"/>
    <xf numFmtId="177" fontId="0" fillId="4" borderId="0" xfId="0" applyNumberFormat="1" applyFill="1" applyBorder="1"/>
    <xf numFmtId="177" fontId="0" fillId="2" borderId="0" xfId="0" applyNumberFormat="1" applyFill="1" applyBorder="1"/>
    <xf numFmtId="177" fontId="0" fillId="10" borderId="0" xfId="0" applyNumberFormat="1" applyFill="1" applyBorder="1"/>
    <xf numFmtId="181" fontId="0" fillId="0" borderId="0" xfId="0" applyNumberFormat="1" applyBorder="1"/>
    <xf numFmtId="181" fontId="0" fillId="4" borderId="0" xfId="0" applyNumberFormat="1" applyFill="1" applyBorder="1"/>
    <xf numFmtId="181" fontId="0" fillId="2" borderId="0" xfId="0" applyNumberFormat="1" applyFill="1" applyBorder="1"/>
    <xf numFmtId="181" fontId="0" fillId="10" borderId="0" xfId="0" applyNumberFormat="1" applyFill="1" applyBorder="1"/>
    <xf numFmtId="43" fontId="0" fillId="4" borderId="0" xfId="0" applyNumberFormat="1" applyFill="1" applyBorder="1"/>
    <xf numFmtId="43" fontId="0" fillId="2" borderId="0" xfId="0" applyNumberFormat="1" applyFill="1" applyBorder="1"/>
    <xf numFmtId="43" fontId="0" fillId="10" borderId="0" xfId="0" applyNumberFormat="1" applyFill="1" applyBorder="1"/>
    <xf numFmtId="177" fontId="0" fillId="4" borderId="0" xfId="1" applyNumberFormat="1" applyFont="1" applyFill="1" applyBorder="1" applyAlignment="1"/>
    <xf numFmtId="0" fontId="0" fillId="2" borderId="0" xfId="0" applyFill="1" applyBorder="1"/>
    <xf numFmtId="0" fontId="0" fillId="10" borderId="0" xfId="0" applyFill="1" applyBorder="1"/>
    <xf numFmtId="184" fontId="0" fillId="0" borderId="0" xfId="0" applyNumberFormat="1" applyBorder="1"/>
    <xf numFmtId="177" fontId="0" fillId="2" borderId="0" xfId="1" applyNumberFormat="1" applyFont="1" applyFill="1" applyBorder="1" applyAlignment="1"/>
    <xf numFmtId="177" fontId="0" fillId="10" borderId="0" xfId="1" applyNumberFormat="1" applyFont="1" applyFill="1" applyBorder="1" applyAlignment="1"/>
    <xf numFmtId="3" fontId="0" fillId="0" borderId="0" xfId="0" applyNumberFormat="1" applyBorder="1"/>
    <xf numFmtId="3" fontId="0" fillId="4" borderId="0" xfId="0" applyNumberFormat="1" applyFill="1" applyBorder="1"/>
    <xf numFmtId="184" fontId="0" fillId="10" borderId="11" xfId="0" applyNumberFormat="1" applyFill="1" applyBorder="1"/>
    <xf numFmtId="183" fontId="0" fillId="10" borderId="11" xfId="0" applyNumberFormat="1" applyFill="1" applyBorder="1"/>
    <xf numFmtId="177" fontId="0" fillId="10" borderId="11" xfId="0" applyNumberFormat="1" applyFill="1" applyBorder="1"/>
    <xf numFmtId="177" fontId="0" fillId="10" borderId="11" xfId="1" applyNumberFormat="1" applyFont="1" applyFill="1" applyBorder="1" applyAlignment="1"/>
    <xf numFmtId="0" fontId="0" fillId="0" borderId="13" xfId="0" applyBorder="1"/>
    <xf numFmtId="184" fontId="0" fillId="10" borderId="14" xfId="0" applyNumberFormat="1" applyFill="1" applyBorder="1"/>
    <xf numFmtId="183" fontId="0" fillId="10" borderId="14" xfId="0" applyNumberFormat="1" applyFill="1" applyBorder="1"/>
    <xf numFmtId="177" fontId="0" fillId="10" borderId="14" xfId="0" applyNumberFormat="1" applyFill="1" applyBorder="1"/>
    <xf numFmtId="181" fontId="0" fillId="10" borderId="14" xfId="0" applyNumberFormat="1" applyFill="1" applyBorder="1"/>
    <xf numFmtId="43" fontId="0" fillId="10" borderId="14" xfId="0" applyNumberFormat="1" applyFill="1" applyBorder="1"/>
    <xf numFmtId="0" fontId="0" fillId="10" borderId="14" xfId="0" applyFill="1" applyBorder="1"/>
    <xf numFmtId="0" fontId="0" fillId="0" borderId="13" xfId="0" applyBorder="1" applyAlignment="1">
      <alignment wrapText="1"/>
    </xf>
    <xf numFmtId="177" fontId="0" fillId="10" borderId="14" xfId="1" applyNumberFormat="1" applyFont="1" applyFill="1" applyBorder="1" applyAlignment="1"/>
    <xf numFmtId="0" fontId="0" fillId="0" borderId="15" xfId="0" applyBorder="1"/>
    <xf numFmtId="178" fontId="0" fillId="0" borderId="16" xfId="3" applyNumberFormat="1" applyFont="1" applyBorder="1" applyAlignment="1"/>
    <xf numFmtId="178" fontId="0" fillId="4" borderId="16" xfId="3" applyNumberFormat="1" applyFont="1" applyFill="1" applyBorder="1" applyAlignment="1"/>
    <xf numFmtId="178" fontId="0" fillId="2" borderId="16" xfId="3" applyNumberFormat="1" applyFont="1" applyFill="1" applyBorder="1" applyAlignment="1"/>
    <xf numFmtId="178" fontId="0" fillId="10" borderId="16" xfId="3" applyNumberFormat="1" applyFont="1" applyFill="1" applyBorder="1" applyAlignment="1"/>
    <xf numFmtId="178" fontId="0" fillId="10" borderId="17" xfId="3" applyNumberFormat="1" applyFont="1" applyFill="1" applyBorder="1" applyAlignment="1"/>
    <xf numFmtId="183" fontId="0" fillId="0" borderId="0" xfId="0" applyNumberFormat="1" applyBorder="1"/>
    <xf numFmtId="176" fontId="0" fillId="0" borderId="0" xfId="1" applyNumberFormat="1" applyFont="1" applyBorder="1" applyAlignment="1"/>
    <xf numFmtId="176" fontId="0" fillId="4" borderId="0" xfId="1" applyNumberFormat="1" applyFont="1" applyFill="1" applyBorder="1" applyAlignment="1"/>
    <xf numFmtId="176" fontId="0" fillId="2" borderId="0" xfId="1" applyNumberFormat="1" applyFont="1" applyFill="1" applyBorder="1" applyAlignment="1"/>
    <xf numFmtId="176" fontId="0" fillId="10" borderId="0" xfId="1" applyNumberFormat="1" applyFont="1" applyFill="1" applyBorder="1" applyAlignment="1"/>
    <xf numFmtId="176" fontId="0" fillId="10" borderId="14" xfId="1" applyNumberFormat="1" applyFont="1" applyFill="1" applyBorder="1" applyAlignment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177" fontId="0" fillId="4" borderId="21" xfId="0" applyNumberFormat="1" applyFill="1" applyBorder="1"/>
    <xf numFmtId="184" fontId="0" fillId="4" borderId="21" xfId="0" applyNumberFormat="1" applyFill="1" applyBorder="1"/>
    <xf numFmtId="0" fontId="7" fillId="11" borderId="0" xfId="0" applyFont="1" applyFill="1"/>
    <xf numFmtId="0" fontId="0" fillId="11" borderId="0" xfId="0" applyFill="1"/>
    <xf numFmtId="177" fontId="0" fillId="2" borderId="21" xfId="0" applyNumberFormat="1" applyFill="1" applyBorder="1"/>
    <xf numFmtId="184" fontId="0" fillId="2" borderId="21" xfId="0" applyNumberFormat="1" applyFill="1" applyBorder="1"/>
    <xf numFmtId="184" fontId="5" fillId="4" borderId="0" xfId="0" applyNumberFormat="1" applyFont="1" applyFill="1" applyBorder="1"/>
    <xf numFmtId="178" fontId="0" fillId="10" borderId="22" xfId="3" applyNumberFormat="1" applyFont="1" applyFill="1" applyBorder="1" applyAlignment="1"/>
    <xf numFmtId="178" fontId="0" fillId="4" borderId="22" xfId="3" applyNumberFormat="1" applyFont="1" applyFill="1" applyBorder="1" applyAlignment="1"/>
    <xf numFmtId="178" fontId="0" fillId="0" borderId="22" xfId="3" applyNumberFormat="1" applyFont="1" applyBorder="1" applyAlignment="1"/>
    <xf numFmtId="177" fontId="0" fillId="4" borderId="0" xfId="1" applyNumberFormat="1" applyFont="1" applyFill="1" applyBorder="1" applyAlignment="1">
      <alignment horizontal="center" vertical="center"/>
    </xf>
    <xf numFmtId="177" fontId="0" fillId="2" borderId="0" xfId="1" applyNumberFormat="1" applyFont="1" applyFill="1" applyBorder="1" applyAlignment="1">
      <alignment horizontal="center" vertical="center"/>
    </xf>
    <xf numFmtId="177" fontId="0" fillId="10" borderId="0" xfId="1" applyNumberFormat="1" applyFont="1" applyFill="1" applyBorder="1" applyAlignment="1">
      <alignment horizontal="center" vertical="center"/>
    </xf>
    <xf numFmtId="177" fontId="0" fillId="10" borderId="14" xfId="1" applyNumberFormat="1" applyFont="1" applyFill="1" applyBorder="1" applyAlignment="1">
      <alignment horizontal="center" vertical="center"/>
    </xf>
    <xf numFmtId="177" fontId="0" fillId="10" borderId="21" xfId="0" applyNumberFormat="1" applyFill="1" applyBorder="1"/>
    <xf numFmtId="184" fontId="0" fillId="10" borderId="21" xfId="0" applyNumberFormat="1" applyFill="1" applyBorder="1"/>
    <xf numFmtId="8" fontId="0" fillId="0" borderId="0" xfId="0" applyNumberFormat="1"/>
    <xf numFmtId="182" fontId="0" fillId="0" borderId="0" xfId="0" applyNumberFormat="1" applyBorder="1"/>
    <xf numFmtId="181" fontId="0" fillId="4" borderId="0" xfId="1" applyNumberFormat="1" applyFont="1" applyFill="1" applyBorder="1" applyAlignment="1"/>
    <xf numFmtId="181" fontId="0" fillId="2" borderId="0" xfId="1" applyNumberFormat="1" applyFont="1" applyFill="1" applyBorder="1" applyAlignment="1"/>
    <xf numFmtId="181" fontId="0" fillId="10" borderId="0" xfId="1" applyNumberFormat="1" applyFont="1" applyFill="1" applyBorder="1" applyAlignment="1"/>
    <xf numFmtId="9" fontId="0" fillId="0" borderId="0" xfId="3" applyNumberFormat="1" applyFont="1" applyBorder="1" applyAlignment="1"/>
    <xf numFmtId="9" fontId="0" fillId="4" borderId="0" xfId="0" applyNumberFormat="1" applyFill="1" applyBorder="1"/>
    <xf numFmtId="9" fontId="0" fillId="2" borderId="0" xfId="0" applyNumberFormat="1" applyFill="1" applyBorder="1"/>
    <xf numFmtId="9" fontId="0" fillId="10" borderId="0" xfId="0" applyNumberFormat="1" applyFill="1" applyBorder="1"/>
    <xf numFmtId="9" fontId="0" fillId="10" borderId="14" xfId="0" applyNumberFormat="1" applyFill="1" applyBorder="1"/>
    <xf numFmtId="9" fontId="0" fillId="4" borderId="0" xfId="1" applyNumberFormat="1" applyFont="1" applyFill="1" applyBorder="1" applyAlignment="1"/>
    <xf numFmtId="9" fontId="0" fillId="2" borderId="0" xfId="1" applyNumberFormat="1" applyFont="1" applyFill="1" applyBorder="1" applyAlignment="1"/>
    <xf numFmtId="9" fontId="0" fillId="10" borderId="0" xfId="1" applyNumberFormat="1" applyFont="1" applyFill="1" applyBorder="1" applyAlignment="1"/>
    <xf numFmtId="177" fontId="0" fillId="4" borderId="4" xfId="1" applyNumberFormat="1" applyFont="1" applyFill="1" applyBorder="1" applyAlignment="1"/>
    <xf numFmtId="177" fontId="0" fillId="2" borderId="4" xfId="1" applyNumberFormat="1" applyFont="1" applyFill="1" applyBorder="1" applyAlignment="1"/>
    <xf numFmtId="0" fontId="0" fillId="0" borderId="24" xfId="0" applyBorder="1" applyAlignment="1">
      <alignment wrapText="1"/>
    </xf>
    <xf numFmtId="177" fontId="0" fillId="0" borderId="4" xfId="1" applyNumberFormat="1" applyFont="1" applyBorder="1" applyAlignment="1"/>
    <xf numFmtId="177" fontId="0" fillId="10" borderId="4" xfId="1" applyNumberFormat="1" applyFont="1" applyFill="1" applyBorder="1" applyAlignment="1"/>
    <xf numFmtId="177" fontId="0" fillId="0" borderId="4" xfId="0" applyNumberFormat="1" applyBorder="1"/>
    <xf numFmtId="184" fontId="0" fillId="4" borderId="4" xfId="0" applyNumberFormat="1" applyFill="1" applyBorder="1"/>
    <xf numFmtId="177" fontId="0" fillId="4" borderId="4" xfId="0" applyNumberFormat="1" applyFill="1" applyBorder="1"/>
    <xf numFmtId="184" fontId="0" fillId="2" borderId="4" xfId="0" applyNumberFormat="1" applyFill="1" applyBorder="1"/>
    <xf numFmtId="184" fontId="0" fillId="10" borderId="4" xfId="0" applyNumberFormat="1" applyFill="1" applyBorder="1"/>
    <xf numFmtId="184" fontId="0" fillId="10" borderId="25" xfId="0" applyNumberFormat="1" applyFill="1" applyBorder="1"/>
    <xf numFmtId="181" fontId="0" fillId="10" borderId="11" xfId="1" applyNumberFormat="1" applyFont="1" applyFill="1" applyBorder="1" applyAlignment="1"/>
    <xf numFmtId="9" fontId="0" fillId="10" borderId="11" xfId="1" applyNumberFormat="1" applyFont="1" applyFill="1" applyBorder="1" applyAlignment="1"/>
    <xf numFmtId="176" fontId="0" fillId="10" borderId="11" xfId="1" applyNumberFormat="1" applyFont="1" applyFill="1" applyBorder="1" applyAlignment="1"/>
    <xf numFmtId="177" fontId="0" fillId="10" borderId="12" xfId="1" applyNumberFormat="1" applyFont="1" applyFill="1" applyBorder="1" applyAlignment="1"/>
    <xf numFmtId="0" fontId="0" fillId="10" borderId="26" xfId="0" applyFill="1" applyBorder="1" applyAlignment="1">
      <alignment horizontal="center"/>
    </xf>
    <xf numFmtId="185" fontId="0" fillId="0" borderId="0" xfId="0" applyNumberFormat="1"/>
    <xf numFmtId="10" fontId="0" fillId="10" borderId="14" xfId="1" applyNumberFormat="1" applyFont="1" applyFill="1" applyBorder="1" applyAlignment="1"/>
    <xf numFmtId="178" fontId="0" fillId="2" borderId="23" xfId="3" applyNumberFormat="1" applyFont="1" applyFill="1" applyBorder="1" applyAlignment="1"/>
    <xf numFmtId="178" fontId="0" fillId="10" borderId="27" xfId="3" applyNumberFormat="1" applyFont="1" applyFill="1" applyBorder="1" applyAlignment="1"/>
    <xf numFmtId="178" fontId="0" fillId="10" borderId="28" xfId="3" applyNumberFormat="1" applyFont="1" applyFill="1" applyBorder="1" applyAlignment="1"/>
    <xf numFmtId="178" fontId="0" fillId="4" borderId="23" xfId="3" applyNumberFormat="1" applyFont="1" applyFill="1" applyBorder="1" applyAlignment="1"/>
    <xf numFmtId="178" fontId="0" fillId="4" borderId="27" xfId="3" applyNumberFormat="1" applyFont="1" applyFill="1" applyBorder="1" applyAlignment="1"/>
    <xf numFmtId="178" fontId="0" fillId="2" borderId="27" xfId="3" applyNumberFormat="1" applyFont="1" applyFill="1" applyBorder="1" applyAlignment="1"/>
    <xf numFmtId="0" fontId="0" fillId="0" borderId="0" xfId="0" applyAlignment="1">
      <alignment horizontal="center" vertical="center" wrapText="1"/>
    </xf>
    <xf numFmtId="0" fontId="0" fillId="16" borderId="0" xfId="0" applyFill="1"/>
    <xf numFmtId="0" fontId="0" fillId="1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177" fontId="0" fillId="0" borderId="0" xfId="0" applyNumberFormat="1" applyFill="1" applyBorder="1"/>
    <xf numFmtId="9" fontId="0" fillId="14" borderId="0" xfId="0" applyNumberFormat="1" applyFill="1"/>
    <xf numFmtId="10" fontId="5" fillId="0" borderId="0" xfId="0" applyNumberFormat="1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11" fillId="14" borderId="0" xfId="0" applyFont="1" applyFill="1" applyBorder="1" applyAlignment="1">
      <alignment horizontal="center" vertical="center"/>
    </xf>
    <xf numFmtId="0" fontId="15" fillId="14" borderId="0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16" borderId="0" xfId="3" applyNumberFormat="1" applyFont="1" applyFill="1" applyBorder="1" applyAlignment="1">
      <alignment horizontal="center" vertical="center"/>
    </xf>
    <xf numFmtId="178" fontId="0" fillId="16" borderId="11" xfId="3" applyNumberFormat="1" applyFont="1" applyFill="1" applyBorder="1" applyAlignment="1">
      <alignment horizontal="center" vertical="center"/>
    </xf>
    <xf numFmtId="178" fontId="0" fillId="2" borderId="0" xfId="3" applyNumberFormat="1" applyFont="1" applyFill="1" applyBorder="1" applyAlignment="1">
      <alignment horizontal="center" vertical="center"/>
    </xf>
    <xf numFmtId="178" fontId="0" fillId="2" borderId="11" xfId="3" applyNumberFormat="1" applyFont="1" applyFill="1" applyBorder="1" applyAlignment="1">
      <alignment horizontal="center" vertical="center"/>
    </xf>
    <xf numFmtId="178" fontId="0" fillId="12" borderId="0" xfId="3" applyNumberFormat="1" applyFont="1" applyFill="1" applyBorder="1" applyAlignment="1">
      <alignment horizontal="center" vertical="center"/>
    </xf>
    <xf numFmtId="180" fontId="0" fillId="12" borderId="0" xfId="0" applyNumberFormat="1" applyFill="1" applyBorder="1" applyAlignment="1">
      <alignment horizontal="center" vertical="center"/>
    </xf>
    <xf numFmtId="178" fontId="0" fillId="12" borderId="11" xfId="3" applyNumberFormat="1" applyFont="1" applyFill="1" applyBorder="1" applyAlignment="1">
      <alignment horizontal="center" vertical="center"/>
    </xf>
    <xf numFmtId="178" fontId="11" fillId="14" borderId="4" xfId="3" applyNumberFormat="1" applyFont="1" applyFill="1" applyBorder="1" applyAlignment="1">
      <alignment horizontal="center" vertical="center"/>
    </xf>
    <xf numFmtId="178" fontId="11" fillId="14" borderId="12" xfId="3" applyNumberFormat="1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10" fontId="0" fillId="0" borderId="4" xfId="3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wrapText="1"/>
    </xf>
    <xf numFmtId="43" fontId="0" fillId="10" borderId="11" xfId="0" applyNumberFormat="1" applyFill="1" applyBorder="1"/>
    <xf numFmtId="9" fontId="0" fillId="10" borderId="11" xfId="0" applyNumberFormat="1" applyFill="1" applyBorder="1"/>
    <xf numFmtId="184" fontId="0" fillId="10" borderId="12" xfId="0" applyNumberFormat="1" applyFill="1" applyBorder="1"/>
    <xf numFmtId="0" fontId="0" fillId="0" borderId="19" xfId="0" applyBorder="1"/>
    <xf numFmtId="177" fontId="0" fillId="16" borderId="0" xfId="1" applyNumberFormat="1" applyFont="1" applyFill="1" applyBorder="1" applyAlignment="1">
      <alignment horizontal="center" vertical="center"/>
    </xf>
    <xf numFmtId="177" fontId="0" fillId="17" borderId="0" xfId="1" applyNumberFormat="1" applyFont="1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177" fontId="0" fillId="17" borderId="4" xfId="1" applyNumberFormat="1" applyFont="1" applyFill="1" applyBorder="1" applyAlignment="1">
      <alignment horizontal="center" vertical="center"/>
    </xf>
    <xf numFmtId="177" fontId="0" fillId="18" borderId="0" xfId="1" applyNumberFormat="1" applyFont="1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177" fontId="0" fillId="18" borderId="4" xfId="1" applyNumberFormat="1" applyFont="1" applyFill="1" applyBorder="1" applyAlignment="1">
      <alignment horizontal="center" vertical="center"/>
    </xf>
    <xf numFmtId="177" fontId="0" fillId="2" borderId="4" xfId="1" applyNumberFormat="1" applyFont="1" applyFill="1" applyBorder="1" applyAlignment="1">
      <alignment horizontal="center" vertical="center"/>
    </xf>
    <xf numFmtId="177" fontId="0" fillId="2" borderId="11" xfId="1" applyNumberFormat="1" applyFont="1" applyFill="1" applyBorder="1" applyAlignment="1">
      <alignment horizontal="center" vertical="center"/>
    </xf>
    <xf numFmtId="177" fontId="0" fillId="2" borderId="12" xfId="1" applyNumberFormat="1" applyFont="1" applyFill="1" applyBorder="1" applyAlignment="1">
      <alignment horizontal="center" vertical="center"/>
    </xf>
    <xf numFmtId="177" fontId="0" fillId="17" borderId="11" xfId="1" applyNumberFormat="1" applyFont="1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177" fontId="0" fillId="17" borderId="12" xfId="1" applyNumberFormat="1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16" borderId="7" xfId="0" applyFill="1" applyBorder="1"/>
    <xf numFmtId="177" fontId="0" fillId="16" borderId="11" xfId="1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43" fontId="0" fillId="5" borderId="1" xfId="1" applyNumberFormat="1" applyFont="1" applyFill="1" applyBorder="1" applyAlignment="1"/>
    <xf numFmtId="186" fontId="0" fillId="5" borderId="1" xfId="1" applyNumberFormat="1" applyFont="1" applyFill="1" applyBorder="1" applyAlignment="1"/>
    <xf numFmtId="0" fontId="0" fillId="0" borderId="11" xfId="0" applyBorder="1"/>
    <xf numFmtId="0" fontId="0" fillId="0" borderId="8" xfId="0" applyBorder="1"/>
    <xf numFmtId="0" fontId="0" fillId="16" borderId="4" xfId="0" applyFill="1" applyBorder="1"/>
    <xf numFmtId="0" fontId="0" fillId="2" borderId="4" xfId="0" applyFill="1" applyBorder="1"/>
    <xf numFmtId="0" fontId="0" fillId="2" borderId="12" xfId="0" applyFill="1" applyBorder="1"/>
    <xf numFmtId="178" fontId="0" fillId="0" borderId="11" xfId="3" applyNumberFormat="1" applyFont="1" applyBorder="1" applyAlignment="1">
      <alignment horizontal="center" vertical="center"/>
    </xf>
    <xf numFmtId="10" fontId="0" fillId="0" borderId="12" xfId="3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20" borderId="32" xfId="0" applyFont="1" applyFill="1" applyBorder="1" applyAlignment="1">
      <alignment horizontal="center" vertical="center" wrapText="1"/>
    </xf>
    <xf numFmtId="0" fontId="15" fillId="20" borderId="32" xfId="0" applyFont="1" applyFill="1" applyBorder="1" applyAlignment="1">
      <alignment horizontal="center" vertical="center" wrapText="1"/>
    </xf>
    <xf numFmtId="0" fontId="15" fillId="20" borderId="32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 wrapText="1"/>
    </xf>
    <xf numFmtId="0" fontId="11" fillId="19" borderId="32" xfId="0" applyFont="1" applyFill="1" applyBorder="1" applyAlignment="1">
      <alignment horizontal="center" vertical="center"/>
    </xf>
    <xf numFmtId="0" fontId="15" fillId="19" borderId="32" xfId="0" applyFont="1" applyFill="1" applyBorder="1" applyAlignment="1">
      <alignment horizontal="center" vertical="center"/>
    </xf>
    <xf numFmtId="0" fontId="11" fillId="19" borderId="32" xfId="0" applyFont="1" applyFill="1" applyBorder="1" applyAlignment="1">
      <alignment horizontal="center" vertical="center" wrapText="1"/>
    </xf>
    <xf numFmtId="0" fontId="15" fillId="19" borderId="32" xfId="0" applyFont="1" applyFill="1" applyBorder="1" applyAlignment="1">
      <alignment horizontal="center" vertical="center" wrapText="1"/>
    </xf>
    <xf numFmtId="0" fontId="15" fillId="19" borderId="32" xfId="0" applyFont="1" applyFill="1" applyBorder="1" applyAlignment="1">
      <alignment horizontal="center"/>
    </xf>
    <xf numFmtId="0" fontId="15" fillId="20" borderId="32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2" xfId="0" applyBorder="1" applyAlignment="1">
      <alignment horizontal="center" vertical="center" wrapText="1"/>
    </xf>
    <xf numFmtId="181" fontId="0" fillId="10" borderId="14" xfId="1" applyNumberFormat="1" applyFont="1" applyFill="1" applyBorder="1" applyAlignment="1"/>
    <xf numFmtId="43" fontId="0" fillId="4" borderId="0" xfId="1" applyNumberFormat="1" applyFont="1" applyFill="1" applyBorder="1" applyAlignment="1"/>
    <xf numFmtId="0" fontId="0" fillId="0" borderId="0" xfId="0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11" fillId="14" borderId="0" xfId="0" applyFont="1" applyFill="1" applyBorder="1" applyAlignment="1">
      <alignment horizontal="center" vertical="center"/>
    </xf>
    <xf numFmtId="0" fontId="15" fillId="14" borderId="0" xfId="0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21" borderId="0" xfId="0" applyFill="1"/>
  </cellXfs>
  <cellStyles count="4">
    <cellStyle name="百分比" xfId="3" builtinId="5"/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Medium9"/>
  <colors>
    <mruColors>
      <color rgb="FF66FF33"/>
      <color rgb="FFFF5050"/>
      <color rgb="FFFF3300"/>
      <color rgb="FFFF6600"/>
      <color rgb="FFCCFF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China</a:t>
            </a:r>
            <a:r>
              <a:rPr lang="en-US" altLang="zh-CN" baseline="0"/>
              <a:t> NEV Sales Structure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'Ratio of Sales'!$C$13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of Sales'!$B$14:$B$17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'Ratio of Sales'!$C$14:$C$17</c:f>
              <c:numCache>
                <c:formatCode>0%</c:formatCode>
                <c:ptCount val="4"/>
                <c:pt idx="0">
                  <c:v>0.5</c:v>
                </c:pt>
                <c:pt idx="1">
                  <c:v>0.6</c:v>
                </c:pt>
                <c:pt idx="2">
                  <c:v>0.62</c:v>
                </c:pt>
                <c:pt idx="3">
                  <c:v>0.7</c:v>
                </c:pt>
              </c:numCache>
            </c:numRef>
          </c:val>
        </c:ser>
        <c:ser>
          <c:idx val="1"/>
          <c:order val="1"/>
          <c:tx>
            <c:strRef>
              <c:f>'Ratio of Sales'!$D$13</c:f>
              <c:strCache>
                <c:ptCount val="1"/>
                <c:pt idx="0">
                  <c:v>PHEV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of Sales'!$B$14:$B$17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'Ratio of Sales'!$D$14:$D$17</c:f>
              <c:numCache>
                <c:formatCode>0%</c:formatCode>
                <c:ptCount val="4"/>
                <c:pt idx="0">
                  <c:v>0.16</c:v>
                </c:pt>
                <c:pt idx="1">
                  <c:v>0.14000000000000001</c:v>
                </c:pt>
                <c:pt idx="2">
                  <c:v>0.2</c:v>
                </c:pt>
                <c:pt idx="3">
                  <c:v>0.18</c:v>
                </c:pt>
              </c:numCache>
            </c:numRef>
          </c:val>
        </c:ser>
        <c:ser>
          <c:idx val="2"/>
          <c:order val="2"/>
          <c:tx>
            <c:strRef>
              <c:f>'Ratio of Sales'!$E$13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of Sales'!$B$14:$B$17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'Ratio of Sales'!$E$14:$E$17</c:f>
              <c:numCache>
                <c:formatCode>0%</c:formatCode>
                <c:ptCount val="4"/>
                <c:pt idx="0">
                  <c:v>0.34</c:v>
                </c:pt>
                <c:pt idx="1">
                  <c:v>0.26</c:v>
                </c:pt>
                <c:pt idx="2">
                  <c:v>0.18</c:v>
                </c:pt>
                <c:pt idx="3">
                  <c:v>0.12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0140736"/>
        <c:axId val="890148896"/>
      </c:barChart>
      <c:catAx>
        <c:axId val="89014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148896"/>
        <c:crosses val="autoZero"/>
        <c:auto val="1"/>
        <c:lblAlgn val="ctr"/>
        <c:lblOffset val="100"/>
        <c:noMultiLvlLbl val="0"/>
      </c:catAx>
      <c:valAx>
        <c:axId val="890148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1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'Battery Price 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'Battery Price '!$C$2:$C$11</c:f>
              <c:numCache>
                <c:formatCode>General</c:formatCode>
                <c:ptCount val="10"/>
                <c:pt idx="0">
                  <c:v>1160</c:v>
                </c:pt>
                <c:pt idx="1">
                  <c:v>899</c:v>
                </c:pt>
                <c:pt idx="2">
                  <c:v>707</c:v>
                </c:pt>
                <c:pt idx="3">
                  <c:v>650</c:v>
                </c:pt>
                <c:pt idx="4">
                  <c:v>577</c:v>
                </c:pt>
                <c:pt idx="5">
                  <c:v>373</c:v>
                </c:pt>
                <c:pt idx="6">
                  <c:v>288</c:v>
                </c:pt>
                <c:pt idx="7">
                  <c:v>214</c:v>
                </c:pt>
                <c:pt idx="8">
                  <c:v>176</c:v>
                </c:pt>
                <c:pt idx="9">
                  <c:v>156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90144544"/>
        <c:axId val="890145088"/>
      </c:scatterChart>
      <c:valAx>
        <c:axId val="89014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145088"/>
        <c:crosses val="autoZero"/>
        <c:crossBetween val="midCat"/>
      </c:valAx>
      <c:valAx>
        <c:axId val="8901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14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BEV Sales</a:t>
            </a:r>
            <a:r>
              <a:rPr lang="en-US" altLang="zh-CN" baseline="0"/>
              <a:t> by Class 2016-2019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8808707480048404E-2"/>
          <c:y val="0.15375306983274209"/>
          <c:w val="0.87683105245821136"/>
          <c:h val="0.703257696250849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'Class Summary'!$C$2</c:f>
              <c:strCache>
                <c:ptCount val="1"/>
                <c:pt idx="0">
                  <c:v>A00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Summary'!$C$3:$C$6</c:f>
              <c:numCache>
                <c:formatCode>0.00%</c:formatCode>
                <c:ptCount val="4"/>
                <c:pt idx="0">
                  <c:v>0.51100000000000001</c:v>
                </c:pt>
                <c:pt idx="1">
                  <c:v>0.57799999999999996</c:v>
                </c:pt>
                <c:pt idx="2">
                  <c:v>0.38</c:v>
                </c:pt>
                <c:pt idx="3">
                  <c:v>0.17499999999999999</c:v>
                </c:pt>
              </c:numCache>
            </c:numRef>
          </c:val>
        </c:ser>
        <c:ser>
          <c:idx val="1"/>
          <c:order val="1"/>
          <c:tx>
            <c:strRef>
              <c:f>'Class Summary'!$D$2</c:f>
              <c:strCache>
                <c:ptCount val="1"/>
                <c:pt idx="0">
                  <c:v>A0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Summary'!$D$3:$D$6</c:f>
              <c:numCache>
                <c:formatCode>0.00%</c:formatCode>
                <c:ptCount val="4"/>
                <c:pt idx="0">
                  <c:v>0.24099999999999999</c:v>
                </c:pt>
                <c:pt idx="1">
                  <c:v>7.9000000000000001E-2</c:v>
                </c:pt>
                <c:pt idx="2">
                  <c:v>0.13700000000000001</c:v>
                </c:pt>
                <c:pt idx="3">
                  <c:v>0.114</c:v>
                </c:pt>
              </c:numCache>
            </c:numRef>
          </c:val>
        </c:ser>
        <c:ser>
          <c:idx val="2"/>
          <c:order val="2"/>
          <c:tx>
            <c:strRef>
              <c:f>'Class Summary'!$E$2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Summary'!$E$3:$E$6</c:f>
              <c:numCache>
                <c:formatCode>0.00%</c:formatCode>
                <c:ptCount val="4"/>
                <c:pt idx="0">
                  <c:v>0.17699999999999999</c:v>
                </c:pt>
                <c:pt idx="1">
                  <c:v>0.27</c:v>
                </c:pt>
                <c:pt idx="2">
                  <c:v>0.36499999999999999</c:v>
                </c:pt>
                <c:pt idx="3">
                  <c:v>0.53300000000000003</c:v>
                </c:pt>
              </c:numCache>
            </c:numRef>
          </c:val>
        </c:ser>
        <c:ser>
          <c:idx val="3"/>
          <c:order val="3"/>
          <c:tx>
            <c:strRef>
              <c:f>'Class Summary'!$F$2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Summary'!$F$3:$F$6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4.3999999999999997E-2</c:v>
                </c:pt>
                <c:pt idx="2">
                  <c:v>7.6999999999999999E-2</c:v>
                </c:pt>
                <c:pt idx="3">
                  <c:v>0.152</c:v>
                </c:pt>
              </c:numCache>
            </c:numRef>
          </c:val>
        </c:ser>
        <c:ser>
          <c:idx val="4"/>
          <c:order val="4"/>
          <c:tx>
            <c:strRef>
              <c:f>'Class Summary'!$G$2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Summary'!$G$3:$G$6</c:f>
              <c:numCache>
                <c:formatCode>0.00%</c:formatCode>
                <c:ptCount val="4"/>
                <c:pt idx="0">
                  <c:v>5.6000000000000001E-2</c:v>
                </c:pt>
                <c:pt idx="1">
                  <c:v>2.9000000000000001E-2</c:v>
                </c:pt>
                <c:pt idx="2">
                  <c:v>4.1000000000000002E-2</c:v>
                </c:pt>
                <c:pt idx="3">
                  <c:v>2.5999999999999999E-2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3"/>
        <c:overlap val="100"/>
        <c:axId val="1181846224"/>
        <c:axId val="1181838064"/>
      </c:barChart>
      <c:catAx>
        <c:axId val="11818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38064"/>
        <c:crosses val="autoZero"/>
        <c:auto val="1"/>
        <c:lblAlgn val="ctr"/>
        <c:lblOffset val="100"/>
        <c:noMultiLvlLbl val="0"/>
      </c:catAx>
      <c:valAx>
        <c:axId val="11818380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BEV Sales by</a:t>
            </a:r>
            <a:r>
              <a:rPr lang="en-US" altLang="zh-CN" baseline="0"/>
              <a:t> Model Percentage 2016-2030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'Class Summary'!$C$2</c:f>
              <c:strCache>
                <c:ptCount val="1"/>
                <c:pt idx="0">
                  <c:v>A00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Summary'!$C$3:$C$6</c:f>
              <c:numCache>
                <c:formatCode>0.00%</c:formatCode>
                <c:ptCount val="4"/>
                <c:pt idx="0">
                  <c:v>0.51100000000000001</c:v>
                </c:pt>
                <c:pt idx="1">
                  <c:v>0.57799999999999996</c:v>
                </c:pt>
                <c:pt idx="2">
                  <c:v>0.38</c:v>
                </c:pt>
                <c:pt idx="3">
                  <c:v>0.17499999999999999</c:v>
                </c:pt>
              </c:numCache>
            </c:numRef>
          </c:val>
        </c:ser>
        <c:ser>
          <c:idx val="1"/>
          <c:order val="1"/>
          <c:tx>
            <c:strRef>
              <c:f>'Class Summary'!$D$2</c:f>
              <c:strCache>
                <c:ptCount val="1"/>
                <c:pt idx="0">
                  <c:v>A0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Summary'!$D$3:$D$6</c:f>
              <c:numCache>
                <c:formatCode>0.00%</c:formatCode>
                <c:ptCount val="4"/>
                <c:pt idx="0">
                  <c:v>0.24099999999999999</c:v>
                </c:pt>
                <c:pt idx="1">
                  <c:v>7.9000000000000001E-2</c:v>
                </c:pt>
                <c:pt idx="2">
                  <c:v>0.13700000000000001</c:v>
                </c:pt>
                <c:pt idx="3">
                  <c:v>0.114</c:v>
                </c:pt>
              </c:numCache>
            </c:numRef>
          </c:val>
        </c:ser>
        <c:ser>
          <c:idx val="2"/>
          <c:order val="2"/>
          <c:tx>
            <c:strRef>
              <c:f>'Class Summary'!$E$2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Summary'!$E$3:$E$6</c:f>
              <c:numCache>
                <c:formatCode>0.00%</c:formatCode>
                <c:ptCount val="4"/>
                <c:pt idx="0">
                  <c:v>0.17699999999999999</c:v>
                </c:pt>
                <c:pt idx="1">
                  <c:v>0.27</c:v>
                </c:pt>
                <c:pt idx="2">
                  <c:v>0.36499999999999999</c:v>
                </c:pt>
                <c:pt idx="3">
                  <c:v>0.53300000000000003</c:v>
                </c:pt>
              </c:numCache>
            </c:numRef>
          </c:val>
        </c:ser>
        <c:ser>
          <c:idx val="3"/>
          <c:order val="3"/>
          <c:tx>
            <c:strRef>
              <c:f>'Class Summary'!$F$2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1.1182108626198083E-2"/>
                  <c:y val="-2.440511388118848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5974440894568571E-2"/>
                  <c:y val="2.66240681576139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Summary'!$F$3:$F$6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4.3999999999999997E-2</c:v>
                </c:pt>
                <c:pt idx="2">
                  <c:v>7.6999999999999999E-2</c:v>
                </c:pt>
                <c:pt idx="3">
                  <c:v>0.152</c:v>
                </c:pt>
              </c:numCache>
            </c:numRef>
          </c:val>
        </c:ser>
        <c:ser>
          <c:idx val="4"/>
          <c:order val="4"/>
          <c:tx>
            <c:strRef>
              <c:f>'Class Summary'!$G$2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dLbl>
              <c:idx val="6"/>
              <c:layout>
                <c:manualLayout>
                  <c:x val="-1.5974440894568571E-2"/>
                  <c:y val="-2.66240681576144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-5.85823081429419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Summary'!$B$3:$B$6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numCache>
            </c:numRef>
          </c:cat>
          <c:val>
            <c:numRef>
              <c:f>'Class Summary'!$G$3:$G$6</c:f>
              <c:numCache>
                <c:formatCode>0.00%</c:formatCode>
                <c:ptCount val="4"/>
                <c:pt idx="0">
                  <c:v>5.6000000000000001E-2</c:v>
                </c:pt>
                <c:pt idx="1">
                  <c:v>2.9000000000000001E-2</c:v>
                </c:pt>
                <c:pt idx="2">
                  <c:v>4.1000000000000002E-2</c:v>
                </c:pt>
                <c:pt idx="3">
                  <c:v>2.5999999999999999E-2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81847312"/>
        <c:axId val="1181845680"/>
      </c:areaChart>
      <c:catAx>
        <c:axId val="118184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5680"/>
        <c:crosses val="autoZero"/>
        <c:auto val="1"/>
        <c:lblAlgn val="ctr"/>
        <c:lblOffset val="100"/>
        <c:noMultiLvlLbl val="0"/>
      </c:catAx>
      <c:valAx>
        <c:axId val="1181845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Percentage</a:t>
            </a:r>
            <a:r>
              <a:rPr lang="en-US" altLang="zh-CN" baseline="0"/>
              <a:t> of class A00,A,B,C BEV models that reached Purchasing Parity with ICEVs</a:t>
            </a:r>
            <a:endParaRPr lang="zh-CN" altLang="en-US"/>
          </a:p>
        </c:rich>
      </c:tx>
      <c:layout>
        <c:manualLayout>
          <c:xMode val="edge"/>
          <c:yMode val="edge"/>
          <c:x val="0.19020655506297007"/>
          <c:y val="2.100840336134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'Class Summary'!$B$58</c:f>
              <c:strCache>
                <c:ptCount val="1"/>
                <c:pt idx="0">
                  <c:v>A00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989523368402476E-2"/>
                  <c:y val="-8.18739569318541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7580559782968306E-2"/>
                  <c:y val="-4.7869935375725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2174397317982315E-2"/>
                  <c:y val="-5.2538469456023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 Summary'!$A$59:$A$62</c:f>
              <c:strCache>
                <c:ptCount val="4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Post 2030</c:v>
                </c:pt>
              </c:strCache>
            </c:strRef>
          </c:cat>
          <c:val>
            <c:numRef>
              <c:f>'Class Summary'!$B$59:$B$62</c:f>
              <c:numCache>
                <c:formatCode>0.0%</c:formatCode>
                <c:ptCount val="4"/>
                <c:pt idx="0">
                  <c:v>0.546875</c:v>
                </c:pt>
                <c:pt idx="1">
                  <c:v>0.859375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'Class Summary'!$C$58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381680231147578E-2"/>
                  <c:y val="2.9160876949204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7580559782968306E-2"/>
                  <c:y val="-1.5190196813633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5.6992324488850658E-2"/>
                  <c:y val="-3.3864333134828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 Summary'!$A$59:$A$62</c:f>
              <c:strCache>
                <c:ptCount val="4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Post 2030</c:v>
                </c:pt>
              </c:strCache>
            </c:strRef>
          </c:cat>
          <c:val>
            <c:numRef>
              <c:f>'Class Summary'!$C$59:$C$62</c:f>
              <c:numCache>
                <c:formatCode>0.0%</c:formatCode>
                <c:ptCount val="4"/>
                <c:pt idx="0">
                  <c:v>0.51851851851851849</c:v>
                </c:pt>
                <c:pt idx="1">
                  <c:v>0.80246913580246915</c:v>
                </c:pt>
                <c:pt idx="2" formatCode="0.00000">
                  <c:v>0.97530864197530864</c:v>
                </c:pt>
                <c:pt idx="3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'Class Summary'!$D$58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7580559782968306E-2"/>
                  <c:y val="4.0832212149951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6179999558878668E-2"/>
                  <c:y val="4.7835013270400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 Summary'!$A$59:$A$62</c:f>
              <c:strCache>
                <c:ptCount val="4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Post 2030</c:v>
                </c:pt>
              </c:strCache>
            </c:strRef>
          </c:cat>
          <c:val>
            <c:numRef>
              <c:f>'Class Summary'!$D$59:$D$62</c:f>
              <c:numCache>
                <c:formatCode>0.0%</c:formatCode>
                <c:ptCount val="4"/>
                <c:pt idx="0">
                  <c:v>0.41666666666666669</c:v>
                </c:pt>
                <c:pt idx="1">
                  <c:v>0.6875</c:v>
                </c:pt>
                <c:pt idx="2">
                  <c:v>0.95833333333333326</c:v>
                </c:pt>
                <c:pt idx="3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'Class Summary'!$E$58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98112000705794E-2"/>
                  <c:y val="-2.2192997934081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 Summary'!$A$59:$A$62</c:f>
              <c:strCache>
                <c:ptCount val="4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Post 2030</c:v>
                </c:pt>
              </c:strCache>
            </c:strRef>
          </c:cat>
          <c:val>
            <c:numRef>
              <c:f>'Class Summary'!$E$59:$E$62</c:f>
              <c:numCache>
                <c:formatCode>0.0%</c:formatCode>
                <c:ptCount val="4"/>
                <c:pt idx="0">
                  <c:v>0.65306122448979587</c:v>
                </c:pt>
                <c:pt idx="1">
                  <c:v>0.71428571428571419</c:v>
                </c:pt>
                <c:pt idx="2">
                  <c:v>0.79591836734693866</c:v>
                </c:pt>
                <c:pt idx="3">
                  <c:v>1</c:v>
                </c:pt>
              </c:numCache>
            </c:numRef>
          </c:val>
          <c:smooth val="1"/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1842416"/>
        <c:axId val="1181845136"/>
      </c:lineChart>
      <c:catAx>
        <c:axId val="118184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5136"/>
        <c:crosses val="autoZero"/>
        <c:auto val="1"/>
        <c:lblAlgn val="ctr"/>
        <c:lblOffset val="100"/>
        <c:noMultiLvlLbl val="0"/>
      </c:catAx>
      <c:valAx>
        <c:axId val="1181845136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/>
              <a:t> Total Percentage of BEVs that reached Purchasing</a:t>
            </a:r>
            <a:r>
              <a:rPr lang="en-US" altLang="zh-CN" sz="1000" baseline="0"/>
              <a:t> Parity with ICEVs</a:t>
            </a:r>
          </a:p>
        </c:rich>
      </c:tx>
      <c:layout>
        <c:manualLayout>
          <c:xMode val="edge"/>
          <c:yMode val="edge"/>
          <c:x val="0.24241010382502437"/>
          <c:y val="3.1100309485751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Percentage of BEV that reached PP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'Class Summary'!$M$71:$M$73</c:f>
              <c:numCache>
                <c:formatCode>General</c:formatCode>
                <c:ptCount val="3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</c:numCache>
            </c:numRef>
          </c:cat>
          <c:val>
            <c:numRef>
              <c:f>'Class Summary'!$R$71:$R$73</c:f>
              <c:numCache>
                <c:formatCode>0.00%</c:formatCode>
                <c:ptCount val="3"/>
                <c:pt idx="0">
                  <c:v>0.50495878212396073</c:v>
                </c:pt>
                <c:pt idx="1">
                  <c:v>0.73823095789241622</c:v>
                </c:pt>
                <c:pt idx="2">
                  <c:v>0.92600126921138814</c:v>
                </c:pt>
              </c:numCache>
            </c:numRef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1839152"/>
        <c:axId val="1181848944"/>
      </c:lineChart>
      <c:catAx>
        <c:axId val="11818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8944"/>
        <c:crosses val="autoZero"/>
        <c:auto val="1"/>
        <c:lblAlgn val="ctr"/>
        <c:lblOffset val="100"/>
        <c:noMultiLvlLbl val="0"/>
      </c:catAx>
      <c:valAx>
        <c:axId val="118184894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3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Difference</a:t>
            </a:r>
            <a:r>
              <a:rPr lang="en-US" altLang="zh-CN" baseline="0"/>
              <a:t> between BEVs' TCO and ICEVs' TCO for Class A00, A, B, and C</a:t>
            </a:r>
            <a:endParaRPr lang="zh-CN" altLang="en-US"/>
          </a:p>
        </c:rich>
      </c:tx>
      <c:layout>
        <c:manualLayout>
          <c:xMode val="edge"/>
          <c:yMode val="edge"/>
          <c:x val="0.17614054710705848"/>
          <c:y val="3.1446540880503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graphing'!$E$16</c:f>
              <c:strCache>
                <c:ptCount val="1"/>
                <c:pt idx="0">
                  <c:v>A00 TCO (diff)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'TCO graphing'!$D$17:$D$24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90</c:v>
                </c:pt>
                <c:pt idx="6">
                  <c:v>120</c:v>
                </c:pt>
                <c:pt idx="7">
                  <c:v>300</c:v>
                </c:pt>
              </c:numCache>
            </c:numRef>
          </c:cat>
          <c:val>
            <c:numRef>
              <c:f>'TCO graphing'!$E$17:$E$24</c:f>
              <c:numCache>
                <c:formatCode>General</c:formatCode>
                <c:ptCount val="8"/>
                <c:pt idx="0">
                  <c:v>6373.2952563901781</c:v>
                </c:pt>
                <c:pt idx="1">
                  <c:v>-5768.5509648304433</c:v>
                </c:pt>
                <c:pt idx="2">
                  <c:v>-30052.243407271657</c:v>
                </c:pt>
                <c:pt idx="3">
                  <c:v>-54335.935849712871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'TCO graphing'!$F$16</c:f>
              <c:strCache>
                <c:ptCount val="1"/>
                <c:pt idx="0">
                  <c:v>A TCO (diff)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graphing'!$D$17:$D$24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90</c:v>
                </c:pt>
                <c:pt idx="6">
                  <c:v>120</c:v>
                </c:pt>
                <c:pt idx="7">
                  <c:v>300</c:v>
                </c:pt>
              </c:numCache>
            </c:numRef>
          </c:cat>
          <c:val>
            <c:numRef>
              <c:f>'TCO graphing'!$F$17:$F$24</c:f>
              <c:numCache>
                <c:formatCode>General</c:formatCode>
                <c:ptCount val="8"/>
                <c:pt idx="1">
                  <c:v>15252.516690046352</c:v>
                </c:pt>
                <c:pt idx="2">
                  <c:v>-10604.05150647377</c:v>
                </c:pt>
                <c:pt idx="3">
                  <c:v>-36460.619702993834</c:v>
                </c:pt>
                <c:pt idx="4">
                  <c:v>-61717.187899514014</c:v>
                </c:pt>
                <c:pt idx="7">
                  <c:v>-206633.73121233939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'TCO graphing'!$G$16</c:f>
              <c:strCache>
                <c:ptCount val="1"/>
                <c:pt idx="0">
                  <c:v>B TCO (diff)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graphing'!$D$17:$D$24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90</c:v>
                </c:pt>
                <c:pt idx="6">
                  <c:v>120</c:v>
                </c:pt>
                <c:pt idx="7">
                  <c:v>300</c:v>
                </c:pt>
              </c:numCache>
            </c:numRef>
          </c:cat>
          <c:val>
            <c:numRef>
              <c:f>'TCO graphing'!$G$17:$G$24</c:f>
              <c:numCache>
                <c:formatCode>General</c:formatCode>
                <c:ptCount val="8"/>
                <c:pt idx="2">
                  <c:v>39781.599313289829</c:v>
                </c:pt>
                <c:pt idx="3">
                  <c:v>10230.356526651478</c:v>
                </c:pt>
                <c:pt idx="4">
                  <c:v>-18720.886259986844</c:v>
                </c:pt>
                <c:pt idx="7">
                  <c:v>-195068.02867952565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'TCO graphing'!$H$16</c:f>
              <c:strCache>
                <c:ptCount val="1"/>
                <c:pt idx="0">
                  <c:v>C TCO (diff)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'TCO graphing'!$D$17:$D$24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90</c:v>
                </c:pt>
                <c:pt idx="6">
                  <c:v>120</c:v>
                </c:pt>
                <c:pt idx="7">
                  <c:v>300</c:v>
                </c:pt>
              </c:numCache>
            </c:numRef>
          </c:cat>
          <c:val>
            <c:numRef>
              <c:f>'TCO graphing'!$H$17:$H$24</c:f>
              <c:numCache>
                <c:formatCode>General</c:formatCode>
                <c:ptCount val="8"/>
                <c:pt idx="3">
                  <c:v>67588.895018414129</c:v>
                </c:pt>
                <c:pt idx="4">
                  <c:v>39735.498395696515</c:v>
                </c:pt>
                <c:pt idx="5">
                  <c:v>25608.800084337825</c:v>
                </c:pt>
                <c:pt idx="6">
                  <c:v>-17171.294849738362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847856"/>
        <c:axId val="1181841328"/>
      </c:lineChart>
      <c:catAx>
        <c:axId val="118184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/>
                  <a:t>Daily</a:t>
                </a:r>
                <a:r>
                  <a:rPr lang="en-US" altLang="zh-CN" sz="1100" baseline="0"/>
                  <a:t> Drive Range (km)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42722189712174974"/>
              <c:y val="0.88186541540797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1328"/>
        <c:crosses val="autoZero"/>
        <c:auto val="1"/>
        <c:lblAlgn val="ctr"/>
        <c:lblOffset val="100"/>
        <c:noMultiLvlLbl val="0"/>
      </c:catAx>
      <c:valAx>
        <c:axId val="118184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/>
                  <a:t>TCO Differences</a:t>
                </a:r>
                <a:endParaRPr lang="zh-CN" altLang="en-US"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 TCO difference for Class A00, A, B,</a:t>
            </a:r>
            <a:r>
              <a:rPr lang="en-US" altLang="zh-CN" baseline="0"/>
              <a:t> and C (average prices)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A00 TCO diff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graphing'!$B$40:$B$43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graphing'!$D$40:$D$43</c:f>
              <c:numCache>
                <c:formatCode>_ * #,##0_ ;_ * \-#,##0_ ;_ * "-"??_ ;_ @_ </c:formatCode>
                <c:ptCount val="4"/>
                <c:pt idx="0">
                  <c:v>3700.1452563901839</c:v>
                </c:pt>
                <c:pt idx="1">
                  <c:v>-8441.7009648304374</c:v>
                </c:pt>
                <c:pt idx="2">
                  <c:v>-32725.393407271651</c:v>
                </c:pt>
                <c:pt idx="3">
                  <c:v>-57009.085849712865</c:v>
                </c:pt>
              </c:numCache>
            </c:numRef>
          </c:yVal>
          <c:smooth val="1"/>
        </c:ser>
        <c:ser>
          <c:idx val="1"/>
          <c:order val="1"/>
          <c:tx>
            <c:v>A TCO diff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graphing'!$B$46:$B$49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graphing'!$D$46:$D$49</c:f>
              <c:numCache>
                <c:formatCode>_ * #,##0_ ;_ * \-#,##0_ ;_ * "-"??_ ;_ @_ </c:formatCode>
                <c:ptCount val="4"/>
                <c:pt idx="0">
                  <c:v>8014.4611344907898</c:v>
                </c:pt>
                <c:pt idx="1">
                  <c:v>-4813.8229637692566</c:v>
                </c:pt>
                <c:pt idx="2">
                  <c:v>-17842.107062029332</c:v>
                </c:pt>
                <c:pt idx="3">
                  <c:v>-43698.675258549396</c:v>
                </c:pt>
              </c:numCache>
            </c:numRef>
          </c:yVal>
          <c:smooth val="1"/>
        </c:ser>
        <c:ser>
          <c:idx val="2"/>
          <c:order val="2"/>
          <c:tx>
            <c:v>B TCO diff 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graphing'!$B$53:$B$56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graphing'!$D$53:$D$56</c:f>
              <c:numCache>
                <c:formatCode>_ * #,##0_ ;_ * \-#,##0_ ;_ * "-"??_ ;_ @_ </c:formatCode>
                <c:ptCount val="4"/>
                <c:pt idx="0">
                  <c:v>18625.550433261524</c:v>
                </c:pt>
                <c:pt idx="1">
                  <c:v>3949.9290399423335</c:v>
                </c:pt>
                <c:pt idx="2">
                  <c:v>-10925.692353376828</c:v>
                </c:pt>
                <c:pt idx="3">
                  <c:v>-40476.935140015179</c:v>
                </c:pt>
              </c:numCache>
            </c:numRef>
          </c:yVal>
          <c:smooth val="1"/>
        </c:ser>
        <c:ser>
          <c:idx val="3"/>
          <c:order val="3"/>
          <c:tx>
            <c:v>C TCO diff 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graphing'!$B$60:$B$63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graphing'!$D$60:$D$63</c:f>
              <c:numCache>
                <c:formatCode>_ * #,##0_ ;_ * \-#,##0_ ;_ * "-"??_ ;_ @_ </c:formatCode>
                <c:ptCount val="4"/>
                <c:pt idx="0">
                  <c:v>14784.259692420368</c:v>
                </c:pt>
                <c:pt idx="1">
                  <c:v>457.56138106156141</c:v>
                </c:pt>
                <c:pt idx="2">
                  <c:v>-13869.136930297129</c:v>
                </c:pt>
                <c:pt idx="3">
                  <c:v>-42322.533553014626</c:v>
                </c:pt>
              </c:numCache>
            </c:numRef>
          </c:yVal>
          <c:smooth val="1"/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181851120"/>
        <c:axId val="1181842960"/>
      </c:scatterChart>
      <c:valAx>
        <c:axId val="118185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Average driving</a:t>
                </a:r>
                <a:r>
                  <a:rPr lang="en-US" altLang="zh-CN" sz="1400" baseline="0"/>
                  <a:t> range km/day</a:t>
                </a:r>
                <a:endParaRPr lang="zh-CN" altLang="en-US" sz="1400"/>
              </a:p>
            </c:rich>
          </c:tx>
          <c:layout>
            <c:manualLayout>
              <c:xMode val="edge"/>
              <c:yMode val="edge"/>
              <c:x val="0.40336731617363503"/>
              <c:y val="0.91075278637548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2960"/>
        <c:crosses val="autoZero"/>
        <c:crossBetween val="midCat"/>
      </c:valAx>
      <c:valAx>
        <c:axId val="11818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TCO Difference </a:t>
                </a:r>
              </a:p>
            </c:rich>
          </c:tx>
          <c:layout>
            <c:manualLayout>
              <c:xMode val="edge"/>
              <c:yMode val="edge"/>
              <c:x val="1.1205737337516808E-2"/>
              <c:y val="0.42616816135320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5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64176032982523"/>
          <c:y val="0.95413009082246081"/>
          <c:w val="0.34645073306175106"/>
          <c:h val="3.0938546029521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 TCO difference</a:t>
            </a:r>
            <a:r>
              <a:rPr lang="en-US" altLang="zh-CN" baseline="0"/>
              <a:t> for Class A00, A, B, and C (average prices)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A00 TCO diff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graphing'!$B$40:$B$43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graphing'!$E$40:$E$43</c:f>
              <c:numCache>
                <c:formatCode>_ * #,##0_ ;_ * \-#,##0_ ;_ * "-"??_ ;_ @_ </c:formatCode>
                <c:ptCount val="4"/>
                <c:pt idx="0">
                  <c:v>-3522.3601500122895</c:v>
                </c:pt>
                <c:pt idx="1">
                  <c:v>-15306.366190032291</c:v>
                </c:pt>
                <c:pt idx="2">
                  <c:v>-38874.37827007231</c:v>
                </c:pt>
                <c:pt idx="3">
                  <c:v>-62442.390350112371</c:v>
                </c:pt>
              </c:numCache>
            </c:numRef>
          </c:yVal>
          <c:smooth val="1"/>
        </c:ser>
        <c:ser>
          <c:idx val="1"/>
          <c:order val="1"/>
          <c:tx>
            <c:v>A TCO diff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graphing'!$B$46:$B$49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graphing'!$E$46:$E$49</c:f>
              <c:numCache>
                <c:formatCode>_ * #,##0_ ;_ * \-#,##0_ ;_ * "-"??_ ;_ @_ </c:formatCode>
                <c:ptCount val="4"/>
                <c:pt idx="0">
                  <c:v>245.37618235350237</c:v>
                </c:pt>
                <c:pt idx="1">
                  <c:v>-12205.161777122237</c:v>
                </c:pt>
                <c:pt idx="2">
                  <c:v>-24849.699736598035</c:v>
                </c:pt>
                <c:pt idx="3">
                  <c:v>-49944.775655549573</c:v>
                </c:pt>
              </c:numCache>
            </c:numRef>
          </c:yVal>
          <c:smooth val="1"/>
        </c:ser>
        <c:ser>
          <c:idx val="2"/>
          <c:order val="2"/>
          <c:tx>
            <c:v>B TCO diff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graphing'!$B$53:$B$56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graphing'!$E$53:$E$56</c:f>
              <c:numCache>
                <c:formatCode>_ * #,##0_ ;_ * \-#,##0_ ;_ * "-"??_ ;_ @_ </c:formatCode>
                <c:ptCount val="4"/>
                <c:pt idx="0">
                  <c:v>8720.4773623897927</c:v>
                </c:pt>
                <c:pt idx="1">
                  <c:v>-5523.5919515122951</c:v>
                </c:pt>
                <c:pt idx="2">
                  <c:v>-19961.661265414412</c:v>
                </c:pt>
                <c:pt idx="3">
                  <c:v>-48643.799893218616</c:v>
                </c:pt>
              </c:numCache>
            </c:numRef>
          </c:yVal>
          <c:smooth val="1"/>
        </c:ser>
        <c:ser>
          <c:idx val="3"/>
          <c:order val="3"/>
          <c:tx>
            <c:v>C TCO diff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5548039989418979E-2"/>
                  <c:y val="1.1194029850746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'TCO graphing'!$B$60:$B$63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</c:numCache>
            </c:numRef>
          </c:xVal>
          <c:yVal>
            <c:numRef>
              <c:f>'TCO graphing'!$E$60:$E$63</c:f>
              <c:numCache>
                <c:formatCode>_ * #,##0_ ;_ * \-#,##0_ ;_ * "-"??_ ;_ @_ </c:formatCode>
                <c:ptCount val="4"/>
                <c:pt idx="0">
                  <c:v>-534.78948031319305</c:v>
                </c:pt>
                <c:pt idx="1">
                  <c:v>-14439.92376318574</c:v>
                </c:pt>
                <c:pt idx="2">
                  <c:v>-28345.058046058286</c:v>
                </c:pt>
                <c:pt idx="3">
                  <c:v>-55961.326611803495</c:v>
                </c:pt>
              </c:numCache>
            </c:numRef>
          </c:yVal>
          <c:smooth val="1"/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181844592"/>
        <c:axId val="1181850032"/>
      </c:scatterChart>
      <c:valAx>
        <c:axId val="11818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Average driving</a:t>
                </a:r>
                <a:r>
                  <a:rPr lang="en-US" altLang="zh-CN" sz="1400" baseline="0"/>
                  <a:t> range km/day</a:t>
                </a:r>
                <a:endParaRPr lang="zh-CN" altLang="en-US" sz="1400"/>
              </a:p>
            </c:rich>
          </c:tx>
          <c:layout>
            <c:manualLayout>
              <c:xMode val="edge"/>
              <c:yMode val="edge"/>
              <c:x val="0.41846124248777383"/>
              <c:y val="0.9135692128377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50032"/>
        <c:crosses val="autoZero"/>
        <c:crossBetween val="midCat"/>
      </c:valAx>
      <c:valAx>
        <c:axId val="11818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TCO</a:t>
                </a:r>
                <a:r>
                  <a:rPr lang="en-US" altLang="zh-CN" sz="1400" baseline="0"/>
                  <a:t> Difference</a:t>
                </a:r>
                <a:endParaRPr lang="zh-CN" alt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844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000"/>
            <c:dispRSqr val="1"/>
            <c:dispEq val="1"/>
            <c:trendlineLbl>
              <c:layout>
                <c:manualLayout>
                  <c:x val="0.11105008748906386"/>
                  <c:y val="-0.175770268299795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'Norway Charging Station'!$G$3:$G$10</c:f>
              <c:numCache>
                <c:formatCode>_ * #,##0_ ;_ * \-#,##0_ ;_ * "-"??_ ;_ @_ </c:formatCode>
                <c:ptCount val="8"/>
                <c:pt idx="0">
                  <c:v>3123</c:v>
                </c:pt>
                <c:pt idx="1">
                  <c:v>3746</c:v>
                </c:pt>
                <c:pt idx="2">
                  <c:v>4642</c:v>
                </c:pt>
                <c:pt idx="3">
                  <c:v>5720</c:v>
                </c:pt>
                <c:pt idx="4">
                  <c:v>7055</c:v>
                </c:pt>
                <c:pt idx="5">
                  <c:v>7699</c:v>
                </c:pt>
                <c:pt idx="6">
                  <c:v>9166</c:v>
                </c:pt>
                <c:pt idx="7">
                  <c:v>10711</c:v>
                </c:pt>
              </c:numCache>
            </c:numRef>
          </c:xVal>
          <c:yVal>
            <c:numRef>
              <c:f>'Norway Charging Station'!$H$3:$H$10</c:f>
              <c:numCache>
                <c:formatCode>General</c:formatCode>
                <c:ptCount val="8"/>
                <c:pt idx="0">
                  <c:v>1826.154</c:v>
                </c:pt>
                <c:pt idx="1">
                  <c:v>4139.01</c:v>
                </c:pt>
                <c:pt idx="2">
                  <c:v>8059.9616999999998</c:v>
                </c:pt>
                <c:pt idx="3">
                  <c:v>17607.064200000001</c:v>
                </c:pt>
                <c:pt idx="4">
                  <c:v>24275.514599999999</c:v>
                </c:pt>
                <c:pt idx="5">
                  <c:v>22216.451099999998</c:v>
                </c:pt>
                <c:pt idx="6">
                  <c:v>31190.59</c:v>
                </c:pt>
                <c:pt idx="7">
                  <c:v>43594.676299999999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31936"/>
        <c:axId val="1183033024"/>
      </c:scatterChart>
      <c:valAx>
        <c:axId val="11830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3024"/>
        <c:crosses val="autoZero"/>
        <c:crossBetween val="midCat"/>
      </c:valAx>
      <c:valAx>
        <c:axId val="11830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500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'Sweden Charging Stations'!$E$4:$E$10</c:f>
              <c:numCache>
                <c:formatCode>General</c:formatCode>
                <c:ptCount val="7"/>
                <c:pt idx="0">
                  <c:v>505</c:v>
                </c:pt>
                <c:pt idx="1">
                  <c:v>1020</c:v>
                </c:pt>
                <c:pt idx="2">
                  <c:v>1070</c:v>
                </c:pt>
                <c:pt idx="3">
                  <c:v>1824</c:v>
                </c:pt>
                <c:pt idx="4">
                  <c:v>2924</c:v>
                </c:pt>
                <c:pt idx="5">
                  <c:v>4319</c:v>
                </c:pt>
                <c:pt idx="6">
                  <c:v>5518</c:v>
                </c:pt>
              </c:numCache>
            </c:numRef>
          </c:xVal>
          <c:yVal>
            <c:numRef>
              <c:f>'Sweden Charging Stations'!$F$4:$F$10</c:f>
              <c:numCache>
                <c:formatCode>General</c:formatCode>
                <c:ptCount val="7"/>
                <c:pt idx="0">
                  <c:v>247</c:v>
                </c:pt>
                <c:pt idx="1">
                  <c:v>432</c:v>
                </c:pt>
                <c:pt idx="2">
                  <c:v>1239</c:v>
                </c:pt>
                <c:pt idx="3">
                  <c:v>2962</c:v>
                </c:pt>
                <c:pt idx="4">
                  <c:v>2945</c:v>
                </c:pt>
                <c:pt idx="5">
                  <c:v>4217</c:v>
                </c:pt>
                <c:pt idx="6">
                  <c:v>7078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36288"/>
        <c:axId val="1183045536"/>
      </c:scatterChart>
      <c:valAx>
        <c:axId val="11830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45536"/>
        <c:crosses val="autoZero"/>
        <c:crossBetween val="midCat"/>
      </c:valAx>
      <c:valAx>
        <c:axId val="11830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5000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'Netherland Charging Stations'!$C$2:$C$10</c:f>
              <c:numCache>
                <c:formatCode>General</c:formatCode>
                <c:ptCount val="9"/>
                <c:pt idx="0">
                  <c:v>1826</c:v>
                </c:pt>
                <c:pt idx="1">
                  <c:v>3611</c:v>
                </c:pt>
                <c:pt idx="2">
                  <c:v>5750</c:v>
                </c:pt>
                <c:pt idx="3">
                  <c:v>11860</c:v>
                </c:pt>
                <c:pt idx="4">
                  <c:v>14152</c:v>
                </c:pt>
                <c:pt idx="5">
                  <c:v>21010</c:v>
                </c:pt>
                <c:pt idx="6">
                  <c:v>28414</c:v>
                </c:pt>
                <c:pt idx="7">
                  <c:v>33607</c:v>
                </c:pt>
                <c:pt idx="8">
                  <c:v>40957</c:v>
                </c:pt>
              </c:numCache>
            </c:numRef>
          </c:xVal>
          <c:yVal>
            <c:numRef>
              <c:f>'Netherland Charging Stations'!$D$2:$D$10</c:f>
              <c:numCache>
                <c:formatCode>General</c:formatCode>
                <c:ptCount val="9"/>
                <c:pt idx="0">
                  <c:v>1124</c:v>
                </c:pt>
                <c:pt idx="1">
                  <c:v>1910</c:v>
                </c:pt>
                <c:pt idx="2">
                  <c:v>4161</c:v>
                </c:pt>
                <c:pt idx="3">
                  <c:v>6825</c:v>
                </c:pt>
                <c:pt idx="4">
                  <c:v>9368</c:v>
                </c:pt>
                <c:pt idx="5">
                  <c:v>13105</c:v>
                </c:pt>
                <c:pt idx="6">
                  <c:v>21115</c:v>
                </c:pt>
                <c:pt idx="7">
                  <c:v>44984</c:v>
                </c:pt>
                <c:pt idx="8">
                  <c:v>61965.9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44448"/>
        <c:axId val="1183032480"/>
      </c:scatterChart>
      <c:valAx>
        <c:axId val="118304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2480"/>
        <c:crosses val="autoZero"/>
        <c:crossBetween val="midCat"/>
      </c:valAx>
      <c:valAx>
        <c:axId val="11830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4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2000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Germany!$G$19:$G$26</c:f>
              <c:numCache>
                <c:formatCode>General</c:formatCode>
                <c:ptCount val="8"/>
                <c:pt idx="0">
                  <c:v>1518</c:v>
                </c:pt>
                <c:pt idx="1">
                  <c:v>2447</c:v>
                </c:pt>
                <c:pt idx="2">
                  <c:v>2941</c:v>
                </c:pt>
                <c:pt idx="3">
                  <c:v>5571</c:v>
                </c:pt>
                <c:pt idx="4">
                  <c:v>19293</c:v>
                </c:pt>
                <c:pt idx="5">
                  <c:v>25373</c:v>
                </c:pt>
                <c:pt idx="6">
                  <c:v>27459</c:v>
                </c:pt>
                <c:pt idx="7">
                  <c:v>34639</c:v>
                </c:pt>
              </c:numCache>
            </c:numRef>
          </c:xVal>
          <c:yVal>
            <c:numRef>
              <c:f>Germany!$I$19:$I$26</c:f>
              <c:numCache>
                <c:formatCode>General</c:formatCode>
                <c:ptCount val="8"/>
                <c:pt idx="0">
                  <c:v>2956</c:v>
                </c:pt>
                <c:pt idx="1">
                  <c:v>6051</c:v>
                </c:pt>
                <c:pt idx="2">
                  <c:v>8522</c:v>
                </c:pt>
                <c:pt idx="3">
                  <c:v>12363</c:v>
                </c:pt>
                <c:pt idx="4">
                  <c:v>11410</c:v>
                </c:pt>
                <c:pt idx="5">
                  <c:v>25056</c:v>
                </c:pt>
                <c:pt idx="6">
                  <c:v>36062</c:v>
                </c:pt>
                <c:pt idx="7">
                  <c:v>63281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33568"/>
        <c:axId val="1183039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Germany!$G$19:$G$26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1518</c:v>
                      </c:pt>
                      <c:pt idx="1">
                        <c:v>2447</c:v>
                      </c:pt>
                      <c:pt idx="2">
                        <c:v>2941</c:v>
                      </c:pt>
                      <c:pt idx="3">
                        <c:v>5571</c:v>
                      </c:pt>
                      <c:pt idx="4">
                        <c:v>19293</c:v>
                      </c:pt>
                      <c:pt idx="5">
                        <c:v>25373</c:v>
                      </c:pt>
                      <c:pt idx="6">
                        <c:v>27459</c:v>
                      </c:pt>
                      <c:pt idx="7">
                        <c:v>34639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Germany!$H$19:$H$26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118303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9008"/>
        <c:crosses val="autoZero"/>
        <c:crossBetween val="midCat"/>
      </c:valAx>
      <c:valAx>
        <c:axId val="11830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70000"/>
            <c:dispRSqr val="1"/>
            <c:dispEq val="1"/>
            <c:trendlineLbl>
              <c:layout>
                <c:manualLayout>
                  <c:x val="0.12775131233595802"/>
                  <c:y val="-0.211799358413531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'China charging Station'!$F$7:$F$13</c:f>
              <c:numCache>
                <c:formatCode>General</c:formatCode>
                <c:ptCount val="7"/>
                <c:pt idx="0">
                  <c:v>22500</c:v>
                </c:pt>
                <c:pt idx="1">
                  <c:v>30900</c:v>
                </c:pt>
                <c:pt idx="2">
                  <c:v>49000</c:v>
                </c:pt>
                <c:pt idx="3">
                  <c:v>141254</c:v>
                </c:pt>
                <c:pt idx="4">
                  <c:v>213903</c:v>
                </c:pt>
                <c:pt idx="5">
                  <c:v>300000</c:v>
                </c:pt>
                <c:pt idx="6">
                  <c:v>496000</c:v>
                </c:pt>
              </c:numCache>
            </c:numRef>
          </c:xVal>
          <c:yVal>
            <c:numRef>
              <c:f>'China charging Station'!$G$7:$G$13</c:f>
              <c:numCache>
                <c:formatCode>General</c:formatCode>
                <c:ptCount val="7"/>
                <c:pt idx="0">
                  <c:v>14604</c:v>
                </c:pt>
                <c:pt idx="1">
                  <c:v>21732</c:v>
                </c:pt>
                <c:pt idx="2">
                  <c:v>52243</c:v>
                </c:pt>
                <c:pt idx="3">
                  <c:v>167572</c:v>
                </c:pt>
                <c:pt idx="4">
                  <c:v>456097</c:v>
                </c:pt>
                <c:pt idx="5">
                  <c:v>717414</c:v>
                </c:pt>
                <c:pt idx="6">
                  <c:v>730509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34656"/>
        <c:axId val="1183037376"/>
      </c:scatterChart>
      <c:valAx>
        <c:axId val="118303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7376"/>
        <c:crosses val="autoZero"/>
        <c:crossBetween val="midCat"/>
      </c:valAx>
      <c:valAx>
        <c:axId val="118303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303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499110</xdr:colOff>
      <xdr:row>19</xdr:row>
      <xdr:rowOff>99066</xdr:rowOff>
    </xdr:from>
    <xdr:to>
      <xdr:col>12</xdr:col>
      <xdr:colOff>194310</xdr:colOff>
      <xdr:row>34</xdr:row>
      <xdr:rowOff>99066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2</xdr:row>
      <xdr:rowOff>15240</xdr:rowOff>
    </xdr:from>
    <xdr:to>
      <xdr:col>14</xdr:col>
      <xdr:colOff>335280</xdr:colOff>
      <xdr:row>28</xdr:row>
      <xdr:rowOff>83820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41</xdr:row>
      <xdr:rowOff>7620</xdr:rowOff>
    </xdr:from>
    <xdr:to>
      <xdr:col>2</xdr:col>
      <xdr:colOff>0</xdr:colOff>
      <xdr:row>43</xdr:row>
      <xdr:rowOff>0</xdr:rowOff>
    </xdr:to>
    <xdr:cxnSp macro="">
      <xdr:nvCxnSpPr>
        <xdr:cNvPr id="3" name="直接连接符 2"/>
        <xdr:cNvCxnSpPr/>
      </xdr:nvCxnSpPr>
      <xdr:spPr>
        <a:xfrm>
          <a:off x="15240" y="8252460"/>
          <a:ext cx="2125980" cy="51816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39</xdr:row>
      <xdr:rowOff>7620</xdr:rowOff>
    </xdr:from>
    <xdr:to>
      <xdr:col>3</xdr:col>
      <xdr:colOff>0</xdr:colOff>
      <xdr:row>41</xdr:row>
      <xdr:rowOff>0</xdr:rowOff>
    </xdr:to>
    <xdr:cxnSp macro="">
      <xdr:nvCxnSpPr>
        <xdr:cNvPr id="3" name="直接连接符 2"/>
        <xdr:cNvCxnSpPr/>
      </xdr:nvCxnSpPr>
      <xdr:spPr>
        <a:xfrm>
          <a:off x="15240" y="8252460"/>
          <a:ext cx="2232660" cy="51816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37</xdr:row>
      <xdr:rowOff>7620</xdr:rowOff>
    </xdr:from>
    <xdr:to>
      <xdr:col>3</xdr:col>
      <xdr:colOff>0</xdr:colOff>
      <xdr:row>39</xdr:row>
      <xdr:rowOff>0</xdr:rowOff>
    </xdr:to>
    <xdr:cxnSp macro="">
      <xdr:nvCxnSpPr>
        <xdr:cNvPr id="2" name="直接连接符 1"/>
        <xdr:cNvCxnSpPr/>
      </xdr:nvCxnSpPr>
      <xdr:spPr>
        <a:xfrm>
          <a:off x="510540" y="7383780"/>
          <a:ext cx="3467100" cy="54102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36</xdr:row>
      <xdr:rowOff>7620</xdr:rowOff>
    </xdr:from>
    <xdr:to>
      <xdr:col>3</xdr:col>
      <xdr:colOff>0</xdr:colOff>
      <xdr:row>38</xdr:row>
      <xdr:rowOff>0</xdr:rowOff>
    </xdr:to>
    <xdr:cxnSp macro="">
      <xdr:nvCxnSpPr>
        <xdr:cNvPr id="2" name="直接连接符 1"/>
        <xdr:cNvCxnSpPr/>
      </xdr:nvCxnSpPr>
      <xdr:spPr>
        <a:xfrm>
          <a:off x="929640" y="7040880"/>
          <a:ext cx="2072640" cy="101346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30481</xdr:colOff>
      <xdr:row>0</xdr:row>
      <xdr:rowOff>0</xdr:rowOff>
    </xdr:from>
    <xdr:to>
      <xdr:col>19</xdr:col>
      <xdr:colOff>160020</xdr:colOff>
      <xdr:row>19</xdr:row>
      <xdr:rowOff>137160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1017616</xdr:colOff>
      <xdr:row>19</xdr:row>
      <xdr:rowOff>48791</xdr:rowOff>
    </xdr:from>
    <xdr:to>
      <xdr:col>12</xdr:col>
      <xdr:colOff>552796</xdr:colOff>
      <xdr:row>45</xdr:row>
      <xdr:rowOff>166946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444731</xdr:colOff>
      <xdr:row>65</xdr:row>
      <xdr:rowOff>76201</xdr:rowOff>
    </xdr:from>
    <xdr:to>
      <xdr:col>11</xdr:col>
      <xdr:colOff>41563</xdr:colOff>
      <xdr:row>94</xdr:row>
      <xdr:rowOff>47027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5245</xdr:colOff>
      <xdr:row>76</xdr:row>
      <xdr:rowOff>28104</xdr:rowOff>
    </xdr:from>
    <xdr:to>
      <xdr:col>22</xdr:col>
      <xdr:colOff>380477</xdr:colOff>
      <xdr:row>97</xdr:row>
      <xdr:rowOff>63335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976207</xdr:colOff>
      <xdr:row>11</xdr:row>
      <xdr:rowOff>160867</xdr:rowOff>
    </xdr:from>
    <xdr:to>
      <xdr:col>24</xdr:col>
      <xdr:colOff>342900</xdr:colOff>
      <xdr:row>38</xdr:row>
      <xdr:rowOff>50800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533400</xdr:colOff>
      <xdr:row>10</xdr:row>
      <xdr:rowOff>159150</xdr:rowOff>
    </xdr:from>
    <xdr:to>
      <xdr:col>35</xdr:col>
      <xdr:colOff>360680</xdr:colOff>
      <xdr:row>47</xdr:row>
      <xdr:rowOff>177437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168062</xdr:colOff>
      <xdr:row>54</xdr:row>
      <xdr:rowOff>93133</xdr:rowOff>
    </xdr:from>
    <xdr:to>
      <xdr:col>35</xdr:col>
      <xdr:colOff>21187</xdr:colOff>
      <xdr:row>89</xdr:row>
      <xdr:rowOff>169332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194310</xdr:colOff>
      <xdr:row>13</xdr:row>
      <xdr:rowOff>167640</xdr:rowOff>
    </xdr:from>
    <xdr:to>
      <xdr:col>6</xdr:col>
      <xdr:colOff>316230</xdr:colOff>
      <xdr:row>28</xdr:row>
      <xdr:rowOff>167640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12</xdr:row>
      <xdr:rowOff>167640</xdr:rowOff>
    </xdr:from>
    <xdr:to>
      <xdr:col>8</xdr:col>
      <xdr:colOff>579120</xdr:colOff>
      <xdr:row>27</xdr:row>
      <xdr:rowOff>167640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11</xdr:row>
      <xdr:rowOff>129540</xdr:rowOff>
    </xdr:from>
    <xdr:to>
      <xdr:col>9</xdr:col>
      <xdr:colOff>243840</xdr:colOff>
      <xdr:row>26</xdr:row>
      <xdr:rowOff>129540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521970</xdr:colOff>
      <xdr:row>1</xdr:row>
      <xdr:rowOff>60960</xdr:rowOff>
    </xdr:from>
    <xdr:to>
      <xdr:col>19</xdr:col>
      <xdr:colOff>217170</xdr:colOff>
      <xdr:row>16</xdr:row>
      <xdr:rowOff>60960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468630</xdr:colOff>
      <xdr:row>13</xdr:row>
      <xdr:rowOff>160020</xdr:rowOff>
    </xdr:from>
    <xdr:to>
      <xdr:col>21</xdr:col>
      <xdr:colOff>163830</xdr:colOff>
      <xdr:row>28</xdr:row>
      <xdr:rowOff>160020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insideevs.com/news/393067/plugin-car-sales-germany-december-2019/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zoomScaleNormal="100" workbookViewId="0">
      <pane ySplit="1" topLeftCell="A31" activePane="bottomLeft" state="frozen"/>
      <selection pane="bottomLeft" activeCell="G111" sqref="G111"/>
    </sheetView>
  </sheetViews>
  <sheetFormatPr defaultRowHeight="14.4" x14ac:dyDescent="0.25"/>
  <cols>
    <col min="1" max="1" width="9.5546875" bestFit="1" customWidth="1"/>
    <col min="2" max="2" width="10.44140625" customWidth="1"/>
    <col min="3" max="3" width="14.5546875" customWidth="1"/>
    <col min="4" max="4" width="12.77734375" bestFit="1" customWidth="1"/>
    <col min="5" max="5" width="17.88671875" customWidth="1"/>
    <col min="6" max="6" width="10.5546875" customWidth="1"/>
    <col min="7" max="7" width="15.6640625" customWidth="1"/>
    <col min="8" max="8" width="12.6640625" customWidth="1"/>
    <col min="9" max="9" width="16.44140625" customWidth="1"/>
    <col min="10" max="11" width="10.5546875" bestFit="1" customWidth="1"/>
    <col min="12" max="12" width="18.44140625" customWidth="1"/>
    <col min="13" max="13" width="17.6640625" customWidth="1"/>
  </cols>
  <sheetData>
    <row r="1" spans="1:13" x14ac:dyDescent="0.25">
      <c r="A1" s="4"/>
      <c r="B1" s="5" t="s">
        <v>0</v>
      </c>
      <c r="C1" s="5" t="s">
        <v>16</v>
      </c>
      <c r="D1" s="6" t="s">
        <v>1</v>
      </c>
      <c r="E1" s="6" t="s">
        <v>4</v>
      </c>
      <c r="F1" s="7" t="s">
        <v>14</v>
      </c>
      <c r="G1" s="7" t="s">
        <v>15</v>
      </c>
      <c r="H1" s="7" t="s">
        <v>11</v>
      </c>
      <c r="I1" s="8" t="s">
        <v>13</v>
      </c>
      <c r="J1" s="9" t="s">
        <v>2</v>
      </c>
      <c r="K1" s="5" t="s">
        <v>3</v>
      </c>
      <c r="L1" t="s">
        <v>17</v>
      </c>
      <c r="M1" t="s">
        <v>18</v>
      </c>
    </row>
    <row r="2" spans="1:13" x14ac:dyDescent="0.25">
      <c r="A2" s="4"/>
      <c r="B2" s="5"/>
      <c r="C2" s="17"/>
      <c r="D2" s="6"/>
      <c r="E2" s="24"/>
      <c r="F2" s="13"/>
      <c r="G2" s="13"/>
      <c r="H2" s="13"/>
      <c r="I2" s="18"/>
      <c r="J2" s="19"/>
      <c r="K2" s="20"/>
      <c r="L2" s="23"/>
      <c r="M2" s="21"/>
    </row>
    <row r="3" spans="1:13" x14ac:dyDescent="0.25">
      <c r="A3" s="10">
        <v>41275</v>
      </c>
      <c r="B3" s="5"/>
      <c r="C3" s="17"/>
      <c r="D3" s="6"/>
      <c r="E3" s="24"/>
      <c r="F3" s="13"/>
      <c r="G3" s="13"/>
      <c r="H3" s="13">
        <v>1725500</v>
      </c>
      <c r="I3" s="18">
        <f>SUM($H$3:H3)</f>
        <v>1725500</v>
      </c>
      <c r="J3" s="19"/>
      <c r="K3" s="20"/>
      <c r="L3" s="23"/>
      <c r="M3" s="21"/>
    </row>
    <row r="4" spans="1:13" x14ac:dyDescent="0.25">
      <c r="A4" s="10">
        <v>41306</v>
      </c>
      <c r="B4" s="5"/>
      <c r="C4" s="17"/>
      <c r="D4" s="6"/>
      <c r="E4" s="24"/>
      <c r="F4" s="13"/>
      <c r="G4" s="13"/>
      <c r="H4" s="13">
        <v>1111900</v>
      </c>
      <c r="I4" s="18">
        <f>SUM($H$3:H4)</f>
        <v>2837400</v>
      </c>
      <c r="J4" s="19"/>
      <c r="K4" s="20"/>
      <c r="L4" s="23"/>
      <c r="M4" s="21"/>
    </row>
    <row r="5" spans="1:13" x14ac:dyDescent="0.25">
      <c r="A5" s="10">
        <v>41334</v>
      </c>
      <c r="B5" s="5"/>
      <c r="C5" s="17"/>
      <c r="D5" s="6"/>
      <c r="E5" s="24"/>
      <c r="F5" s="13"/>
      <c r="G5" s="13"/>
      <c r="H5" s="13">
        <v>1585500</v>
      </c>
      <c r="I5" s="18">
        <f>SUM($H$3:H5)</f>
        <v>4422900</v>
      </c>
      <c r="J5" s="19"/>
      <c r="K5" s="20"/>
      <c r="L5" s="23"/>
      <c r="M5" s="21"/>
    </row>
    <row r="6" spans="1:13" x14ac:dyDescent="0.25">
      <c r="A6" s="10">
        <v>41365</v>
      </c>
      <c r="B6" s="5"/>
      <c r="C6" s="17"/>
      <c r="D6" s="6"/>
      <c r="E6" s="24"/>
      <c r="F6" s="13"/>
      <c r="G6" s="13"/>
      <c r="H6" s="13">
        <v>1441400</v>
      </c>
      <c r="I6" s="18">
        <f>SUM($H$3:H6)</f>
        <v>5864300</v>
      </c>
      <c r="J6" s="19"/>
      <c r="K6" s="20"/>
      <c r="L6" s="23"/>
      <c r="M6" s="21"/>
    </row>
    <row r="7" spans="1:13" x14ac:dyDescent="0.25">
      <c r="A7" s="10">
        <v>41395</v>
      </c>
      <c r="B7" s="5"/>
      <c r="C7" s="17"/>
      <c r="D7" s="6"/>
      <c r="E7" s="24"/>
      <c r="F7" s="13"/>
      <c r="G7" s="13"/>
      <c r="H7" s="13">
        <v>1396900</v>
      </c>
      <c r="I7" s="18">
        <f>SUM($H$3:H7)</f>
        <v>7261200</v>
      </c>
      <c r="J7" s="19"/>
      <c r="K7" s="20"/>
      <c r="L7" s="23"/>
      <c r="M7" s="21"/>
    </row>
    <row r="8" spans="1:13" x14ac:dyDescent="0.25">
      <c r="A8" s="10">
        <v>41426</v>
      </c>
      <c r="B8" s="5"/>
      <c r="C8" s="17"/>
      <c r="D8" s="6"/>
      <c r="E8" s="24"/>
      <c r="F8" s="13"/>
      <c r="G8" s="13"/>
      <c r="H8" s="13">
        <v>1403500</v>
      </c>
      <c r="I8" s="18">
        <f>SUM($H$3:H8)</f>
        <v>8664700</v>
      </c>
      <c r="J8" s="19"/>
      <c r="K8" s="20"/>
      <c r="L8" s="23"/>
      <c r="M8" s="21"/>
    </row>
    <row r="9" spans="1:13" x14ac:dyDescent="0.25">
      <c r="A9" s="10">
        <v>41456</v>
      </c>
      <c r="B9" s="5"/>
      <c r="C9" s="17"/>
      <c r="D9" s="6"/>
      <c r="E9" s="24"/>
      <c r="F9" s="13"/>
      <c r="G9" s="13"/>
      <c r="H9" s="13">
        <v>1237600</v>
      </c>
      <c r="I9" s="18">
        <f>SUM($H$3:H9)</f>
        <v>9902300</v>
      </c>
      <c r="J9" s="19"/>
      <c r="K9" s="20"/>
      <c r="L9" s="23"/>
      <c r="M9" s="21"/>
    </row>
    <row r="10" spans="1:13" x14ac:dyDescent="0.25">
      <c r="A10" s="10">
        <v>41487</v>
      </c>
      <c r="B10" s="5"/>
      <c r="C10" s="17"/>
      <c r="D10" s="6"/>
      <c r="E10" s="24"/>
      <c r="F10" s="13"/>
      <c r="G10" s="13"/>
      <c r="H10" s="13">
        <v>1353200</v>
      </c>
      <c r="I10" s="18">
        <f>SUM($H$3:H10)</f>
        <v>11255500</v>
      </c>
      <c r="J10" s="19"/>
      <c r="K10" s="20"/>
      <c r="L10" s="23"/>
      <c r="M10" s="21"/>
    </row>
    <row r="11" spans="1:13" x14ac:dyDescent="0.25">
      <c r="A11" s="10">
        <v>41518</v>
      </c>
      <c r="B11" s="5"/>
      <c r="C11" s="17"/>
      <c r="D11" s="6"/>
      <c r="E11" s="24"/>
      <c r="F11" s="13"/>
      <c r="G11" s="13"/>
      <c r="H11" s="13">
        <v>1593500</v>
      </c>
      <c r="I11" s="18">
        <f>SUM($H$3:H11)</f>
        <v>12849000</v>
      </c>
      <c r="J11" s="19"/>
      <c r="K11" s="20"/>
      <c r="L11" s="23"/>
      <c r="M11" s="21"/>
    </row>
    <row r="12" spans="1:13" x14ac:dyDescent="0.25">
      <c r="A12" s="10">
        <v>41548</v>
      </c>
      <c r="B12" s="5"/>
      <c r="C12" s="17"/>
      <c r="D12" s="6"/>
      <c r="E12" s="24"/>
      <c r="F12" s="13"/>
      <c r="G12" s="13"/>
      <c r="H12" s="13">
        <v>1605700</v>
      </c>
      <c r="I12" s="18">
        <f>SUM($H$3:H12)</f>
        <v>14454700</v>
      </c>
      <c r="J12" s="19"/>
      <c r="K12" s="20"/>
      <c r="L12" s="23"/>
      <c r="M12" s="21"/>
    </row>
    <row r="13" spans="1:13" x14ac:dyDescent="0.25">
      <c r="A13" s="10">
        <v>41579</v>
      </c>
      <c r="B13" s="5"/>
      <c r="C13" s="17"/>
      <c r="D13" s="6"/>
      <c r="E13" s="24"/>
      <c r="F13" s="13"/>
      <c r="G13" s="13"/>
      <c r="H13" s="13">
        <v>1696300</v>
      </c>
      <c r="I13" s="18">
        <f>SUM($H$3:H13)</f>
        <v>16151000</v>
      </c>
      <c r="J13" s="19"/>
      <c r="K13" s="20"/>
      <c r="L13" s="23"/>
      <c r="M13" s="21"/>
    </row>
    <row r="14" spans="1:13" x14ac:dyDescent="0.25">
      <c r="A14" s="10">
        <v>41609</v>
      </c>
      <c r="B14" s="5"/>
      <c r="C14" s="17"/>
      <c r="D14" s="6"/>
      <c r="E14" s="24"/>
      <c r="F14" s="13"/>
      <c r="G14" s="13"/>
      <c r="H14" s="13">
        <v>1462900</v>
      </c>
      <c r="I14" s="25">
        <f>SUM($H$3:H14)</f>
        <v>17613900</v>
      </c>
      <c r="J14" s="19"/>
      <c r="K14" s="20"/>
      <c r="L14" s="23"/>
      <c r="M14" s="23"/>
    </row>
    <row r="15" spans="1:13" x14ac:dyDescent="0.25">
      <c r="A15" s="4">
        <v>2013</v>
      </c>
      <c r="B15" s="5"/>
      <c r="C15" s="17">
        <v>14604</v>
      </c>
      <c r="D15" s="6"/>
      <c r="E15" s="24">
        <v>3290</v>
      </c>
      <c r="F15" s="13">
        <f>SUM(C15+E15)</f>
        <v>17894</v>
      </c>
      <c r="G15" s="13">
        <f>SUM($F15:F$17)</f>
        <v>17894</v>
      </c>
      <c r="H15" s="269">
        <f t="shared" ref="H15:H45" si="0">C15/G15</f>
        <v>0.81613948809656867</v>
      </c>
      <c r="I15" s="18">
        <v>17613900</v>
      </c>
      <c r="J15" s="19"/>
      <c r="K15" s="20"/>
      <c r="L15" s="23">
        <f>C15/I15</f>
        <v>8.2911791255769595E-4</v>
      </c>
      <c r="M15" s="23">
        <f>G15/I15</f>
        <v>1.0159022135926739E-3</v>
      </c>
    </row>
    <row r="16" spans="1:13" hidden="1" x14ac:dyDescent="0.25">
      <c r="A16" s="10"/>
      <c r="B16" s="5"/>
      <c r="C16" s="17"/>
      <c r="D16" s="6"/>
      <c r="E16" s="24"/>
      <c r="F16" s="13"/>
      <c r="G16" s="13"/>
      <c r="H16" s="269" t="e">
        <f t="shared" si="0"/>
        <v>#DIV/0!</v>
      </c>
      <c r="I16" s="18"/>
      <c r="J16" s="19"/>
      <c r="K16" s="20"/>
      <c r="L16" s="23"/>
      <c r="M16" s="21"/>
    </row>
    <row r="17" spans="1:13" hidden="1" x14ac:dyDescent="0.25">
      <c r="A17" s="10">
        <v>41640</v>
      </c>
      <c r="B17" s="12"/>
      <c r="C17" s="12"/>
      <c r="D17" s="16"/>
      <c r="E17" s="16"/>
      <c r="F17" s="13"/>
      <c r="G17" s="13"/>
      <c r="H17" s="269" t="e">
        <f t="shared" si="0"/>
        <v>#DIV/0!</v>
      </c>
      <c r="I17" s="18" t="e">
        <f>SUM($H$17:H17)</f>
        <v>#DIV/0!</v>
      </c>
      <c r="J17" s="19"/>
      <c r="K17" s="20"/>
      <c r="L17" s="21"/>
      <c r="M17" s="21"/>
    </row>
    <row r="18" spans="1:13" hidden="1" x14ac:dyDescent="0.25">
      <c r="A18" s="10">
        <v>41671</v>
      </c>
      <c r="B18" s="12"/>
      <c r="C18" s="12"/>
      <c r="D18" s="16"/>
      <c r="E18" s="16"/>
      <c r="F18" s="13"/>
      <c r="G18" s="13"/>
      <c r="H18" s="269" t="e">
        <f t="shared" si="0"/>
        <v>#DIV/0!</v>
      </c>
      <c r="I18" s="18" t="e">
        <f>SUM($H$17:H18)</f>
        <v>#DIV/0!</v>
      </c>
      <c r="J18" s="19"/>
      <c r="K18" s="20"/>
      <c r="L18" s="21"/>
      <c r="M18" s="21"/>
    </row>
    <row r="19" spans="1:13" hidden="1" x14ac:dyDescent="0.25">
      <c r="A19" s="10">
        <v>41699</v>
      </c>
      <c r="B19" s="12"/>
      <c r="C19" s="12"/>
      <c r="D19" s="16"/>
      <c r="E19" s="16"/>
      <c r="F19" s="13"/>
      <c r="G19" s="13"/>
      <c r="H19" s="269" t="e">
        <f t="shared" si="0"/>
        <v>#DIV/0!</v>
      </c>
      <c r="I19" s="18" t="e">
        <f>SUM($H$17:H19)</f>
        <v>#DIV/0!</v>
      </c>
      <c r="J19" s="19"/>
      <c r="K19" s="20"/>
      <c r="L19" s="21"/>
      <c r="M19" s="21"/>
    </row>
    <row r="20" spans="1:13" hidden="1" x14ac:dyDescent="0.25">
      <c r="A20" s="10">
        <v>41730</v>
      </c>
      <c r="B20" s="12"/>
      <c r="C20" s="12"/>
      <c r="D20" s="16"/>
      <c r="E20" s="16"/>
      <c r="F20" s="13"/>
      <c r="G20" s="13"/>
      <c r="H20" s="269" t="e">
        <f t="shared" si="0"/>
        <v>#DIV/0!</v>
      </c>
      <c r="I20" s="18" t="e">
        <f>SUM($H$17:H20)</f>
        <v>#DIV/0!</v>
      </c>
      <c r="J20" s="19"/>
      <c r="K20" s="20"/>
      <c r="L20" s="21"/>
      <c r="M20" s="21"/>
    </row>
    <row r="21" spans="1:13" hidden="1" x14ac:dyDescent="0.25">
      <c r="A21" s="10">
        <v>41760</v>
      </c>
      <c r="B21" s="12"/>
      <c r="C21" s="12"/>
      <c r="D21" s="16"/>
      <c r="E21" s="16"/>
      <c r="F21" s="13"/>
      <c r="G21" s="13"/>
      <c r="H21" s="269" t="e">
        <f t="shared" si="0"/>
        <v>#DIV/0!</v>
      </c>
      <c r="I21" s="18" t="e">
        <f>SUM($H$17:H21)</f>
        <v>#DIV/0!</v>
      </c>
      <c r="J21" s="19"/>
      <c r="K21" s="20"/>
      <c r="L21" s="21"/>
      <c r="M21" s="21"/>
    </row>
    <row r="22" spans="1:13" hidden="1" x14ac:dyDescent="0.25">
      <c r="A22" s="10">
        <v>41791</v>
      </c>
      <c r="B22" s="12"/>
      <c r="C22" s="12"/>
      <c r="D22" s="16"/>
      <c r="E22" s="16"/>
      <c r="F22" s="13"/>
      <c r="G22" s="13"/>
      <c r="H22" s="269" t="e">
        <f t="shared" si="0"/>
        <v>#DIV/0!</v>
      </c>
      <c r="I22" s="18" t="e">
        <f>SUM($H$17:H22)</f>
        <v>#DIV/0!</v>
      </c>
      <c r="J22" s="19"/>
      <c r="K22" s="20"/>
      <c r="L22" s="21"/>
      <c r="M22" s="21"/>
    </row>
    <row r="23" spans="1:13" hidden="1" x14ac:dyDescent="0.25">
      <c r="A23" s="10">
        <v>41821</v>
      </c>
      <c r="B23" s="12"/>
      <c r="C23" s="12"/>
      <c r="D23" s="16"/>
      <c r="E23" s="16"/>
      <c r="F23" s="13"/>
      <c r="G23" s="13"/>
      <c r="H23" s="269" t="e">
        <f t="shared" si="0"/>
        <v>#DIV/0!</v>
      </c>
      <c r="I23" s="18" t="e">
        <f>SUM($H$17:H23)</f>
        <v>#DIV/0!</v>
      </c>
      <c r="J23" s="19"/>
      <c r="K23" s="20"/>
      <c r="L23" s="21"/>
      <c r="M23" s="21"/>
    </row>
    <row r="24" spans="1:13" hidden="1" x14ac:dyDescent="0.25">
      <c r="A24" s="10">
        <v>41852</v>
      </c>
      <c r="B24" s="12"/>
      <c r="C24" s="12"/>
      <c r="D24" s="16"/>
      <c r="E24" s="16"/>
      <c r="F24" s="13"/>
      <c r="G24" s="13"/>
      <c r="H24" s="269" t="e">
        <f t="shared" si="0"/>
        <v>#DIV/0!</v>
      </c>
      <c r="I24" s="18" t="e">
        <f>SUM($H$17:H24)</f>
        <v>#DIV/0!</v>
      </c>
      <c r="J24" s="19"/>
      <c r="K24" s="20"/>
      <c r="L24" s="21"/>
      <c r="M24" s="21"/>
    </row>
    <row r="25" spans="1:13" hidden="1" x14ac:dyDescent="0.25">
      <c r="A25" s="10">
        <v>41883</v>
      </c>
      <c r="B25" s="12"/>
      <c r="C25" s="12"/>
      <c r="D25" s="16"/>
      <c r="E25" s="16"/>
      <c r="F25" s="13"/>
      <c r="G25" s="13"/>
      <c r="H25" s="269" t="e">
        <f t="shared" si="0"/>
        <v>#DIV/0!</v>
      </c>
      <c r="I25" s="18" t="e">
        <f>SUM($H$17:H25)</f>
        <v>#DIV/0!</v>
      </c>
      <c r="J25" s="19"/>
      <c r="K25" s="20"/>
      <c r="L25" s="21"/>
      <c r="M25" s="21"/>
    </row>
    <row r="26" spans="1:13" hidden="1" x14ac:dyDescent="0.25">
      <c r="A26" s="10">
        <v>41913</v>
      </c>
      <c r="B26" s="12"/>
      <c r="C26" s="12"/>
      <c r="D26" s="16"/>
      <c r="E26" s="16"/>
      <c r="F26" s="13"/>
      <c r="G26" s="13"/>
      <c r="H26" s="269" t="e">
        <f t="shared" si="0"/>
        <v>#DIV/0!</v>
      </c>
      <c r="I26" s="18" t="e">
        <f>SUM($H$17:H26)</f>
        <v>#DIV/0!</v>
      </c>
      <c r="J26" s="19"/>
      <c r="K26" s="20"/>
      <c r="L26" s="21"/>
      <c r="M26" s="21"/>
    </row>
    <row r="27" spans="1:13" hidden="1" x14ac:dyDescent="0.25">
      <c r="A27" s="10">
        <v>41944</v>
      </c>
      <c r="B27" s="12"/>
      <c r="C27" s="12"/>
      <c r="D27" s="16"/>
      <c r="E27" s="16"/>
      <c r="F27" s="13"/>
      <c r="G27" s="13"/>
      <c r="H27" s="269" t="e">
        <f t="shared" si="0"/>
        <v>#DIV/0!</v>
      </c>
      <c r="I27" s="18" t="e">
        <f>SUM($H$17:H27)</f>
        <v>#DIV/0!</v>
      </c>
      <c r="J27" s="19"/>
      <c r="K27" s="20"/>
      <c r="L27" s="21"/>
      <c r="M27" s="21"/>
    </row>
    <row r="28" spans="1:13" hidden="1" x14ac:dyDescent="0.25">
      <c r="A28" s="10">
        <v>41974</v>
      </c>
      <c r="B28" s="12"/>
      <c r="C28" s="12"/>
      <c r="D28" s="16"/>
      <c r="E28" s="16"/>
      <c r="F28" s="13"/>
      <c r="G28" s="13"/>
      <c r="H28" s="269" t="e">
        <f t="shared" si="0"/>
        <v>#DIV/0!</v>
      </c>
      <c r="I28" s="25" t="e">
        <f>SUM($H$17:H28)</f>
        <v>#DIV/0!</v>
      </c>
      <c r="J28" s="19"/>
      <c r="K28" s="20"/>
      <c r="L28" s="23" t="e">
        <f>C31/I28</f>
        <v>#DIV/0!</v>
      </c>
      <c r="M28" s="23" t="e">
        <f>G31/I28</f>
        <v>#DIV/0!</v>
      </c>
    </row>
    <row r="29" spans="1:13" hidden="1" x14ac:dyDescent="0.25">
      <c r="A29" s="10"/>
      <c r="B29" s="12"/>
      <c r="C29" s="12"/>
      <c r="D29" s="16"/>
      <c r="E29" s="16"/>
      <c r="F29" s="13"/>
      <c r="G29" s="13"/>
      <c r="H29" s="269" t="e">
        <f t="shared" si="0"/>
        <v>#DIV/0!</v>
      </c>
      <c r="I29" s="18"/>
      <c r="J29" s="19"/>
      <c r="K29" s="20"/>
      <c r="L29" s="21"/>
      <c r="M29" s="21"/>
    </row>
    <row r="30" spans="1:13" hidden="1" x14ac:dyDescent="0.25">
      <c r="A30" s="10"/>
      <c r="B30" s="12"/>
      <c r="C30" s="12"/>
      <c r="D30" s="16"/>
      <c r="E30" s="16"/>
      <c r="F30" s="13"/>
      <c r="G30" s="13"/>
      <c r="H30" s="269" t="e">
        <f t="shared" si="0"/>
        <v>#DIV/0!</v>
      </c>
      <c r="I30" s="18"/>
      <c r="J30" s="19"/>
      <c r="K30" s="20"/>
      <c r="L30" s="21"/>
      <c r="M30" s="21"/>
    </row>
    <row r="31" spans="1:13" x14ac:dyDescent="0.25">
      <c r="A31" s="11">
        <v>2014</v>
      </c>
      <c r="B31" s="12"/>
      <c r="C31" s="17">
        <v>21732</v>
      </c>
      <c r="D31" s="16"/>
      <c r="E31" s="24">
        <v>16129</v>
      </c>
      <c r="F31" s="13">
        <f>SUM(C31+E31)</f>
        <v>37861</v>
      </c>
      <c r="G31" s="13">
        <f>SUM($F$17:F31)</f>
        <v>37861</v>
      </c>
      <c r="H31" s="269">
        <f t="shared" si="0"/>
        <v>0.57399434774570135</v>
      </c>
      <c r="I31" s="18">
        <v>19604338</v>
      </c>
      <c r="J31" s="19"/>
      <c r="K31" s="20"/>
      <c r="L31" s="23">
        <f>C31/I31</f>
        <v>1.1085301630690105E-3</v>
      </c>
      <c r="M31" s="23">
        <f>G31/I31</f>
        <v>1.9312562352271218E-3</v>
      </c>
    </row>
    <row r="32" spans="1:13" hidden="1" x14ac:dyDescent="0.25">
      <c r="A32" s="11"/>
      <c r="B32" s="12"/>
      <c r="C32" s="17"/>
      <c r="D32" s="16"/>
      <c r="E32" s="24"/>
      <c r="F32" s="13"/>
      <c r="G32" s="13"/>
      <c r="H32" s="269" t="e">
        <f t="shared" si="0"/>
        <v>#DIV/0!</v>
      </c>
      <c r="I32" s="18"/>
      <c r="J32" s="19"/>
      <c r="K32" s="20"/>
      <c r="L32" s="23"/>
      <c r="M32" s="21"/>
    </row>
    <row r="33" spans="1:13" hidden="1" x14ac:dyDescent="0.25">
      <c r="A33" s="10">
        <v>42005</v>
      </c>
      <c r="B33" s="12"/>
      <c r="C33" s="12"/>
      <c r="D33" s="16"/>
      <c r="E33" s="24"/>
      <c r="F33" s="13"/>
      <c r="G33" s="13"/>
      <c r="H33" s="269" t="e">
        <f t="shared" si="0"/>
        <v>#DIV/0!</v>
      </c>
      <c r="I33" s="18" t="e">
        <f>SUM($H$33:H33)</f>
        <v>#DIV/0!</v>
      </c>
      <c r="J33" s="19"/>
      <c r="K33" s="20"/>
      <c r="L33" s="23"/>
      <c r="M33" s="21"/>
    </row>
    <row r="34" spans="1:13" hidden="1" x14ac:dyDescent="0.25">
      <c r="A34" s="10">
        <v>42036</v>
      </c>
      <c r="B34" s="12"/>
      <c r="C34" s="12"/>
      <c r="D34" s="16"/>
      <c r="E34" s="24"/>
      <c r="F34" s="13"/>
      <c r="G34" s="13"/>
      <c r="H34" s="269" t="e">
        <f t="shared" si="0"/>
        <v>#DIV/0!</v>
      </c>
      <c r="I34" s="18" t="e">
        <f>SUM($H$33:H34)</f>
        <v>#DIV/0!</v>
      </c>
      <c r="J34" s="19"/>
      <c r="K34" s="20"/>
      <c r="L34" s="23"/>
      <c r="M34" s="21"/>
    </row>
    <row r="35" spans="1:13" hidden="1" x14ac:dyDescent="0.25">
      <c r="A35" s="10">
        <v>42064</v>
      </c>
      <c r="B35" s="12"/>
      <c r="C35" s="12"/>
      <c r="D35" s="16"/>
      <c r="E35" s="24"/>
      <c r="F35" s="13"/>
      <c r="G35" s="13"/>
      <c r="H35" s="269" t="e">
        <f t="shared" si="0"/>
        <v>#DIV/0!</v>
      </c>
      <c r="I35" s="18" t="e">
        <f>SUM($H$33:H35)</f>
        <v>#DIV/0!</v>
      </c>
      <c r="J35" s="19"/>
      <c r="K35" s="20"/>
      <c r="L35" s="23"/>
      <c r="M35" s="21"/>
    </row>
    <row r="36" spans="1:13" hidden="1" x14ac:dyDescent="0.25">
      <c r="A36" s="10">
        <v>42095</v>
      </c>
      <c r="B36" s="12"/>
      <c r="C36" s="12"/>
      <c r="D36" s="16"/>
      <c r="E36" s="24"/>
      <c r="F36" s="13"/>
      <c r="G36" s="13"/>
      <c r="H36" s="269" t="e">
        <f t="shared" si="0"/>
        <v>#DIV/0!</v>
      </c>
      <c r="I36" s="18" t="e">
        <f>SUM($H$33:H36)</f>
        <v>#DIV/0!</v>
      </c>
      <c r="J36" s="19"/>
      <c r="K36" s="20"/>
      <c r="L36" s="23"/>
      <c r="M36" s="21"/>
    </row>
    <row r="37" spans="1:13" hidden="1" x14ac:dyDescent="0.25">
      <c r="A37" s="10">
        <v>42125</v>
      </c>
      <c r="B37" s="12"/>
      <c r="C37" s="12"/>
      <c r="D37" s="16"/>
      <c r="E37" s="24"/>
      <c r="F37" s="13"/>
      <c r="G37" s="13"/>
      <c r="H37" s="269" t="e">
        <f t="shared" si="0"/>
        <v>#DIV/0!</v>
      </c>
      <c r="I37" s="18" t="e">
        <f>SUM($H$33:H37)</f>
        <v>#DIV/0!</v>
      </c>
      <c r="J37" s="19"/>
      <c r="K37" s="20"/>
      <c r="L37" s="23"/>
      <c r="M37" s="21"/>
    </row>
    <row r="38" spans="1:13" hidden="1" x14ac:dyDescent="0.25">
      <c r="A38" s="10">
        <v>42156</v>
      </c>
      <c r="B38" s="12"/>
      <c r="C38" s="12"/>
      <c r="D38" s="16"/>
      <c r="E38" s="24"/>
      <c r="F38" s="13"/>
      <c r="G38" s="13"/>
      <c r="H38" s="269" t="e">
        <f t="shared" si="0"/>
        <v>#DIV/0!</v>
      </c>
      <c r="I38" s="18" t="e">
        <f>SUM($H$33:H38)</f>
        <v>#DIV/0!</v>
      </c>
      <c r="J38" s="19"/>
      <c r="K38" s="20"/>
      <c r="L38" s="23"/>
      <c r="M38" s="21"/>
    </row>
    <row r="39" spans="1:13" hidden="1" x14ac:dyDescent="0.25">
      <c r="A39" s="10">
        <v>42186</v>
      </c>
      <c r="B39" s="12"/>
      <c r="C39" s="12"/>
      <c r="D39" s="16"/>
      <c r="E39" s="24"/>
      <c r="F39" s="13"/>
      <c r="G39" s="13"/>
      <c r="H39" s="269" t="e">
        <f t="shared" si="0"/>
        <v>#DIV/0!</v>
      </c>
      <c r="I39" s="18" t="e">
        <f>SUM($H$33:H39)</f>
        <v>#DIV/0!</v>
      </c>
      <c r="J39" s="19"/>
      <c r="K39" s="20"/>
      <c r="L39" s="23"/>
      <c r="M39" s="21"/>
    </row>
    <row r="40" spans="1:13" hidden="1" x14ac:dyDescent="0.25">
      <c r="A40" s="10">
        <v>42217</v>
      </c>
      <c r="B40" s="12"/>
      <c r="C40" s="12"/>
      <c r="D40" s="16"/>
      <c r="E40" s="24"/>
      <c r="F40" s="13"/>
      <c r="G40" s="13"/>
      <c r="H40" s="269" t="e">
        <f t="shared" si="0"/>
        <v>#DIV/0!</v>
      </c>
      <c r="I40" s="18" t="e">
        <f>SUM($H$33:H40)</f>
        <v>#DIV/0!</v>
      </c>
      <c r="J40" s="19"/>
      <c r="K40" s="20"/>
      <c r="L40" s="23"/>
      <c r="M40" s="21"/>
    </row>
    <row r="41" spans="1:13" hidden="1" x14ac:dyDescent="0.25">
      <c r="A41" s="10">
        <v>42248</v>
      </c>
      <c r="B41" s="12"/>
      <c r="C41" s="12"/>
      <c r="D41" s="16"/>
      <c r="E41" s="24"/>
      <c r="F41" s="13"/>
      <c r="G41" s="13"/>
      <c r="H41" s="269" t="e">
        <f t="shared" si="0"/>
        <v>#DIV/0!</v>
      </c>
      <c r="I41" s="18" t="e">
        <f>SUM($H$33:H41)</f>
        <v>#DIV/0!</v>
      </c>
      <c r="J41" s="19"/>
      <c r="K41" s="20"/>
      <c r="L41" s="23"/>
      <c r="M41" s="21"/>
    </row>
    <row r="42" spans="1:13" hidden="1" x14ac:dyDescent="0.25">
      <c r="A42" s="10">
        <v>42278</v>
      </c>
      <c r="B42" s="12"/>
      <c r="C42" s="12"/>
      <c r="D42" s="16"/>
      <c r="E42" s="24"/>
      <c r="F42" s="13"/>
      <c r="G42" s="13"/>
      <c r="H42" s="269" t="e">
        <f t="shared" si="0"/>
        <v>#DIV/0!</v>
      </c>
      <c r="I42" s="18" t="e">
        <f>SUM($H$33:H42)</f>
        <v>#DIV/0!</v>
      </c>
      <c r="J42" s="19"/>
      <c r="K42" s="20"/>
      <c r="L42" s="23"/>
      <c r="M42" s="21"/>
    </row>
    <row r="43" spans="1:13" hidden="1" x14ac:dyDescent="0.25">
      <c r="A43" s="10">
        <v>42309</v>
      </c>
      <c r="B43" s="12"/>
      <c r="C43" s="12"/>
      <c r="D43" s="16"/>
      <c r="E43" s="24"/>
      <c r="F43" s="13"/>
      <c r="G43" s="13"/>
      <c r="H43" s="269" t="e">
        <f t="shared" si="0"/>
        <v>#DIV/0!</v>
      </c>
      <c r="I43" s="18" t="e">
        <f>SUM($H$33:H43)</f>
        <v>#DIV/0!</v>
      </c>
      <c r="J43" s="19"/>
      <c r="K43" s="20"/>
      <c r="L43" s="23"/>
      <c r="M43" s="21"/>
    </row>
    <row r="44" spans="1:13" hidden="1" x14ac:dyDescent="0.25">
      <c r="A44" s="10">
        <v>42339</v>
      </c>
      <c r="B44" s="12"/>
      <c r="C44" s="12"/>
      <c r="D44" s="16"/>
      <c r="E44" s="24"/>
      <c r="F44" s="13"/>
      <c r="G44" s="13"/>
      <c r="H44" s="269" t="e">
        <f t="shared" si="0"/>
        <v>#DIV/0!</v>
      </c>
      <c r="I44" s="25" t="e">
        <f>SUM($H$33:H44)</f>
        <v>#DIV/0!</v>
      </c>
      <c r="J44" s="19"/>
      <c r="K44" s="20"/>
      <c r="L44" s="23" t="e">
        <f>C46/I44</f>
        <v>#DIV/0!</v>
      </c>
      <c r="M44" s="23" t="e">
        <f>F46/I44</f>
        <v>#DIV/0!</v>
      </c>
    </row>
    <row r="45" spans="1:13" hidden="1" x14ac:dyDescent="0.25">
      <c r="A45" s="10"/>
      <c r="B45" s="12"/>
      <c r="C45" s="12"/>
      <c r="D45" s="16"/>
      <c r="E45" s="24"/>
      <c r="F45" s="13"/>
      <c r="G45" s="13"/>
      <c r="H45" s="269" t="e">
        <f t="shared" si="0"/>
        <v>#DIV/0!</v>
      </c>
      <c r="I45" s="18"/>
      <c r="J45" s="19"/>
      <c r="K45" s="20"/>
      <c r="L45" s="23"/>
      <c r="M45" s="21"/>
    </row>
    <row r="46" spans="1:13" x14ac:dyDescent="0.25">
      <c r="A46" s="11">
        <v>2015</v>
      </c>
      <c r="B46" s="12"/>
      <c r="C46" s="17">
        <v>52243</v>
      </c>
      <c r="D46" s="16"/>
      <c r="E46" s="24">
        <v>59649</v>
      </c>
      <c r="F46" s="13">
        <f>SUM(C46,E46)</f>
        <v>111892</v>
      </c>
      <c r="G46" s="13">
        <f>SUM($F$33:F46)</f>
        <v>111892</v>
      </c>
      <c r="H46" s="269">
        <f>C46/G46</f>
        <v>0.46690558753083328</v>
      </c>
      <c r="I46" s="18">
        <v>21060871</v>
      </c>
      <c r="J46" s="19"/>
      <c r="K46" s="20"/>
      <c r="L46" s="23">
        <f>C46/I46</f>
        <v>2.480571672463119E-3</v>
      </c>
      <c r="M46" s="23">
        <f>G46/I46</f>
        <v>5.31279071981401E-3</v>
      </c>
    </row>
    <row r="47" spans="1:13" x14ac:dyDescent="0.25">
      <c r="A47" s="11"/>
      <c r="B47" s="12"/>
      <c r="C47" s="17"/>
      <c r="D47" s="16"/>
      <c r="E47" s="24"/>
      <c r="F47" s="13"/>
      <c r="G47" s="13"/>
      <c r="H47" s="13"/>
      <c r="I47" s="18"/>
      <c r="J47" s="19"/>
      <c r="K47" s="20"/>
      <c r="L47" s="23"/>
      <c r="M47" s="21"/>
    </row>
    <row r="48" spans="1:13" x14ac:dyDescent="0.25">
      <c r="A48" s="11">
        <v>2016</v>
      </c>
      <c r="B48" s="12"/>
      <c r="C48" s="12"/>
      <c r="D48" s="16"/>
      <c r="E48" s="16"/>
      <c r="F48" s="13"/>
      <c r="G48" s="13"/>
      <c r="H48" s="13"/>
      <c r="I48" s="18"/>
      <c r="J48" s="19"/>
      <c r="K48" s="20"/>
      <c r="L48" s="21"/>
      <c r="M48" s="21"/>
    </row>
    <row r="49" spans="1:13" x14ac:dyDescent="0.25">
      <c r="A49" s="10">
        <v>42370</v>
      </c>
      <c r="B49" s="12">
        <v>4538</v>
      </c>
      <c r="C49" s="12">
        <f>SUM($B$49:B49)</f>
        <v>4538</v>
      </c>
      <c r="D49" s="16">
        <v>5353</v>
      </c>
      <c r="E49" s="16">
        <f>SUM($D$49:D49)</f>
        <v>5353</v>
      </c>
      <c r="F49" s="13">
        <v>10000</v>
      </c>
      <c r="G49" s="13">
        <f>SUM(F$49:F49)</f>
        <v>10000</v>
      </c>
      <c r="H49" s="13">
        <v>2178077</v>
      </c>
      <c r="I49" s="18">
        <f>SUM($H$49:H49)</f>
        <v>2178077</v>
      </c>
      <c r="J49" s="19">
        <f>F49/H49</f>
        <v>4.5912059123713253E-3</v>
      </c>
      <c r="K49" s="20">
        <f>B49/H49</f>
        <v>2.0834892430341076E-3</v>
      </c>
      <c r="L49" s="21">
        <f>C49/I49</f>
        <v>2.0834892430341076E-3</v>
      </c>
      <c r="M49" s="21"/>
    </row>
    <row r="50" spans="1:13" x14ac:dyDescent="0.25">
      <c r="A50" s="10">
        <v>42401</v>
      </c>
      <c r="B50" s="12">
        <v>3307</v>
      </c>
      <c r="C50" s="12">
        <f>SUM($B$49:B50)</f>
        <v>7845</v>
      </c>
      <c r="D50" s="16">
        <v>3589</v>
      </c>
      <c r="E50" s="16">
        <f>SUM($D$49:D50)</f>
        <v>8942</v>
      </c>
      <c r="F50" s="13">
        <v>7000</v>
      </c>
      <c r="G50" s="13">
        <f>SUM(F$49:F50)</f>
        <v>17000</v>
      </c>
      <c r="H50" s="13">
        <v>1376700</v>
      </c>
      <c r="I50" s="18">
        <f>SUM($H$49:H50)</f>
        <v>3554777</v>
      </c>
      <c r="J50" s="19">
        <f t="shared" ref="J50:J107" si="1">F50/H50</f>
        <v>5.0846226483620251E-3</v>
      </c>
      <c r="K50" s="20">
        <f t="shared" ref="K50:K107" si="2">B50/H50</f>
        <v>2.4021210140190308E-3</v>
      </c>
      <c r="L50" s="21">
        <f t="shared" ref="L50:L59" si="3">C50/I50</f>
        <v>2.2068894898329768E-3</v>
      </c>
      <c r="M50" s="21"/>
    </row>
    <row r="51" spans="1:13" x14ac:dyDescent="0.25">
      <c r="A51" s="10">
        <v>42430</v>
      </c>
      <c r="B51" s="12">
        <v>6398</v>
      </c>
      <c r="C51" s="12">
        <f>SUM($B$49:B51)</f>
        <v>14243</v>
      </c>
      <c r="D51" s="16">
        <v>4834</v>
      </c>
      <c r="E51" s="16">
        <f>SUM($D$49:D51)</f>
        <v>13776</v>
      </c>
      <c r="F51" s="13">
        <v>11400</v>
      </c>
      <c r="G51" s="13">
        <f>SUM(F$49:F51)</f>
        <v>28400</v>
      </c>
      <c r="H51" s="13">
        <v>2056000</v>
      </c>
      <c r="I51" s="18">
        <f>SUM($H$49:H51)</f>
        <v>5610777</v>
      </c>
      <c r="J51" s="19">
        <f t="shared" si="1"/>
        <v>5.5447470817120625E-3</v>
      </c>
      <c r="K51" s="20">
        <f t="shared" si="2"/>
        <v>3.1118677042801558E-3</v>
      </c>
      <c r="L51" s="21">
        <f t="shared" si="3"/>
        <v>2.5385075899469894E-3</v>
      </c>
      <c r="M51" s="21"/>
    </row>
    <row r="52" spans="1:13" x14ac:dyDescent="0.25">
      <c r="A52" s="10">
        <v>42461</v>
      </c>
      <c r="B52" s="12">
        <v>6664</v>
      </c>
      <c r="C52" s="12">
        <f>SUM($B$49:B52)</f>
        <v>20907</v>
      </c>
      <c r="D52" s="16">
        <v>6500</v>
      </c>
      <c r="E52" s="16">
        <f>SUM($D$49:D52)</f>
        <v>20276</v>
      </c>
      <c r="F52" s="13">
        <v>13500</v>
      </c>
      <c r="G52" s="13">
        <f>SUM(F$49:F52)</f>
        <v>41900</v>
      </c>
      <c r="H52" s="13">
        <v>1779000</v>
      </c>
      <c r="I52" s="18">
        <f>SUM($H$49:H52)</f>
        <v>7389777</v>
      </c>
      <c r="J52" s="19">
        <f t="shared" si="1"/>
        <v>7.5885328836424954E-3</v>
      </c>
      <c r="K52" s="20">
        <f t="shared" si="2"/>
        <v>3.7459246767847106E-3</v>
      </c>
      <c r="L52" s="21">
        <f t="shared" si="3"/>
        <v>2.8291787424708486E-3</v>
      </c>
      <c r="M52" s="21"/>
    </row>
    <row r="53" spans="1:13" x14ac:dyDescent="0.25">
      <c r="A53" s="10">
        <v>42491</v>
      </c>
      <c r="B53" s="12">
        <v>7872</v>
      </c>
      <c r="C53" s="12">
        <f>SUM($B$49:B53)</f>
        <v>28779</v>
      </c>
      <c r="D53" s="16">
        <v>8114</v>
      </c>
      <c r="E53" s="16">
        <f>SUM($D$49:D53)</f>
        <v>28390</v>
      </c>
      <c r="F53" s="13">
        <v>16600</v>
      </c>
      <c r="G53" s="13">
        <f>SUM(F$49:F53)</f>
        <v>58500</v>
      </c>
      <c r="H53" s="13">
        <v>1793000</v>
      </c>
      <c r="I53" s="18">
        <f>SUM($H$49:H53)</f>
        <v>9182777</v>
      </c>
      <c r="J53" s="19">
        <f t="shared" si="1"/>
        <v>9.2582264361405469E-3</v>
      </c>
      <c r="K53" s="20">
        <f t="shared" si="2"/>
        <v>4.390407138873397E-3</v>
      </c>
      <c r="L53" s="21">
        <f t="shared" si="3"/>
        <v>3.1340192623647511E-3</v>
      </c>
      <c r="M53" s="21"/>
    </row>
    <row r="54" spans="1:13" x14ac:dyDescent="0.25">
      <c r="A54" s="10">
        <v>42522</v>
      </c>
      <c r="B54" s="12">
        <v>10150</v>
      </c>
      <c r="C54" s="12">
        <f>SUM($B$49:B54)</f>
        <v>38929</v>
      </c>
      <c r="D54" s="16">
        <v>9730</v>
      </c>
      <c r="E54" s="16">
        <f>SUM($D$49:D54)</f>
        <v>38120</v>
      </c>
      <c r="F54" s="13">
        <v>20000</v>
      </c>
      <c r="G54" s="13">
        <f>SUM(F$49:F54)</f>
        <v>78500</v>
      </c>
      <c r="H54" s="13">
        <v>1784100</v>
      </c>
      <c r="I54" s="18">
        <f>SUM($H$49:H54)</f>
        <v>10966877</v>
      </c>
      <c r="J54" s="19">
        <f t="shared" si="1"/>
        <v>1.1210133961100835E-2</v>
      </c>
      <c r="K54" s="20">
        <f t="shared" si="2"/>
        <v>5.6891429852586736E-3</v>
      </c>
      <c r="L54" s="21">
        <f t="shared" si="3"/>
        <v>3.5496887582490439E-3</v>
      </c>
      <c r="M54" s="21"/>
    </row>
    <row r="55" spans="1:13" x14ac:dyDescent="0.25">
      <c r="A55" s="10">
        <v>42552</v>
      </c>
      <c r="B55" s="12">
        <v>15683</v>
      </c>
      <c r="C55" s="12">
        <f>SUM($B$49:B55)</f>
        <v>54612</v>
      </c>
      <c r="D55" s="16">
        <v>8423</v>
      </c>
      <c r="E55" s="16">
        <f>SUM($D$49:D55)</f>
        <v>46543</v>
      </c>
      <c r="F55" s="13">
        <v>24500</v>
      </c>
      <c r="G55" s="13">
        <f>SUM(F$49:F55)</f>
        <v>103000</v>
      </c>
      <c r="H55" s="13">
        <v>1609178</v>
      </c>
      <c r="I55" s="18">
        <f>SUM($H$49:H55)</f>
        <v>12576055</v>
      </c>
      <c r="J55" s="19">
        <f t="shared" si="1"/>
        <v>1.5225164649280564E-2</v>
      </c>
      <c r="K55" s="20">
        <f t="shared" si="2"/>
        <v>9.7459696814149836E-3</v>
      </c>
      <c r="L55" s="21">
        <f t="shared" si="3"/>
        <v>4.3425382602095804E-3</v>
      </c>
      <c r="M55" s="21"/>
    </row>
    <row r="56" spans="1:13" x14ac:dyDescent="0.25">
      <c r="A56" s="10">
        <v>42583</v>
      </c>
      <c r="B56" s="12">
        <v>14428</v>
      </c>
      <c r="C56" s="12">
        <f>SUM($B$49:B56)</f>
        <v>69040</v>
      </c>
      <c r="D56" s="16">
        <v>7884</v>
      </c>
      <c r="E56" s="16">
        <f>SUM($D$49:D56)</f>
        <v>54427</v>
      </c>
      <c r="F56" s="13">
        <v>22600</v>
      </c>
      <c r="G56" s="13">
        <f>SUM(F$49:F56)</f>
        <v>125600</v>
      </c>
      <c r="H56" s="13">
        <v>1795500</v>
      </c>
      <c r="I56" s="18">
        <f>SUM($H$49:H56)</f>
        <v>14371555</v>
      </c>
      <c r="J56" s="19">
        <f t="shared" si="1"/>
        <v>1.2587023113338904E-2</v>
      </c>
      <c r="K56" s="20">
        <f t="shared" si="2"/>
        <v>8.0356446672236147E-3</v>
      </c>
      <c r="L56" s="21">
        <f t="shared" si="3"/>
        <v>4.8039338818937826E-3</v>
      </c>
      <c r="M56" s="21"/>
    </row>
    <row r="57" spans="1:13" x14ac:dyDescent="0.25">
      <c r="A57" s="10">
        <v>42614</v>
      </c>
      <c r="B57" s="12">
        <v>18545</v>
      </c>
      <c r="C57" s="12">
        <f>SUM($B$49:B57)</f>
        <v>87585</v>
      </c>
      <c r="D57" s="16">
        <v>7119</v>
      </c>
      <c r="E57" s="16">
        <f>SUM($D$49:D57)</f>
        <v>61546</v>
      </c>
      <c r="F57" s="13">
        <v>25700</v>
      </c>
      <c r="G57" s="13">
        <f>SUM(F$49:F57)</f>
        <v>151300</v>
      </c>
      <c r="H57" s="13">
        <v>2268300</v>
      </c>
      <c r="I57" s="18">
        <f>SUM($H$49:H57)</f>
        <v>16639855</v>
      </c>
      <c r="J57" s="19">
        <f t="shared" si="1"/>
        <v>1.1330070978265662E-2</v>
      </c>
      <c r="K57" s="20">
        <f t="shared" si="2"/>
        <v>8.17572631486135E-3</v>
      </c>
      <c r="L57" s="21">
        <f t="shared" si="3"/>
        <v>5.2635675010389215E-3</v>
      </c>
      <c r="M57" s="21"/>
    </row>
    <row r="58" spans="1:13" x14ac:dyDescent="0.25">
      <c r="A58" s="10">
        <v>42644</v>
      </c>
      <c r="B58" s="12">
        <v>21606</v>
      </c>
      <c r="C58" s="12">
        <f>SUM($B$49:B58)</f>
        <v>109191</v>
      </c>
      <c r="D58" s="16">
        <v>3517</v>
      </c>
      <c r="E58" s="16">
        <f>SUM($D$49:D58)</f>
        <v>65063</v>
      </c>
      <c r="F58" s="13">
        <v>25500</v>
      </c>
      <c r="G58" s="13">
        <f>SUM(F$49:F58)</f>
        <v>176800</v>
      </c>
      <c r="H58" s="13">
        <v>2305000</v>
      </c>
      <c r="I58" s="18">
        <f>SUM($H$49:H58)</f>
        <v>18944855</v>
      </c>
      <c r="J58" s="19">
        <f t="shared" si="1"/>
        <v>1.106290672451193E-2</v>
      </c>
      <c r="K58" s="20">
        <f t="shared" si="2"/>
        <v>9.3735357917570494E-3</v>
      </c>
      <c r="L58" s="21">
        <f t="shared" si="3"/>
        <v>5.7636228939202758E-3</v>
      </c>
      <c r="M58" s="21"/>
    </row>
    <row r="59" spans="1:13" x14ac:dyDescent="0.25">
      <c r="A59" s="10">
        <v>42675</v>
      </c>
      <c r="B59" s="12">
        <v>25872</v>
      </c>
      <c r="C59" s="12">
        <f>SUM($B$49:B59)</f>
        <v>135063</v>
      </c>
      <c r="D59" s="16">
        <v>3663</v>
      </c>
      <c r="E59" s="16">
        <f>SUM($D$49:D59)</f>
        <v>68726</v>
      </c>
      <c r="F59" s="13">
        <v>29800</v>
      </c>
      <c r="G59" s="13">
        <f>SUM(F$49:F59)</f>
        <v>206600</v>
      </c>
      <c r="H59" s="13">
        <v>2542000</v>
      </c>
      <c r="I59" s="18">
        <f>SUM($H$49:H59)</f>
        <v>21486855</v>
      </c>
      <c r="J59" s="19">
        <f t="shared" si="1"/>
        <v>1.1723052714398111E-2</v>
      </c>
      <c r="K59" s="20">
        <f t="shared" si="2"/>
        <v>1.0177812745869394E-2</v>
      </c>
      <c r="L59" s="21">
        <f t="shared" si="3"/>
        <v>6.2858431352564165E-3</v>
      </c>
      <c r="M59" s="21"/>
    </row>
    <row r="60" spans="1:13" x14ac:dyDescent="0.25">
      <c r="A60" s="10">
        <v>42705</v>
      </c>
      <c r="B60" s="12">
        <v>32509</v>
      </c>
      <c r="C60" s="17">
        <f>SUM($B$49:B60)</f>
        <v>167572</v>
      </c>
      <c r="D60" s="16">
        <v>3380</v>
      </c>
      <c r="E60" s="16">
        <f>SUM($D$49:D60)</f>
        <v>72106</v>
      </c>
      <c r="F60" s="13">
        <v>36300</v>
      </c>
      <c r="G60" s="13">
        <f>SUM(F$49:F60)</f>
        <v>242900</v>
      </c>
      <c r="H60" s="13">
        <v>2672300</v>
      </c>
      <c r="I60" s="25">
        <f>SUM($H$49:H60)</f>
        <v>24159155</v>
      </c>
      <c r="J60" s="19">
        <f t="shared" si="1"/>
        <v>1.3583804213598772E-2</v>
      </c>
      <c r="K60" s="20">
        <f t="shared" si="2"/>
        <v>1.2165176065561502E-2</v>
      </c>
      <c r="L60" s="23">
        <f>C60/I60</f>
        <v>6.9361697460031194E-3</v>
      </c>
      <c r="M60" s="23">
        <f>G60/I60</f>
        <v>1.0054159592916227E-2</v>
      </c>
    </row>
    <row r="61" spans="1:13" x14ac:dyDescent="0.25">
      <c r="A61" s="14"/>
      <c r="B61" s="12"/>
      <c r="C61" s="12"/>
      <c r="D61" s="16"/>
      <c r="E61" s="16"/>
      <c r="F61" s="13"/>
      <c r="G61" s="270">
        <f>C60/G60</f>
        <v>0.68988060930424044</v>
      </c>
      <c r="H61" s="13"/>
      <c r="I61" s="18"/>
      <c r="J61" s="19"/>
      <c r="K61" s="20"/>
      <c r="L61" s="21"/>
    </row>
    <row r="62" spans="1:13" x14ac:dyDescent="0.25">
      <c r="A62" s="11">
        <v>2017</v>
      </c>
      <c r="B62" s="12"/>
      <c r="C62" s="12"/>
      <c r="D62" s="16"/>
      <c r="E62" s="16"/>
      <c r="F62" s="13"/>
      <c r="G62" s="13"/>
      <c r="H62" s="13"/>
      <c r="I62" s="18"/>
      <c r="J62" s="19"/>
      <c r="K62" s="20"/>
      <c r="L62" s="21"/>
    </row>
    <row r="63" spans="1:13" x14ac:dyDescent="0.25">
      <c r="A63" s="10">
        <v>42736</v>
      </c>
      <c r="B63" s="12">
        <v>1379</v>
      </c>
      <c r="C63" s="12">
        <f>SUM($B$63:B63)</f>
        <v>1379</v>
      </c>
      <c r="D63" s="16">
        <v>2398</v>
      </c>
      <c r="E63" s="16">
        <f>SUM($D$63:D63)</f>
        <v>2398</v>
      </c>
      <c r="F63" s="13">
        <v>2941</v>
      </c>
      <c r="G63" s="13">
        <f>SUM($F$63:F63)</f>
        <v>2941</v>
      </c>
      <c r="H63" s="13">
        <v>2218200</v>
      </c>
      <c r="I63" s="18">
        <f>SUM($H$63:H63)</f>
        <v>2218200</v>
      </c>
      <c r="J63" s="19">
        <f t="shared" si="1"/>
        <v>1.3258497881164909E-3</v>
      </c>
      <c r="K63" s="20">
        <f t="shared" si="2"/>
        <v>6.2167523217022817E-4</v>
      </c>
      <c r="L63" s="21">
        <f>C63/I63</f>
        <v>6.2167523217022817E-4</v>
      </c>
      <c r="M63" s="21"/>
    </row>
    <row r="64" spans="1:13" x14ac:dyDescent="0.25">
      <c r="A64" s="10">
        <v>42767</v>
      </c>
      <c r="B64" s="12">
        <v>2999</v>
      </c>
      <c r="C64" s="12">
        <f>SUM($B$63:B64)</f>
        <v>4378</v>
      </c>
      <c r="D64" s="16">
        <v>1548</v>
      </c>
      <c r="E64" s="16">
        <f>SUM($D$63:D64)</f>
        <v>3946</v>
      </c>
      <c r="F64" s="13">
        <v>4213</v>
      </c>
      <c r="G64" s="13">
        <f>SUM($F$63:F64)</f>
        <v>7154</v>
      </c>
      <c r="H64" s="13">
        <v>1632700</v>
      </c>
      <c r="I64" s="18">
        <f>SUM($H$63:H64)</f>
        <v>3850900</v>
      </c>
      <c r="J64" s="19">
        <f t="shared" si="1"/>
        <v>2.580388313835977E-3</v>
      </c>
      <c r="K64" s="20">
        <f t="shared" si="2"/>
        <v>1.8368346910026337E-3</v>
      </c>
      <c r="L64" s="21">
        <f t="shared" ref="L64:L73" si="4">C64/I64</f>
        <v>1.1368770936664157E-3</v>
      </c>
      <c r="M64" s="21"/>
    </row>
    <row r="65" spans="1:13" x14ac:dyDescent="0.25">
      <c r="A65" s="10">
        <v>42795</v>
      </c>
      <c r="B65" s="12">
        <v>13817</v>
      </c>
      <c r="C65" s="12">
        <f>SUM($B$63:B65)</f>
        <v>18195</v>
      </c>
      <c r="D65" s="16">
        <v>3809</v>
      </c>
      <c r="E65" s="16">
        <f>SUM($D$63:D65)</f>
        <v>7755</v>
      </c>
      <c r="F65" s="13">
        <v>17140</v>
      </c>
      <c r="G65" s="13">
        <f>SUM($F$63:F65)</f>
        <v>24294</v>
      </c>
      <c r="H65" s="13">
        <v>2170764</v>
      </c>
      <c r="I65" s="18">
        <f>SUM($H$63:H65)</f>
        <v>6021664</v>
      </c>
      <c r="J65" s="19">
        <f t="shared" si="1"/>
        <v>7.8958375945058969E-3</v>
      </c>
      <c r="K65" s="20">
        <f t="shared" si="2"/>
        <v>6.3650401425488909E-3</v>
      </c>
      <c r="L65" s="21">
        <f t="shared" si="4"/>
        <v>3.0215900455422291E-3</v>
      </c>
      <c r="M65" s="21"/>
    </row>
    <row r="66" spans="1:13" x14ac:dyDescent="0.25">
      <c r="A66" s="10">
        <v>42826</v>
      </c>
      <c r="B66" s="12">
        <v>13007</v>
      </c>
      <c r="C66" s="12">
        <f>SUM($B$63:B66)</f>
        <v>31202</v>
      </c>
      <c r="D66" s="16">
        <v>4216</v>
      </c>
      <c r="E66" s="16">
        <f>SUM($D$63:D66)</f>
        <v>11971</v>
      </c>
      <c r="F66" s="13">
        <v>16832</v>
      </c>
      <c r="G66" s="13">
        <f>SUM($F$63:F66)</f>
        <v>41126</v>
      </c>
      <c r="H66" s="13">
        <v>1722000</v>
      </c>
      <c r="I66" s="18">
        <f>SUM($H$63:H66)</f>
        <v>7743664</v>
      </c>
      <c r="J66" s="19">
        <f t="shared" si="1"/>
        <v>9.774680603948897E-3</v>
      </c>
      <c r="K66" s="20">
        <f t="shared" si="2"/>
        <v>7.5534262485481996E-3</v>
      </c>
      <c r="L66" s="21">
        <f t="shared" si="4"/>
        <v>4.0293587118449357E-3</v>
      </c>
      <c r="M66" s="21"/>
    </row>
    <row r="67" spans="1:13" x14ac:dyDescent="0.25">
      <c r="A67" s="10">
        <v>42856</v>
      </c>
      <c r="B67" s="12">
        <v>19852</v>
      </c>
      <c r="C67" s="12">
        <f>SUM($B$63:B67)</f>
        <v>51054</v>
      </c>
      <c r="D67" s="16">
        <v>5061</v>
      </c>
      <c r="E67" s="16">
        <f>SUM($D$63:D67)</f>
        <v>17032</v>
      </c>
      <c r="F67" s="13">
        <v>25143</v>
      </c>
      <c r="G67" s="13">
        <f>SUM($F$63:F67)</f>
        <v>66269</v>
      </c>
      <c r="H67" s="13">
        <v>1751300</v>
      </c>
      <c r="I67" s="18">
        <f>SUM($H$63:H67)</f>
        <v>9494964</v>
      </c>
      <c r="J67" s="19">
        <f t="shared" si="1"/>
        <v>1.4356763547079312E-2</v>
      </c>
      <c r="K67" s="20">
        <f t="shared" si="2"/>
        <v>1.1335579283960487E-2</v>
      </c>
      <c r="L67" s="21">
        <f t="shared" si="4"/>
        <v>5.3769556156295067E-3</v>
      </c>
      <c r="M67" s="21"/>
    </row>
    <row r="68" spans="1:13" x14ac:dyDescent="0.25">
      <c r="A68" s="10">
        <v>42887</v>
      </c>
      <c r="B68" s="12">
        <v>24233</v>
      </c>
      <c r="C68" s="12">
        <f>SUM($B$63:B68)</f>
        <v>75287</v>
      </c>
      <c r="D68" s="16">
        <v>6002</v>
      </c>
      <c r="E68" s="16">
        <f>SUM($D$63:D68)</f>
        <v>23034</v>
      </c>
      <c r="F68" s="13">
        <v>30235</v>
      </c>
      <c r="G68" s="13">
        <f>SUM($F$63:F68)</f>
        <v>96504</v>
      </c>
      <c r="H68" s="13">
        <v>1831800</v>
      </c>
      <c r="I68" s="18">
        <f>SUM($H$63:H68)</f>
        <v>11326764</v>
      </c>
      <c r="J68" s="19">
        <f t="shared" si="1"/>
        <v>1.6505622884594388E-2</v>
      </c>
      <c r="K68" s="20">
        <f t="shared" si="2"/>
        <v>1.3229064308330605E-2</v>
      </c>
      <c r="L68" s="21">
        <f t="shared" si="4"/>
        <v>6.6468233998695477E-3</v>
      </c>
      <c r="M68" s="21"/>
    </row>
    <row r="69" spans="1:13" x14ac:dyDescent="0.25">
      <c r="A69" s="10">
        <v>42917</v>
      </c>
      <c r="B69" s="12">
        <v>26308</v>
      </c>
      <c r="C69" s="12">
        <f>SUM($B$63:B69)</f>
        <v>101595</v>
      </c>
      <c r="D69" s="16">
        <v>7613</v>
      </c>
      <c r="E69" s="16">
        <f>SUM($D$63:D69)</f>
        <v>30647</v>
      </c>
      <c r="F69" s="13">
        <v>33921</v>
      </c>
      <c r="G69" s="13">
        <f>SUM($F$63:F69)</f>
        <v>130425</v>
      </c>
      <c r="H69" s="13">
        <v>1678400</v>
      </c>
      <c r="I69" s="18">
        <f>SUM($H$63:H69)</f>
        <v>13005164</v>
      </c>
      <c r="J69" s="19">
        <f t="shared" si="1"/>
        <v>2.0210319351763584E-2</v>
      </c>
      <c r="K69" s="20">
        <f t="shared" si="2"/>
        <v>1.5674451858913252E-2</v>
      </c>
      <c r="L69" s="21">
        <f t="shared" si="4"/>
        <v>7.8118968741955116E-3</v>
      </c>
      <c r="M69" s="21"/>
    </row>
    <row r="70" spans="1:13" x14ac:dyDescent="0.25">
      <c r="A70" s="10">
        <v>42948</v>
      </c>
      <c r="B70" s="12">
        <v>30876</v>
      </c>
      <c r="C70" s="12">
        <f>SUM($B$63:B70)</f>
        <v>132471</v>
      </c>
      <c r="D70" s="16">
        <v>8010</v>
      </c>
      <c r="E70" s="16">
        <f>SUM($D$63:D70)</f>
        <v>38657</v>
      </c>
      <c r="F70" s="13">
        <v>38886</v>
      </c>
      <c r="G70" s="13">
        <f>SUM($F$63:F70)</f>
        <v>169311</v>
      </c>
      <c r="H70" s="13">
        <v>1875200</v>
      </c>
      <c r="I70" s="18">
        <f>SUM($H$63:H70)</f>
        <v>14880364</v>
      </c>
      <c r="J70" s="19">
        <f t="shared" si="1"/>
        <v>2.0736988054607507E-2</v>
      </c>
      <c r="K70" s="20">
        <f t="shared" si="2"/>
        <v>1.6465443686006827E-2</v>
      </c>
      <c r="L70" s="21">
        <f t="shared" si="4"/>
        <v>8.9024031939003642E-3</v>
      </c>
      <c r="M70" s="21"/>
    </row>
    <row r="71" spans="1:13" x14ac:dyDescent="0.25">
      <c r="A71" s="10">
        <v>42979</v>
      </c>
      <c r="B71" s="12">
        <v>33029</v>
      </c>
      <c r="C71" s="12">
        <f>SUM($B$63:B71)</f>
        <v>165500</v>
      </c>
      <c r="D71" s="16">
        <v>9980</v>
      </c>
      <c r="E71" s="16">
        <f>SUM($D$63:D71)</f>
        <v>48637</v>
      </c>
      <c r="F71" s="13">
        <v>43009</v>
      </c>
      <c r="G71" s="13">
        <f>SUM($F$63:F71)</f>
        <v>212320</v>
      </c>
      <c r="H71" s="13">
        <v>2342600</v>
      </c>
      <c r="I71" s="18">
        <f>SUM($H$63:H71)</f>
        <v>17222964</v>
      </c>
      <c r="J71" s="19">
        <f t="shared" si="1"/>
        <v>1.8359515068727055E-2</v>
      </c>
      <c r="K71" s="20">
        <f t="shared" si="2"/>
        <v>1.4099291385639888E-2</v>
      </c>
      <c r="L71" s="21">
        <f t="shared" si="4"/>
        <v>9.6092635390749234E-3</v>
      </c>
      <c r="M71" s="21"/>
    </row>
    <row r="72" spans="1:13" x14ac:dyDescent="0.25">
      <c r="A72" s="10">
        <v>43009</v>
      </c>
      <c r="B72" s="12">
        <v>37689</v>
      </c>
      <c r="C72" s="12">
        <f>SUM($B$63:B72)</f>
        <v>203189</v>
      </c>
      <c r="D72" s="16">
        <v>9985</v>
      </c>
      <c r="E72" s="16">
        <f>SUM($D$63:D72)</f>
        <v>58622</v>
      </c>
      <c r="F72" s="13">
        <v>47674</v>
      </c>
      <c r="G72" s="13">
        <f>SUM($F$63:F72)</f>
        <v>259994</v>
      </c>
      <c r="H72" s="13">
        <v>2352500</v>
      </c>
      <c r="I72" s="18">
        <f>SUM($H$63:H72)</f>
        <v>19575464</v>
      </c>
      <c r="J72" s="19">
        <f t="shared" si="1"/>
        <v>2.0265249734325187E-2</v>
      </c>
      <c r="K72" s="20">
        <f t="shared" si="2"/>
        <v>1.6020828905419768E-2</v>
      </c>
      <c r="L72" s="21">
        <f t="shared" si="4"/>
        <v>1.0379779503566302E-2</v>
      </c>
      <c r="M72" s="21"/>
    </row>
    <row r="73" spans="1:13" x14ac:dyDescent="0.25">
      <c r="A73" s="10">
        <v>43040</v>
      </c>
      <c r="B73" s="12">
        <v>81303</v>
      </c>
      <c r="C73" s="12">
        <f>SUM($B$63:B73)</f>
        <v>284492</v>
      </c>
      <c r="D73" s="16">
        <v>16719</v>
      </c>
      <c r="E73" s="16">
        <f>SUM($D$63:D73)</f>
        <v>75341</v>
      </c>
      <c r="F73" s="13">
        <v>98022</v>
      </c>
      <c r="G73" s="13">
        <f>SUM($F$63:F73)</f>
        <v>358016</v>
      </c>
      <c r="H73" s="13">
        <v>2589500</v>
      </c>
      <c r="I73" s="18">
        <f>SUM($H$63:H73)</f>
        <v>22164964</v>
      </c>
      <c r="J73" s="19">
        <f t="shared" si="1"/>
        <v>3.7853639698783546E-2</v>
      </c>
      <c r="K73" s="20">
        <f t="shared" si="2"/>
        <v>3.1397180922958103E-2</v>
      </c>
      <c r="L73" s="21">
        <f t="shared" si="4"/>
        <v>1.2835211462558657E-2</v>
      </c>
      <c r="M73" s="21"/>
    </row>
    <row r="74" spans="1:13" x14ac:dyDescent="0.25">
      <c r="A74" s="10">
        <v>43070</v>
      </c>
      <c r="B74" s="12">
        <v>171605</v>
      </c>
      <c r="C74" s="17">
        <f>SUM($B$63:B74)</f>
        <v>456097</v>
      </c>
      <c r="D74" s="16">
        <v>24527</v>
      </c>
      <c r="E74" s="16">
        <f>SUM($D$63:D74)</f>
        <v>99868</v>
      </c>
      <c r="F74" s="13">
        <v>196132</v>
      </c>
      <c r="G74" s="13">
        <f>SUM($F$63:F74)</f>
        <v>554148</v>
      </c>
      <c r="H74" s="13">
        <v>2653300</v>
      </c>
      <c r="I74" s="25">
        <f>SUM($H$63:H74)</f>
        <v>24818264</v>
      </c>
      <c r="J74" s="19">
        <f t="shared" si="1"/>
        <v>7.3920024120906036E-2</v>
      </c>
      <c r="K74" s="20">
        <f t="shared" si="2"/>
        <v>6.4676063769645353E-2</v>
      </c>
      <c r="L74" s="23">
        <f>C74/I74</f>
        <v>1.8377473944188844E-2</v>
      </c>
      <c r="M74" s="23">
        <f>G74/I74</f>
        <v>2.2328233755592251E-2</v>
      </c>
    </row>
    <row r="75" spans="1:13" x14ac:dyDescent="0.25">
      <c r="A75" s="14"/>
      <c r="B75" s="12"/>
      <c r="C75" s="12"/>
      <c r="D75" s="16"/>
      <c r="E75" s="16"/>
      <c r="F75" s="13"/>
      <c r="G75" s="270">
        <f>C74/G74</f>
        <v>0.82305990457422928</v>
      </c>
      <c r="H75" s="13"/>
      <c r="I75" s="18"/>
      <c r="J75" s="19"/>
      <c r="K75" s="20"/>
      <c r="L75" s="21"/>
    </row>
    <row r="76" spans="1:13" x14ac:dyDescent="0.25">
      <c r="A76" s="10"/>
      <c r="B76" s="12"/>
      <c r="C76" s="12"/>
      <c r="D76" s="16"/>
      <c r="E76" s="16"/>
      <c r="F76" s="13"/>
      <c r="G76" s="13"/>
      <c r="H76" s="13"/>
      <c r="I76" s="18"/>
      <c r="J76" s="19"/>
      <c r="K76" s="20"/>
      <c r="L76" s="21"/>
    </row>
    <row r="77" spans="1:13" x14ac:dyDescent="0.25">
      <c r="A77" s="4">
        <v>2018</v>
      </c>
      <c r="B77" s="12"/>
      <c r="C77" s="12"/>
      <c r="D77" s="16"/>
      <c r="E77" s="16"/>
      <c r="F77" s="13"/>
      <c r="G77" s="13"/>
      <c r="H77" s="13"/>
      <c r="I77" s="18"/>
      <c r="J77" s="19"/>
      <c r="K77" s="20"/>
      <c r="L77" s="21"/>
    </row>
    <row r="78" spans="1:13" x14ac:dyDescent="0.25">
      <c r="A78" s="10">
        <v>43101</v>
      </c>
      <c r="B78" s="12">
        <v>10835</v>
      </c>
      <c r="C78" s="12">
        <f>SUM($B$78:B78)</f>
        <v>10835</v>
      </c>
      <c r="D78" s="16">
        <v>11149</v>
      </c>
      <c r="E78" s="16">
        <f>SUM($D$78:D78)</f>
        <v>11149</v>
      </c>
      <c r="F78" s="13">
        <v>23231</v>
      </c>
      <c r="G78" s="13">
        <f>SUM($F$78:F78)</f>
        <v>23231</v>
      </c>
      <c r="H78" s="13">
        <v>2248895</v>
      </c>
      <c r="I78" s="18">
        <f>SUM($H$78:H78)</f>
        <v>2248895</v>
      </c>
      <c r="J78" s="19">
        <f t="shared" si="1"/>
        <v>1.0329962048028031E-2</v>
      </c>
      <c r="K78" s="20">
        <f t="shared" si="2"/>
        <v>4.8179216904301889E-3</v>
      </c>
      <c r="L78" s="21">
        <f>C78/I78</f>
        <v>4.8179216904301889E-3</v>
      </c>
      <c r="M78" s="21"/>
    </row>
    <row r="79" spans="1:13" x14ac:dyDescent="0.25">
      <c r="A79" s="10">
        <v>43132</v>
      </c>
      <c r="B79" s="12">
        <v>8914</v>
      </c>
      <c r="C79" s="12">
        <f>SUM($B$78:B79)</f>
        <v>19749</v>
      </c>
      <c r="D79" s="16">
        <v>5777</v>
      </c>
      <c r="E79" s="16">
        <f>SUM($D$78:D79)</f>
        <v>16926</v>
      </c>
      <c r="F79" s="13">
        <v>15439</v>
      </c>
      <c r="G79" s="13">
        <f>SUM($F$78:F79)</f>
        <v>38670</v>
      </c>
      <c r="H79" s="13">
        <v>1455500</v>
      </c>
      <c r="I79" s="18">
        <f>SUM($H$78:H79)</f>
        <v>3704395</v>
      </c>
      <c r="J79" s="19">
        <f t="shared" si="1"/>
        <v>1.0607351425626932E-2</v>
      </c>
      <c r="K79" s="20">
        <f t="shared" si="2"/>
        <v>6.1243558914462386E-3</v>
      </c>
      <c r="L79" s="21">
        <f t="shared" ref="L79:L88" si="5">C79/I79</f>
        <v>5.3312349250012481E-3</v>
      </c>
      <c r="M79" s="21"/>
    </row>
    <row r="80" spans="1:13" x14ac:dyDescent="0.25">
      <c r="A80" s="10">
        <v>43160</v>
      </c>
      <c r="B80" s="12">
        <v>25115</v>
      </c>
      <c r="C80" s="12">
        <f>SUM($B$78:B80)</f>
        <v>44864</v>
      </c>
      <c r="D80" s="16">
        <v>10031</v>
      </c>
      <c r="E80" s="16">
        <f>SUM($D$78:D80)</f>
        <v>26957</v>
      </c>
      <c r="F80" s="13">
        <v>36132</v>
      </c>
      <c r="G80" s="13">
        <f>SUM($F$78:F80)</f>
        <v>74802</v>
      </c>
      <c r="H80" s="13">
        <v>2168600</v>
      </c>
      <c r="I80" s="18">
        <f>SUM($H$78:H80)</f>
        <v>5872995</v>
      </c>
      <c r="J80" s="19">
        <f t="shared" si="1"/>
        <v>1.6661440560730423E-2</v>
      </c>
      <c r="K80" s="20">
        <f t="shared" si="2"/>
        <v>1.1581204463709305E-2</v>
      </c>
      <c r="L80" s="21">
        <f t="shared" si="5"/>
        <v>7.6390325549400267E-3</v>
      </c>
      <c r="M80" s="21"/>
    </row>
    <row r="81" spans="1:13" x14ac:dyDescent="0.25">
      <c r="A81" s="10">
        <v>43191</v>
      </c>
      <c r="B81" s="12">
        <v>35042</v>
      </c>
      <c r="C81" s="12">
        <f>SUM($B$78:B81)</f>
        <v>79906</v>
      </c>
      <c r="D81" s="16">
        <v>15002</v>
      </c>
      <c r="E81" s="16">
        <f>SUM($D$78:D81)</f>
        <v>41959</v>
      </c>
      <c r="F81" s="13">
        <v>51101</v>
      </c>
      <c r="G81" s="13">
        <f>SUM($F$78:F81)</f>
        <v>125903</v>
      </c>
      <c r="H81" s="13">
        <v>1914400</v>
      </c>
      <c r="I81" s="18">
        <f>SUM($H$78:H81)</f>
        <v>7787395</v>
      </c>
      <c r="J81" s="19">
        <f t="shared" si="1"/>
        <v>2.6692958629335562E-2</v>
      </c>
      <c r="K81" s="20">
        <f t="shared" si="2"/>
        <v>1.8304429586293355E-2</v>
      </c>
      <c r="L81" s="21">
        <f t="shared" si="5"/>
        <v>1.0260940917983484E-2</v>
      </c>
      <c r="M81" s="21"/>
    </row>
    <row r="82" spans="1:13" x14ac:dyDescent="0.25">
      <c r="A82" s="10">
        <v>43221</v>
      </c>
      <c r="B82" s="12">
        <v>79981</v>
      </c>
      <c r="C82" s="12">
        <f>SUM($B$78:B82)</f>
        <v>159887</v>
      </c>
      <c r="D82" s="16">
        <v>20011</v>
      </c>
      <c r="E82" s="16">
        <f>SUM($D$78:D82)</f>
        <v>61970</v>
      </c>
      <c r="F82" s="13">
        <v>100665</v>
      </c>
      <c r="G82" s="13">
        <f>SUM($F$78:F82)</f>
        <v>226568</v>
      </c>
      <c r="H82" s="13">
        <v>1889400</v>
      </c>
      <c r="I82" s="18">
        <f>SUM($H$78:H82)</f>
        <v>9676795</v>
      </c>
      <c r="J82" s="19">
        <f t="shared" si="1"/>
        <v>5.3278818672594472E-2</v>
      </c>
      <c r="K82" s="20">
        <f t="shared" si="2"/>
        <v>4.2331427966550227E-2</v>
      </c>
      <c r="L82" s="21">
        <f t="shared" si="5"/>
        <v>1.6522722657656797E-2</v>
      </c>
      <c r="M82" s="21"/>
    </row>
    <row r="83" spans="1:13" x14ac:dyDescent="0.25">
      <c r="A83" s="10">
        <v>43252</v>
      </c>
      <c r="B83" s="12">
        <v>42606</v>
      </c>
      <c r="C83" s="12">
        <f>SUM($B$78:B83)</f>
        <v>202493</v>
      </c>
      <c r="D83" s="16">
        <v>20465</v>
      </c>
      <c r="E83" s="16">
        <f>SUM($D$78:D83)</f>
        <v>82435</v>
      </c>
      <c r="F83" s="13">
        <v>63784</v>
      </c>
      <c r="G83" s="13">
        <f>SUM($F$78:F83)</f>
        <v>290352</v>
      </c>
      <c r="H83" s="13">
        <v>1715989</v>
      </c>
      <c r="I83" s="18">
        <f>SUM($H$78:H83)</f>
        <v>11392784</v>
      </c>
      <c r="J83" s="19">
        <f t="shared" si="1"/>
        <v>3.7170401441967288E-2</v>
      </c>
      <c r="K83" s="20">
        <f t="shared" si="2"/>
        <v>2.4828830487841121E-2</v>
      </c>
      <c r="L83" s="21">
        <f t="shared" si="5"/>
        <v>1.7773794359657834E-2</v>
      </c>
      <c r="M83" s="21"/>
    </row>
    <row r="84" spans="1:13" x14ac:dyDescent="0.25">
      <c r="A84" s="10">
        <v>43282</v>
      </c>
      <c r="B84" s="12">
        <v>31265</v>
      </c>
      <c r="C84" s="12">
        <f>SUM($B$78:B84)</f>
        <v>233758</v>
      </c>
      <c r="D84" s="16">
        <v>19069</v>
      </c>
      <c r="E84" s="16">
        <f>SUM($D$78:D84)</f>
        <v>101504</v>
      </c>
      <c r="F84" s="13">
        <v>50334</v>
      </c>
      <c r="G84" s="13">
        <f>SUM($F$78:F84)</f>
        <v>340686</v>
      </c>
      <c r="H84" s="13">
        <v>1589500</v>
      </c>
      <c r="I84" s="18">
        <f>SUM($H$78:H84)</f>
        <v>12982284</v>
      </c>
      <c r="J84" s="19">
        <f t="shared" si="1"/>
        <v>3.166656181189053E-2</v>
      </c>
      <c r="K84" s="20">
        <f t="shared" si="2"/>
        <v>1.9669707455174584E-2</v>
      </c>
      <c r="L84" s="21">
        <f t="shared" si="5"/>
        <v>1.8005922532583634E-2</v>
      </c>
      <c r="M84" s="21"/>
    </row>
    <row r="85" spans="1:13" x14ac:dyDescent="0.25">
      <c r="A85" s="10">
        <v>43313</v>
      </c>
      <c r="B85" s="12">
        <v>43676</v>
      </c>
      <c r="C85" s="12">
        <f>SUM($B$78:B85)</f>
        <v>277434</v>
      </c>
      <c r="D85" s="16">
        <v>23092</v>
      </c>
      <c r="E85" s="16">
        <f>SUM($D$78:D85)</f>
        <v>124596</v>
      </c>
      <c r="F85" s="13">
        <v>66768</v>
      </c>
      <c r="G85" s="13">
        <f>SUM($F$78:F85)</f>
        <v>407454</v>
      </c>
      <c r="H85" s="13">
        <v>1789900</v>
      </c>
      <c r="I85" s="18">
        <f>SUM($H$78:H85)</f>
        <v>14772184</v>
      </c>
      <c r="J85" s="19">
        <f t="shared" si="1"/>
        <v>3.7302642605732163E-2</v>
      </c>
      <c r="K85" s="20">
        <f t="shared" si="2"/>
        <v>2.4401363204648304E-2</v>
      </c>
      <c r="L85" s="21">
        <f t="shared" si="5"/>
        <v>1.8780838364861961E-2</v>
      </c>
      <c r="M85" s="21"/>
    </row>
    <row r="86" spans="1:13" x14ac:dyDescent="0.25">
      <c r="A86" s="10">
        <v>43344</v>
      </c>
      <c r="B86" s="12">
        <v>49934</v>
      </c>
      <c r="C86" s="12">
        <f>SUM($B$78:B86)</f>
        <v>327368</v>
      </c>
      <c r="D86" s="16">
        <v>22126</v>
      </c>
      <c r="E86" s="16">
        <f>SUM($D$78:D86)</f>
        <v>146722</v>
      </c>
      <c r="F86" s="13">
        <v>72060</v>
      </c>
      <c r="G86" s="13">
        <f>SUM($F$78:F86)</f>
        <v>479514</v>
      </c>
      <c r="H86" s="13">
        <v>2060500</v>
      </c>
      <c r="I86" s="18">
        <f>SUM($H$78:H86)</f>
        <v>16832684</v>
      </c>
      <c r="J86" s="19">
        <f t="shared" si="1"/>
        <v>3.497209415190488E-2</v>
      </c>
      <c r="K86" s="20">
        <f t="shared" si="2"/>
        <v>2.4233923804901723E-2</v>
      </c>
      <c r="L86" s="21">
        <f t="shared" si="5"/>
        <v>1.9448354166216153E-2</v>
      </c>
      <c r="M86" s="21"/>
    </row>
    <row r="87" spans="1:13" x14ac:dyDescent="0.25">
      <c r="A87" s="10">
        <v>43374</v>
      </c>
      <c r="B87" s="12">
        <v>55862</v>
      </c>
      <c r="C87" s="12">
        <f>SUM($B$78:B87)</f>
        <v>383230</v>
      </c>
      <c r="D87" s="16">
        <v>22351</v>
      </c>
      <c r="E87" s="16">
        <f>SUM($D$78:D87)</f>
        <v>169073</v>
      </c>
      <c r="F87" s="13">
        <v>78213</v>
      </c>
      <c r="G87" s="13">
        <f>SUM($F$78:F87)</f>
        <v>557727</v>
      </c>
      <c r="H87" s="13">
        <v>2046800</v>
      </c>
      <c r="I87" s="18">
        <f>SUM($H$78:H87)</f>
        <v>18879484</v>
      </c>
      <c r="J87" s="19">
        <f t="shared" si="1"/>
        <v>3.8212331444205591E-2</v>
      </c>
      <c r="K87" s="20">
        <f t="shared" si="2"/>
        <v>2.729235880398671E-2</v>
      </c>
      <c r="L87" s="21">
        <f t="shared" si="5"/>
        <v>2.0298753927808621E-2</v>
      </c>
      <c r="M87" s="21"/>
    </row>
    <row r="88" spans="1:13" x14ac:dyDescent="0.25">
      <c r="A88" s="10">
        <v>43405</v>
      </c>
      <c r="B88" s="12">
        <v>99357</v>
      </c>
      <c r="C88" s="12">
        <f>SUM($B$78:B88)</f>
        <v>482587</v>
      </c>
      <c r="D88" s="16">
        <v>27750</v>
      </c>
      <c r="E88" s="16">
        <f>SUM($D$78:D88)</f>
        <v>196823</v>
      </c>
      <c r="F88" s="13">
        <v>127107</v>
      </c>
      <c r="G88" s="13">
        <f>SUM($F$78:F88)</f>
        <v>684834</v>
      </c>
      <c r="H88" s="13">
        <v>2173500</v>
      </c>
      <c r="I88" s="18">
        <f>SUM($H$78:H88)</f>
        <v>21052984</v>
      </c>
      <c r="J88" s="19">
        <f t="shared" si="1"/>
        <v>5.8480331262939958E-2</v>
      </c>
      <c r="K88" s="20">
        <f t="shared" si="2"/>
        <v>4.5712905452035886E-2</v>
      </c>
      <c r="L88" s="21">
        <f t="shared" si="5"/>
        <v>2.2922498777370466E-2</v>
      </c>
      <c r="M88" s="21"/>
    </row>
    <row r="89" spans="1:13" x14ac:dyDescent="0.25">
      <c r="A89" s="10">
        <v>43435</v>
      </c>
      <c r="B89" s="12">
        <v>234827</v>
      </c>
      <c r="C89" s="17">
        <f>SUM($B$78:B89)</f>
        <v>717414</v>
      </c>
      <c r="D89" s="16">
        <v>32131</v>
      </c>
      <c r="E89" s="16">
        <f>SUM($D$78:D89)</f>
        <v>228954</v>
      </c>
      <c r="F89" s="13">
        <v>266958</v>
      </c>
      <c r="G89" s="13">
        <f>SUM($F$78:F89)</f>
        <v>951792</v>
      </c>
      <c r="H89" s="13">
        <v>2233100</v>
      </c>
      <c r="I89" s="18">
        <f>SUM($H$78:H89)</f>
        <v>23286084</v>
      </c>
      <c r="J89" s="19">
        <f t="shared" si="1"/>
        <v>0.11954592270834266</v>
      </c>
      <c r="K89" s="20">
        <f t="shared" si="2"/>
        <v>0.10515740450494827</v>
      </c>
      <c r="L89" s="23">
        <f>C89/I89</f>
        <v>3.0808701025041393E-2</v>
      </c>
      <c r="M89" s="23">
        <f>G89/I89</f>
        <v>4.087385410101587E-2</v>
      </c>
    </row>
    <row r="90" spans="1:13" x14ac:dyDescent="0.25">
      <c r="A90" s="15"/>
      <c r="B90" s="12"/>
      <c r="C90" s="12"/>
      <c r="D90" s="16"/>
      <c r="E90" s="16"/>
      <c r="F90" s="13"/>
      <c r="G90" s="270">
        <f>C89/G89</f>
        <v>0.75375081950678302</v>
      </c>
      <c r="H90" s="13"/>
      <c r="I90" s="18"/>
      <c r="J90" s="19"/>
      <c r="K90" s="20"/>
      <c r="L90" s="21"/>
    </row>
    <row r="91" spans="1:13" x14ac:dyDescent="0.25">
      <c r="A91" s="4">
        <v>2019</v>
      </c>
      <c r="B91" s="12"/>
      <c r="C91" s="12"/>
      <c r="D91" s="16"/>
      <c r="E91" s="16"/>
      <c r="F91" s="13"/>
      <c r="G91" s="13"/>
      <c r="H91" s="13"/>
      <c r="I91" s="18"/>
      <c r="J91" s="19"/>
      <c r="K91" s="20"/>
      <c r="L91" s="21"/>
    </row>
    <row r="92" spans="1:13" x14ac:dyDescent="0.25">
      <c r="A92" s="10">
        <v>43466</v>
      </c>
      <c r="B92" s="12">
        <v>79787</v>
      </c>
      <c r="C92" s="12">
        <f>SUM($B$92:B92)</f>
        <v>79787</v>
      </c>
      <c r="D92" s="16">
        <v>17948</v>
      </c>
      <c r="E92" s="16">
        <f>SUM($D$92:D92)</f>
        <v>17948</v>
      </c>
      <c r="F92" s="13">
        <f>B92+D92</f>
        <v>97735</v>
      </c>
      <c r="G92" s="13">
        <f>SUM($F$92:F92)</f>
        <v>97735</v>
      </c>
      <c r="H92" s="13">
        <v>2021100</v>
      </c>
      <c r="I92" s="18">
        <f>SUM($H$92:H92)</f>
        <v>2021100</v>
      </c>
      <c r="J92" s="19">
        <f t="shared" si="1"/>
        <v>4.8357330166740882E-2</v>
      </c>
      <c r="K92" s="20">
        <f t="shared" si="2"/>
        <v>3.947701746573648E-2</v>
      </c>
      <c r="L92" s="21">
        <f>C92/I92</f>
        <v>3.947701746573648E-2</v>
      </c>
      <c r="M92" s="21"/>
    </row>
    <row r="93" spans="1:13" x14ac:dyDescent="0.25">
      <c r="A93" s="10">
        <v>43497</v>
      </c>
      <c r="B93" s="12">
        <v>24979</v>
      </c>
      <c r="C93" s="12">
        <f>SUM($B$92:B93)</f>
        <v>104766</v>
      </c>
      <c r="D93" s="16">
        <v>5592</v>
      </c>
      <c r="E93" s="16">
        <f>SUM($D$92:D93)</f>
        <v>23540</v>
      </c>
      <c r="F93" s="13">
        <f t="shared" ref="F93:F106" si="6">B93+D93</f>
        <v>30571</v>
      </c>
      <c r="G93" s="13">
        <f>SUM($F$92:F93)</f>
        <v>128306</v>
      </c>
      <c r="H93" s="13">
        <v>1170000</v>
      </c>
      <c r="I93" s="18">
        <f>SUM($H$92:H93)</f>
        <v>3191100</v>
      </c>
      <c r="J93" s="19">
        <f t="shared" si="1"/>
        <v>2.6129059829059827E-2</v>
      </c>
      <c r="K93" s="20">
        <f t="shared" si="2"/>
        <v>2.134957264957265E-2</v>
      </c>
      <c r="L93" s="21">
        <f t="shared" ref="L93:L102" si="7">C93/I93</f>
        <v>3.2830685343611922E-2</v>
      </c>
      <c r="M93" s="21"/>
    </row>
    <row r="94" spans="1:13" x14ac:dyDescent="0.25">
      <c r="A94" s="10">
        <v>43525</v>
      </c>
      <c r="B94" s="12">
        <v>83058</v>
      </c>
      <c r="C94" s="12">
        <f>SUM($B$92:B94)</f>
        <v>187824</v>
      </c>
      <c r="D94" s="16">
        <v>13590</v>
      </c>
      <c r="E94" s="16">
        <f>SUM($D$92:D94)</f>
        <v>37130</v>
      </c>
      <c r="F94" s="13">
        <f t="shared" si="6"/>
        <v>96648</v>
      </c>
      <c r="G94" s="13">
        <f>SUM($F$92:F94)</f>
        <v>224954</v>
      </c>
      <c r="H94" s="13">
        <v>2019400</v>
      </c>
      <c r="I94" s="18">
        <f>SUM($H$92:H94)</f>
        <v>5210500</v>
      </c>
      <c r="J94" s="19">
        <f t="shared" si="1"/>
        <v>4.7859760324848968E-2</v>
      </c>
      <c r="K94" s="20">
        <f t="shared" si="2"/>
        <v>4.1130038625334257E-2</v>
      </c>
      <c r="L94" s="21">
        <f t="shared" si="7"/>
        <v>3.6047212359658382E-2</v>
      </c>
      <c r="M94" s="21"/>
    </row>
    <row r="95" spans="1:13" x14ac:dyDescent="0.25">
      <c r="A95" s="10">
        <v>43556</v>
      </c>
      <c r="B95" s="12">
        <v>51333</v>
      </c>
      <c r="C95" s="12">
        <f>SUM($B$92:B95)</f>
        <v>239157</v>
      </c>
      <c r="D95" s="16">
        <v>16597</v>
      </c>
      <c r="E95" s="16">
        <f>SUM($D$92:D95)</f>
        <v>53727</v>
      </c>
      <c r="F95" s="13">
        <f t="shared" si="6"/>
        <v>67930</v>
      </c>
      <c r="G95" s="13">
        <f>SUM($F$92:F95)</f>
        <v>292884</v>
      </c>
      <c r="H95" s="13">
        <v>1574900</v>
      </c>
      <c r="I95" s="18">
        <f>SUM($H$92:H95)</f>
        <v>6785400</v>
      </c>
      <c r="J95" s="19">
        <f t="shared" si="1"/>
        <v>4.3132897326814398E-2</v>
      </c>
      <c r="K95" s="20">
        <f t="shared" si="2"/>
        <v>3.2594450441297863E-2</v>
      </c>
      <c r="L95" s="21">
        <f t="shared" si="7"/>
        <v>3.5245821911751705E-2</v>
      </c>
      <c r="M95" s="21"/>
    </row>
    <row r="96" spans="1:13" x14ac:dyDescent="0.25">
      <c r="A96" s="10">
        <v>43586</v>
      </c>
      <c r="B96" s="12">
        <v>67364</v>
      </c>
      <c r="C96" s="12">
        <f>SUM($B$92:B96)</f>
        <v>306521</v>
      </c>
      <c r="D96" s="16">
        <v>20541</v>
      </c>
      <c r="E96" s="16">
        <f>SUM($D$92:D96)</f>
        <v>74268</v>
      </c>
      <c r="F96" s="13">
        <f t="shared" si="6"/>
        <v>87905</v>
      </c>
      <c r="G96" s="13">
        <f>SUM($F$92:F96)</f>
        <v>380789</v>
      </c>
      <c r="H96" s="13">
        <v>1611300</v>
      </c>
      <c r="I96" s="18">
        <f>SUM($H$92:H96)</f>
        <v>8396700</v>
      </c>
      <c r="J96" s="19">
        <f t="shared" si="1"/>
        <v>5.4555327996028052E-2</v>
      </c>
      <c r="K96" s="20">
        <f t="shared" si="2"/>
        <v>4.1807236392974616E-2</v>
      </c>
      <c r="L96" s="21">
        <f t="shared" si="7"/>
        <v>3.6504936463134324E-2</v>
      </c>
      <c r="M96" s="21"/>
    </row>
    <row r="97" spans="1:13" x14ac:dyDescent="0.25">
      <c r="A97" s="10">
        <v>43617</v>
      </c>
      <c r="B97" s="12">
        <v>153705</v>
      </c>
      <c r="C97" s="12">
        <f>SUM($B$92:B97)</f>
        <v>460226</v>
      </c>
      <c r="D97" s="16">
        <v>46000</v>
      </c>
      <c r="E97" s="16">
        <f>SUM($D$92:D97)</f>
        <v>120268</v>
      </c>
      <c r="F97" s="13">
        <f t="shared" si="6"/>
        <v>199705</v>
      </c>
      <c r="G97" s="13">
        <f>SUM($F$92:F97)</f>
        <v>580494</v>
      </c>
      <c r="H97" s="13">
        <v>1796678</v>
      </c>
      <c r="I97" s="18">
        <f>SUM($H$92:H97)</f>
        <v>10193378</v>
      </c>
      <c r="J97" s="19">
        <f t="shared" si="1"/>
        <v>0.11115236007787706</v>
      </c>
      <c r="K97" s="20">
        <f t="shared" si="2"/>
        <v>8.5549553119702026E-2</v>
      </c>
      <c r="L97" s="21">
        <f t="shared" si="7"/>
        <v>4.5149507847153318E-2</v>
      </c>
      <c r="M97" s="21"/>
    </row>
    <row r="98" spans="1:13" x14ac:dyDescent="0.25">
      <c r="A98" s="10">
        <v>43647</v>
      </c>
      <c r="B98" s="12">
        <v>24356</v>
      </c>
      <c r="C98" s="12">
        <f>SUM($B$92:B98)</f>
        <v>484582</v>
      </c>
      <c r="D98" s="16">
        <v>9213</v>
      </c>
      <c r="E98" s="16">
        <f>SUM($D$92:D98)</f>
        <v>129481</v>
      </c>
      <c r="F98" s="13">
        <f t="shared" si="6"/>
        <v>33569</v>
      </c>
      <c r="G98" s="13">
        <f>SUM($F$92:F98)</f>
        <v>614063</v>
      </c>
      <c r="H98" s="13">
        <v>1528000</v>
      </c>
      <c r="I98" s="18">
        <f>SUM($H$92:H98)</f>
        <v>11721378</v>
      </c>
      <c r="J98" s="19">
        <f t="shared" si="1"/>
        <v>2.1969240837696333E-2</v>
      </c>
      <c r="K98" s="20">
        <f t="shared" si="2"/>
        <v>1.593979057591623E-2</v>
      </c>
      <c r="L98" s="21">
        <f t="shared" si="7"/>
        <v>4.1341726203181911E-2</v>
      </c>
      <c r="M98" s="21"/>
    </row>
    <row r="99" spans="1:13" x14ac:dyDescent="0.25">
      <c r="A99" s="10">
        <v>43678</v>
      </c>
      <c r="B99" s="12">
        <v>32044</v>
      </c>
      <c r="C99" s="12">
        <f>SUM($B$92:B99)</f>
        <v>516626</v>
      </c>
      <c r="D99" s="16">
        <v>12196</v>
      </c>
      <c r="E99" s="16">
        <f>SUM($D$92:D99)</f>
        <v>141677</v>
      </c>
      <c r="F99" s="13">
        <f t="shared" si="6"/>
        <v>44240</v>
      </c>
      <c r="G99" s="13">
        <f>SUM($F$92:F99)</f>
        <v>658303</v>
      </c>
      <c r="H99" s="13">
        <v>1588147</v>
      </c>
      <c r="I99" s="18">
        <f>SUM($H$92:H99)</f>
        <v>13309525</v>
      </c>
      <c r="J99" s="19">
        <f t="shared" si="1"/>
        <v>2.7856363422277659E-2</v>
      </c>
      <c r="K99" s="20">
        <f t="shared" si="2"/>
        <v>2.017697354212173E-2</v>
      </c>
      <c r="L99" s="21">
        <f t="shared" si="7"/>
        <v>3.8816261286559815E-2</v>
      </c>
      <c r="M99" s="21"/>
    </row>
    <row r="100" spans="1:13" x14ac:dyDescent="0.25">
      <c r="A100" s="10">
        <v>43709</v>
      </c>
      <c r="B100" s="12">
        <v>41196</v>
      </c>
      <c r="C100" s="12">
        <f>SUM($B$92:B100)</f>
        <v>557822</v>
      </c>
      <c r="D100" s="16">
        <v>15966</v>
      </c>
      <c r="E100" s="16">
        <f>SUM($D$92:D100)</f>
        <v>157643</v>
      </c>
      <c r="F100" s="13">
        <f t="shared" si="6"/>
        <v>57162</v>
      </c>
      <c r="G100" s="13">
        <f>SUM($F$92:F100)</f>
        <v>715465</v>
      </c>
      <c r="H100" s="13">
        <v>1800000</v>
      </c>
      <c r="I100" s="18">
        <f>SUM($H$92:H100)</f>
        <v>15109525</v>
      </c>
      <c r="J100" s="19">
        <f t="shared" si="1"/>
        <v>3.1756666666666669E-2</v>
      </c>
      <c r="K100" s="20">
        <f t="shared" si="2"/>
        <v>2.2886666666666666E-2</v>
      </c>
      <c r="L100" s="21">
        <f t="shared" si="7"/>
        <v>3.6918566268628564E-2</v>
      </c>
      <c r="M100" s="21"/>
    </row>
    <row r="101" spans="1:13" x14ac:dyDescent="0.25">
      <c r="A101" s="10">
        <v>43739</v>
      </c>
      <c r="B101" s="12">
        <v>37941</v>
      </c>
      <c r="C101" s="12">
        <f>SUM($B$92:B101)</f>
        <v>595763</v>
      </c>
      <c r="D101" s="16">
        <v>13417</v>
      </c>
      <c r="E101" s="16">
        <f>SUM($D$92:D101)</f>
        <v>171060</v>
      </c>
      <c r="F101" s="13">
        <f t="shared" si="6"/>
        <v>51358</v>
      </c>
      <c r="G101" s="13">
        <f>SUM($F$92:F101)</f>
        <v>766823</v>
      </c>
      <c r="H101" s="13">
        <v>1868276</v>
      </c>
      <c r="I101" s="18">
        <f>SUM($H$92:H101)</f>
        <v>16977801</v>
      </c>
      <c r="J101" s="19">
        <f t="shared" si="1"/>
        <v>2.7489514397230387E-2</v>
      </c>
      <c r="K101" s="20">
        <f t="shared" si="2"/>
        <v>2.0308027293611863E-2</v>
      </c>
      <c r="L101" s="21">
        <f t="shared" si="7"/>
        <v>3.5090704620698521E-2</v>
      </c>
      <c r="M101" s="21"/>
    </row>
    <row r="102" spans="1:13" x14ac:dyDescent="0.25">
      <c r="A102" s="10">
        <v>43770</v>
      </c>
      <c r="B102" s="12">
        <v>59093</v>
      </c>
      <c r="C102" s="12">
        <f>SUM($B$92:B102)</f>
        <v>654856</v>
      </c>
      <c r="D102" s="16">
        <v>15255</v>
      </c>
      <c r="E102" s="16">
        <f>SUM($D$92:D102)</f>
        <v>186315</v>
      </c>
      <c r="F102" s="13">
        <f t="shared" si="6"/>
        <v>74348</v>
      </c>
      <c r="G102" s="13">
        <f>SUM($F$92:F102)</f>
        <v>841171</v>
      </c>
      <c r="H102" s="13">
        <v>2057000</v>
      </c>
      <c r="I102" s="18">
        <f>SUM($H$92:H102)</f>
        <v>19034801</v>
      </c>
      <c r="J102" s="19">
        <f t="shared" si="1"/>
        <v>3.6143898881866796E-2</v>
      </c>
      <c r="K102" s="20">
        <f t="shared" si="2"/>
        <v>2.8727758872143898E-2</v>
      </c>
      <c r="L102" s="21">
        <f t="shared" si="7"/>
        <v>3.4403091474399967E-2</v>
      </c>
      <c r="M102" s="21"/>
    </row>
    <row r="103" spans="1:13" x14ac:dyDescent="0.25">
      <c r="A103" s="10">
        <v>43800</v>
      </c>
      <c r="B103" s="12">
        <v>75653</v>
      </c>
      <c r="C103" s="17">
        <f>SUM($B$92:B103)</f>
        <v>730509</v>
      </c>
      <c r="D103" s="16">
        <v>21222</v>
      </c>
      <c r="E103" s="16">
        <f>SUM($D$92:D103)</f>
        <v>207537</v>
      </c>
      <c r="F103" s="13">
        <f t="shared" si="6"/>
        <v>96875</v>
      </c>
      <c r="G103" s="13">
        <f>SUM($F$92:F103)</f>
        <v>938046</v>
      </c>
      <c r="H103" s="13">
        <v>2213000</v>
      </c>
      <c r="I103" s="18">
        <f>SUM($H$92:H103)</f>
        <v>21247801</v>
      </c>
      <c r="J103" s="19">
        <f t="shared" si="1"/>
        <v>4.3775417984636238E-2</v>
      </c>
      <c r="K103" s="20">
        <f t="shared" si="2"/>
        <v>3.4185720741075461E-2</v>
      </c>
      <c r="L103" s="23">
        <f>C103/I103</f>
        <v>3.4380451887703577E-2</v>
      </c>
      <c r="M103" s="23">
        <f>G103/I103</f>
        <v>4.4147909706044403E-2</v>
      </c>
    </row>
    <row r="104" spans="1:13" x14ac:dyDescent="0.25">
      <c r="A104" s="14"/>
      <c r="B104" s="12"/>
      <c r="C104" s="12"/>
      <c r="D104" s="16"/>
      <c r="E104" s="16"/>
      <c r="F104" s="13"/>
      <c r="G104" s="269">
        <f>C103/G103</f>
        <v>0.77875605247503854</v>
      </c>
      <c r="H104" s="13"/>
      <c r="I104" s="18"/>
      <c r="J104" s="19"/>
      <c r="K104" s="20"/>
      <c r="L104" s="23"/>
    </row>
    <row r="105" spans="1:13" x14ac:dyDescent="0.25">
      <c r="A105" s="4">
        <v>2020</v>
      </c>
      <c r="B105" s="12"/>
      <c r="C105" s="12"/>
      <c r="D105" s="16"/>
      <c r="E105" s="16"/>
      <c r="F105" s="13"/>
      <c r="G105" s="13"/>
      <c r="H105" s="13"/>
      <c r="I105" s="18"/>
      <c r="J105" s="19"/>
      <c r="K105" s="20"/>
      <c r="L105" s="23"/>
    </row>
    <row r="106" spans="1:13" x14ac:dyDescent="0.25">
      <c r="A106" s="10">
        <v>43831</v>
      </c>
      <c r="B106" s="12">
        <v>29464</v>
      </c>
      <c r="C106" s="22">
        <f>B106</f>
        <v>29464</v>
      </c>
      <c r="D106" s="16">
        <v>12722</v>
      </c>
      <c r="E106" s="16">
        <f>D106</f>
        <v>12722</v>
      </c>
      <c r="F106" s="13">
        <f t="shared" si="6"/>
        <v>42186</v>
      </c>
      <c r="G106" s="13">
        <f>F106</f>
        <v>42186</v>
      </c>
      <c r="H106" s="13">
        <v>1714684</v>
      </c>
      <c r="I106" s="18">
        <f>SUM(H105:H106)</f>
        <v>1714684</v>
      </c>
      <c r="J106" s="19">
        <f t="shared" si="1"/>
        <v>2.4602783953194873E-2</v>
      </c>
      <c r="K106" s="20">
        <f t="shared" si="2"/>
        <v>1.718334107042464E-2</v>
      </c>
      <c r="L106" s="23">
        <f>C106/I106</f>
        <v>1.718334107042464E-2</v>
      </c>
      <c r="M106" s="21"/>
    </row>
    <row r="107" spans="1:13" x14ac:dyDescent="0.25">
      <c r="A107" s="10">
        <v>43862</v>
      </c>
      <c r="B107" s="12">
        <v>9000</v>
      </c>
      <c r="C107" s="17">
        <f>SUM(B106:B107)</f>
        <v>38464</v>
      </c>
      <c r="D107" s="16">
        <v>2000</v>
      </c>
      <c r="E107" s="16">
        <f>SUM(D106:D107)</f>
        <v>14722</v>
      </c>
      <c r="F107" s="13">
        <v>11000</v>
      </c>
      <c r="G107" s="13">
        <f>SUM(F106:F107)</f>
        <v>53186</v>
      </c>
      <c r="H107" s="13">
        <v>256608</v>
      </c>
      <c r="I107" s="18">
        <f>SUM(H106:H107)</f>
        <v>1971292</v>
      </c>
      <c r="J107" s="19">
        <f t="shared" si="1"/>
        <v>4.2866941015089165E-2</v>
      </c>
      <c r="K107" s="20">
        <f t="shared" si="2"/>
        <v>3.5072951739618406E-2</v>
      </c>
      <c r="L107" s="23">
        <f>C107/I107</f>
        <v>1.9512076343839471E-2</v>
      </c>
      <c r="M107" s="23">
        <f>G107/I107</f>
        <v>2.6980274865418211E-2</v>
      </c>
    </row>
    <row r="111" spans="1:13" x14ac:dyDescent="0.25">
      <c r="G111" s="31">
        <f>AVERAGE(G104,G90,G75)</f>
        <v>0.78518892551868369</v>
      </c>
      <c r="I111" s="30">
        <f>AVERAGE(I15,I31,I46,I60,I74,I89,I103)</f>
        <v>21684344.714285713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E17"/>
  <sheetViews>
    <sheetView topLeftCell="A13" workbookViewId="0">
      <selection activeCell="O27" sqref="O27"/>
    </sheetView>
  </sheetViews>
  <sheetFormatPr defaultRowHeight="14.4" x14ac:dyDescent="0.25"/>
  <sheetData>
    <row r="13" spans="2:5" x14ac:dyDescent="0.25">
      <c r="C13" t="s">
        <v>423</v>
      </c>
      <c r="D13" t="s">
        <v>6</v>
      </c>
      <c r="E13" t="s">
        <v>424</v>
      </c>
    </row>
    <row r="14" spans="2:5" x14ac:dyDescent="0.25">
      <c r="B14">
        <v>2016</v>
      </c>
      <c r="C14" s="34">
        <v>0.5</v>
      </c>
      <c r="D14" s="34">
        <v>0.16</v>
      </c>
      <c r="E14" s="34">
        <v>0.34</v>
      </c>
    </row>
    <row r="15" spans="2:5" x14ac:dyDescent="0.25">
      <c r="B15">
        <v>2017</v>
      </c>
      <c r="C15" s="34">
        <v>0.6</v>
      </c>
      <c r="D15" s="34">
        <v>0.14000000000000001</v>
      </c>
      <c r="E15" s="34">
        <v>0.26</v>
      </c>
    </row>
    <row r="16" spans="2:5" x14ac:dyDescent="0.25">
      <c r="B16">
        <v>2018</v>
      </c>
      <c r="C16" s="34">
        <v>0.62</v>
      </c>
      <c r="D16" s="34">
        <v>0.2</v>
      </c>
      <c r="E16" s="34">
        <v>0.18</v>
      </c>
    </row>
    <row r="17" spans="2:5" x14ac:dyDescent="0.25">
      <c r="B17">
        <v>2019</v>
      </c>
      <c r="C17" s="34">
        <v>0.7</v>
      </c>
      <c r="D17" s="34">
        <v>0.18</v>
      </c>
      <c r="E17" s="34">
        <v>0.12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G24" sqref="G24"/>
    </sheetView>
  </sheetViews>
  <sheetFormatPr defaultRowHeight="14.4" x14ac:dyDescent="0.25"/>
  <cols>
    <col min="2" max="2" width="17" customWidth="1"/>
    <col min="3" max="3" width="13.88671875" bestFit="1" customWidth="1"/>
    <col min="4" max="4" width="10.5546875" bestFit="1" customWidth="1"/>
    <col min="5" max="5" width="26" bestFit="1" customWidth="1"/>
    <col min="8" max="8" width="29.21875" bestFit="1" customWidth="1"/>
  </cols>
  <sheetData>
    <row r="1" spans="1:14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12</v>
      </c>
    </row>
    <row r="2" spans="1:14" x14ac:dyDescent="0.25">
      <c r="A2">
        <v>2013</v>
      </c>
      <c r="B2" s="27">
        <v>14604</v>
      </c>
      <c r="C2" s="1">
        <v>3290</v>
      </c>
      <c r="D2" s="1">
        <f>SUM(B2:C2)</f>
        <v>17894</v>
      </c>
      <c r="E2" s="1">
        <v>17613900</v>
      </c>
      <c r="F2" s="26">
        <f>B2/E2</f>
        <v>8.2911791255769595E-4</v>
      </c>
      <c r="G2" s="21">
        <f>D2/E2</f>
        <v>1.0159022135926739E-3</v>
      </c>
    </row>
    <row r="3" spans="1:14" x14ac:dyDescent="0.25">
      <c r="A3">
        <v>2014</v>
      </c>
      <c r="B3" s="27">
        <v>21732</v>
      </c>
      <c r="C3" s="1">
        <v>16129</v>
      </c>
      <c r="D3" s="1">
        <f t="shared" ref="D3:D8" si="0">SUM(B3:C3)</f>
        <v>37861</v>
      </c>
      <c r="E3" s="1">
        <v>19604338</v>
      </c>
      <c r="F3" s="26">
        <f t="shared" ref="F3:F8" si="1">B3/E3</f>
        <v>1.1085301630690105E-3</v>
      </c>
      <c r="G3" s="21">
        <f t="shared" ref="G3:G8" si="2">D3/E3</f>
        <v>1.9312562352271218E-3</v>
      </c>
      <c r="H3" s="28">
        <f t="shared" ref="H3:H8" si="3">(F3-F2)/F2</f>
        <v>0.3369994138100002</v>
      </c>
      <c r="I3" s="29"/>
      <c r="L3" s="17"/>
      <c r="M3" s="32"/>
    </row>
    <row r="4" spans="1:14" x14ac:dyDescent="0.25">
      <c r="A4">
        <v>2015</v>
      </c>
      <c r="B4" s="27">
        <v>52243</v>
      </c>
      <c r="C4" s="1">
        <v>59649</v>
      </c>
      <c r="D4" s="1">
        <f t="shared" si="0"/>
        <v>111892</v>
      </c>
      <c r="E4" s="1">
        <v>21060871</v>
      </c>
      <c r="F4" s="26">
        <f t="shared" si="1"/>
        <v>2.480571672463119E-3</v>
      </c>
      <c r="G4" s="21">
        <f t="shared" si="2"/>
        <v>5.31279071981401E-3</v>
      </c>
      <c r="H4" s="28">
        <f t="shared" si="3"/>
        <v>1.2377123826703609</v>
      </c>
      <c r="M4" s="32"/>
    </row>
    <row r="5" spans="1:14" x14ac:dyDescent="0.25">
      <c r="A5">
        <v>2016</v>
      </c>
      <c r="B5" s="27">
        <v>167572</v>
      </c>
      <c r="C5" s="1">
        <v>72106</v>
      </c>
      <c r="D5" s="1">
        <f t="shared" si="0"/>
        <v>239678</v>
      </c>
      <c r="E5" s="1">
        <v>24159155</v>
      </c>
      <c r="F5" s="26">
        <f t="shared" si="1"/>
        <v>6.9361697460031194E-3</v>
      </c>
      <c r="G5" s="21">
        <f t="shared" si="2"/>
        <v>9.9207940012802608E-3</v>
      </c>
      <c r="H5" s="28">
        <f t="shared" si="3"/>
        <v>1.7961980792579764</v>
      </c>
      <c r="M5" s="32"/>
    </row>
    <row r="6" spans="1:14" x14ac:dyDescent="0.25">
      <c r="A6">
        <v>2017</v>
      </c>
      <c r="B6" s="27">
        <v>456097</v>
      </c>
      <c r="C6" s="1">
        <v>99868</v>
      </c>
      <c r="D6" s="1">
        <f t="shared" si="0"/>
        <v>555965</v>
      </c>
      <c r="E6" s="1">
        <v>24818264</v>
      </c>
      <c r="F6" s="26">
        <f t="shared" si="1"/>
        <v>1.8377473944188844E-2</v>
      </c>
      <c r="G6" s="21">
        <f t="shared" si="2"/>
        <v>2.2401445967373059E-2</v>
      </c>
      <c r="H6" s="28">
        <f t="shared" si="3"/>
        <v>1.6495132929494167</v>
      </c>
      <c r="M6" s="32"/>
    </row>
    <row r="7" spans="1:14" x14ac:dyDescent="0.25">
      <c r="A7">
        <v>2018</v>
      </c>
      <c r="B7" s="27">
        <v>717414</v>
      </c>
      <c r="C7" s="1">
        <v>228954</v>
      </c>
      <c r="D7" s="1">
        <f t="shared" si="0"/>
        <v>946368</v>
      </c>
      <c r="E7" s="1">
        <v>23286084</v>
      </c>
      <c r="F7" s="26">
        <f t="shared" si="1"/>
        <v>3.0808701025041393E-2</v>
      </c>
      <c r="G7" s="21">
        <f t="shared" si="2"/>
        <v>4.0640925283959295E-2</v>
      </c>
      <c r="H7" s="28">
        <f t="shared" si="3"/>
        <v>0.67643829171546388</v>
      </c>
      <c r="M7" s="32"/>
    </row>
    <row r="8" spans="1:14" x14ac:dyDescent="0.25">
      <c r="A8">
        <v>2019</v>
      </c>
      <c r="B8" s="27">
        <v>730509</v>
      </c>
      <c r="C8" s="1">
        <v>207537</v>
      </c>
      <c r="D8" s="1">
        <f t="shared" si="0"/>
        <v>938046</v>
      </c>
      <c r="E8" s="1">
        <v>21247801</v>
      </c>
      <c r="F8" s="26">
        <f t="shared" si="1"/>
        <v>3.4380451887703577E-2</v>
      </c>
      <c r="G8" s="21">
        <f t="shared" si="2"/>
        <v>4.4147909706044403E-2</v>
      </c>
      <c r="H8" s="28">
        <f t="shared" si="3"/>
        <v>0.11593318588015297</v>
      </c>
      <c r="M8" s="32"/>
      <c r="N8" s="33"/>
    </row>
    <row r="9" spans="1:14" x14ac:dyDescent="0.25">
      <c r="B9" s="31"/>
      <c r="E9" s="30"/>
    </row>
    <row r="10" spans="1:14" x14ac:dyDescent="0.25">
      <c r="B10" s="31"/>
      <c r="E10" s="30"/>
    </row>
    <row r="11" spans="1:14" x14ac:dyDescent="0.25">
      <c r="B11" s="31"/>
    </row>
    <row r="12" spans="1:14" x14ac:dyDescent="0.25">
      <c r="B12" s="31"/>
    </row>
    <row r="13" spans="1:14" x14ac:dyDescent="0.25">
      <c r="B13" s="30"/>
    </row>
    <row r="14" spans="1:14" x14ac:dyDescent="0.25">
      <c r="B14" s="31"/>
    </row>
    <row r="15" spans="1:14" x14ac:dyDescent="0.25">
      <c r="B15" s="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workbookViewId="0">
      <selection activeCell="E17" sqref="E17"/>
    </sheetView>
  </sheetViews>
  <sheetFormatPr defaultRowHeight="14.4" x14ac:dyDescent="0.25"/>
  <sheetData>
    <row r="2" spans="1:4" x14ac:dyDescent="0.25">
      <c r="A2" s="67">
        <v>2010</v>
      </c>
      <c r="B2" s="67">
        <v>1</v>
      </c>
      <c r="C2" s="67">
        <v>1160</v>
      </c>
    </row>
    <row r="3" spans="1:4" x14ac:dyDescent="0.25">
      <c r="A3" s="67">
        <v>2011</v>
      </c>
      <c r="B3" s="67">
        <v>2</v>
      </c>
      <c r="C3" s="67">
        <v>899</v>
      </c>
    </row>
    <row r="4" spans="1:4" x14ac:dyDescent="0.25">
      <c r="A4" s="67">
        <v>2012</v>
      </c>
      <c r="B4" s="67">
        <v>3</v>
      </c>
      <c r="C4" s="67">
        <v>707</v>
      </c>
    </row>
    <row r="5" spans="1:4" x14ac:dyDescent="0.25">
      <c r="A5" s="67">
        <v>2013</v>
      </c>
      <c r="B5" s="67">
        <v>4</v>
      </c>
      <c r="C5" s="67">
        <v>650</v>
      </c>
    </row>
    <row r="6" spans="1:4" x14ac:dyDescent="0.25">
      <c r="A6" s="67">
        <v>2014</v>
      </c>
      <c r="B6" s="67">
        <v>5</v>
      </c>
      <c r="C6" s="67">
        <v>577</v>
      </c>
    </row>
    <row r="7" spans="1:4" x14ac:dyDescent="0.25">
      <c r="A7" s="67">
        <v>2015</v>
      </c>
      <c r="B7" s="67">
        <v>6</v>
      </c>
      <c r="C7" s="67">
        <v>373</v>
      </c>
    </row>
    <row r="8" spans="1:4" x14ac:dyDescent="0.25">
      <c r="A8" s="67">
        <v>2016</v>
      </c>
      <c r="B8" s="67">
        <v>7</v>
      </c>
      <c r="C8" s="67">
        <v>288</v>
      </c>
    </row>
    <row r="9" spans="1:4" x14ac:dyDescent="0.25">
      <c r="A9" s="67">
        <v>2017</v>
      </c>
      <c r="B9" s="67">
        <v>8</v>
      </c>
      <c r="C9" s="67">
        <v>214</v>
      </c>
    </row>
    <row r="10" spans="1:4" x14ac:dyDescent="0.25">
      <c r="A10" s="67">
        <v>2018</v>
      </c>
      <c r="B10" s="67">
        <v>9</v>
      </c>
      <c r="C10" s="67">
        <v>176</v>
      </c>
    </row>
    <row r="11" spans="1:4" x14ac:dyDescent="0.25">
      <c r="A11" s="67">
        <v>2019</v>
      </c>
      <c r="B11" s="67">
        <v>10</v>
      </c>
      <c r="C11" s="67">
        <v>156</v>
      </c>
    </row>
    <row r="12" spans="1:4" x14ac:dyDescent="0.25">
      <c r="A12" t="s">
        <v>567</v>
      </c>
    </row>
    <row r="13" spans="1:4" x14ac:dyDescent="0.25">
      <c r="A13">
        <v>2020</v>
      </c>
      <c r="C13">
        <f>C11*$D$13</f>
        <v>140.4</v>
      </c>
      <c r="D13">
        <v>0.9</v>
      </c>
    </row>
    <row r="14" spans="1:4" x14ac:dyDescent="0.25">
      <c r="A14">
        <v>2021</v>
      </c>
      <c r="C14">
        <f>C13*$D$13</f>
        <v>126.36000000000001</v>
      </c>
    </row>
    <row r="15" spans="1:4" x14ac:dyDescent="0.25">
      <c r="A15">
        <v>2022</v>
      </c>
      <c r="C15">
        <f>C14*$D$13</f>
        <v>113.72400000000002</v>
      </c>
    </row>
    <row r="16" spans="1:4" x14ac:dyDescent="0.25">
      <c r="A16">
        <v>2023</v>
      </c>
      <c r="C16">
        <f>C15*$D$13</f>
        <v>102.35160000000002</v>
      </c>
    </row>
    <row r="17" spans="1:3" x14ac:dyDescent="0.25">
      <c r="A17">
        <v>2024</v>
      </c>
      <c r="C17">
        <f>C16*$D$13</f>
        <v>92.116440000000026</v>
      </c>
    </row>
    <row r="18" spans="1:3" x14ac:dyDescent="0.25">
      <c r="A18">
        <v>2025</v>
      </c>
      <c r="C18">
        <f>C17*$D$13</f>
        <v>82.904796000000019</v>
      </c>
    </row>
    <row r="21" spans="1:3" x14ac:dyDescent="0.25">
      <c r="A21" t="s">
        <v>566</v>
      </c>
    </row>
    <row r="22" spans="1:3" x14ac:dyDescent="0.25">
      <c r="A22" s="359">
        <v>2020</v>
      </c>
      <c r="B22" s="359">
        <v>11</v>
      </c>
      <c r="C22" s="359">
        <v>130.47999999999999</v>
      </c>
    </row>
    <row r="23" spans="1:3" x14ac:dyDescent="0.25">
      <c r="A23" s="359">
        <v>2021</v>
      </c>
      <c r="B23" s="359">
        <v>12</v>
      </c>
      <c r="C23" s="359">
        <v>104.94</v>
      </c>
    </row>
    <row r="24" spans="1:3" x14ac:dyDescent="0.25">
      <c r="A24" s="359">
        <v>2022</v>
      </c>
      <c r="B24" s="359">
        <v>13</v>
      </c>
      <c r="C24" s="359">
        <v>84.39</v>
      </c>
    </row>
    <row r="25" spans="1:3" x14ac:dyDescent="0.25">
      <c r="A25" s="359">
        <v>2023</v>
      </c>
      <c r="B25" s="359">
        <v>14</v>
      </c>
      <c r="C25" s="359">
        <v>67.86</v>
      </c>
    </row>
    <row r="26" spans="1:3" x14ac:dyDescent="0.25">
      <c r="A26" s="359">
        <v>2024</v>
      </c>
      <c r="B26" s="359">
        <v>15</v>
      </c>
      <c r="C26" s="359">
        <v>54.57</v>
      </c>
    </row>
    <row r="27" spans="1:3" x14ac:dyDescent="0.25">
      <c r="A27" s="359">
        <v>2025</v>
      </c>
      <c r="B27" s="359">
        <v>16</v>
      </c>
      <c r="C27" s="359">
        <v>43.89</v>
      </c>
    </row>
    <row r="28" spans="1:3" x14ac:dyDescent="0.25">
      <c r="A28" s="359">
        <v>2026</v>
      </c>
      <c r="B28" s="359">
        <v>17</v>
      </c>
      <c r="C28" s="359">
        <v>35.29</v>
      </c>
    </row>
    <row r="29" spans="1:3" x14ac:dyDescent="0.25">
      <c r="A29" s="359">
        <v>2027</v>
      </c>
      <c r="B29" s="359">
        <v>18</v>
      </c>
      <c r="C29" s="359">
        <v>28.38</v>
      </c>
    </row>
    <row r="30" spans="1:3" x14ac:dyDescent="0.25">
      <c r="A30" s="359">
        <v>2028</v>
      </c>
      <c r="B30" s="359">
        <v>19</v>
      </c>
      <c r="C30" s="359">
        <v>22.83</v>
      </c>
    </row>
    <row r="31" spans="1:3" x14ac:dyDescent="0.25">
      <c r="A31" s="359">
        <v>2029</v>
      </c>
      <c r="B31" s="359">
        <v>20</v>
      </c>
      <c r="C31" s="359">
        <v>18.36</v>
      </c>
    </row>
    <row r="32" spans="1:3" x14ac:dyDescent="0.25">
      <c r="A32" s="359">
        <v>2030</v>
      </c>
      <c r="B32" s="359">
        <v>21</v>
      </c>
      <c r="C32" s="359">
        <v>14.76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workbookViewId="0">
      <selection activeCell="C21" sqref="C21"/>
    </sheetView>
  </sheetViews>
  <sheetFormatPr defaultRowHeight="14.4" x14ac:dyDescent="0.25"/>
  <cols>
    <col min="2" max="2" width="8.88671875" customWidth="1"/>
    <col min="3" max="3" width="17.21875" customWidth="1"/>
    <col min="4" max="4" width="21.5546875" bestFit="1" customWidth="1"/>
    <col min="5" max="5" width="18.33203125" customWidth="1"/>
    <col min="6" max="6" width="15" customWidth="1"/>
    <col min="7" max="7" width="20.44140625" customWidth="1"/>
    <col min="8" max="9" width="13.88671875" bestFit="1" customWidth="1"/>
  </cols>
  <sheetData>
    <row r="2" spans="2:9" x14ac:dyDescent="0.25">
      <c r="B2" s="34"/>
      <c r="C2" s="34"/>
    </row>
    <row r="3" spans="2:9" x14ac:dyDescent="0.25">
      <c r="C3" s="42" t="s">
        <v>19</v>
      </c>
      <c r="D3" s="42" t="s">
        <v>20</v>
      </c>
      <c r="E3" s="42" t="s">
        <v>21</v>
      </c>
      <c r="F3" s="42" t="s">
        <v>22</v>
      </c>
      <c r="G3" s="42" t="s">
        <v>28</v>
      </c>
      <c r="H3" s="42" t="s">
        <v>24</v>
      </c>
      <c r="I3" s="42" t="s">
        <v>27</v>
      </c>
    </row>
    <row r="4" spans="2:9" ht="15" x14ac:dyDescent="0.3">
      <c r="B4" s="34"/>
      <c r="C4" s="36" t="s">
        <v>25</v>
      </c>
      <c r="D4" s="37">
        <v>282000</v>
      </c>
      <c r="E4" s="37">
        <v>45000</v>
      </c>
      <c r="F4" s="37">
        <v>22000</v>
      </c>
      <c r="G4" s="38">
        <v>0</v>
      </c>
      <c r="H4" s="38">
        <v>0</v>
      </c>
      <c r="I4" s="37">
        <v>215000</v>
      </c>
    </row>
    <row r="5" spans="2:9" ht="15" x14ac:dyDescent="0.3">
      <c r="B5" s="34"/>
      <c r="C5" s="39" t="s">
        <v>26</v>
      </c>
      <c r="D5" s="40">
        <v>158000</v>
      </c>
      <c r="E5" s="41">
        <v>0</v>
      </c>
      <c r="F5" s="41">
        <v>0</v>
      </c>
      <c r="G5" s="40">
        <v>89000</v>
      </c>
      <c r="H5" s="40">
        <v>13000</v>
      </c>
      <c r="I5" s="40">
        <v>260000</v>
      </c>
    </row>
    <row r="6" spans="2:9" x14ac:dyDescent="0.25">
      <c r="B6" s="2"/>
      <c r="C6" s="2"/>
    </row>
    <row r="9" spans="2:9" x14ac:dyDescent="0.25">
      <c r="C9" s="55" t="s">
        <v>29</v>
      </c>
      <c r="D9" s="54" t="s">
        <v>32</v>
      </c>
      <c r="E9" s="54">
        <v>2018</v>
      </c>
      <c r="F9" s="54">
        <v>2019</v>
      </c>
      <c r="G9" s="58" t="s">
        <v>30</v>
      </c>
    </row>
    <row r="10" spans="2:9" x14ac:dyDescent="0.25">
      <c r="C10" s="307" t="s">
        <v>37</v>
      </c>
      <c r="D10" s="46" t="s">
        <v>31</v>
      </c>
      <c r="E10" s="51">
        <v>15000</v>
      </c>
      <c r="F10" s="46">
        <v>0</v>
      </c>
      <c r="G10" s="59">
        <f>(F10-E10)/E10</f>
        <v>-1</v>
      </c>
    </row>
    <row r="11" spans="2:9" x14ac:dyDescent="0.25">
      <c r="C11" s="308"/>
      <c r="D11" s="48" t="s">
        <v>33</v>
      </c>
      <c r="E11" s="49">
        <v>24000</v>
      </c>
      <c r="F11" s="48">
        <v>0</v>
      </c>
      <c r="G11" s="60">
        <f t="shared" ref="G11:G20" si="0">(F11-E11)/E11</f>
        <v>-1</v>
      </c>
    </row>
    <row r="12" spans="2:9" x14ac:dyDescent="0.25">
      <c r="C12" s="308"/>
      <c r="D12" s="48" t="s">
        <v>34</v>
      </c>
      <c r="E12" s="49">
        <v>34000</v>
      </c>
      <c r="F12" s="49">
        <v>18000</v>
      </c>
      <c r="G12" s="61">
        <f t="shared" si="0"/>
        <v>-0.47058823529411764</v>
      </c>
    </row>
    <row r="13" spans="2:9" x14ac:dyDescent="0.25">
      <c r="C13" s="308"/>
      <c r="D13" s="48" t="s">
        <v>35</v>
      </c>
      <c r="E13" s="49">
        <v>45000</v>
      </c>
      <c r="F13" s="49">
        <v>18000</v>
      </c>
      <c r="G13" s="61">
        <f t="shared" si="0"/>
        <v>-0.6</v>
      </c>
    </row>
    <row r="14" spans="2:9" x14ac:dyDescent="0.25">
      <c r="C14" s="309"/>
      <c r="D14" s="52" t="s">
        <v>36</v>
      </c>
      <c r="E14" s="53">
        <v>50000</v>
      </c>
      <c r="F14" s="53">
        <v>25000</v>
      </c>
      <c r="G14" s="62">
        <f t="shared" si="0"/>
        <v>-0.5</v>
      </c>
    </row>
    <row r="15" spans="2:9" x14ac:dyDescent="0.25">
      <c r="C15" s="307" t="s">
        <v>44</v>
      </c>
      <c r="D15" s="46" t="s">
        <v>38</v>
      </c>
      <c r="E15" s="47">
        <v>0</v>
      </c>
      <c r="F15" s="47">
        <v>0</v>
      </c>
      <c r="G15" s="63">
        <v>0</v>
      </c>
    </row>
    <row r="16" spans="2:9" x14ac:dyDescent="0.25">
      <c r="C16" s="308"/>
      <c r="D16" s="48" t="s">
        <v>39</v>
      </c>
      <c r="E16" s="49">
        <v>6000</v>
      </c>
      <c r="F16" s="50">
        <v>0</v>
      </c>
      <c r="G16" s="60">
        <f t="shared" si="0"/>
        <v>-1</v>
      </c>
    </row>
    <row r="17" spans="3:7" x14ac:dyDescent="0.25">
      <c r="C17" s="308"/>
      <c r="D17" s="48" t="s">
        <v>40</v>
      </c>
      <c r="E17" s="49">
        <v>10000</v>
      </c>
      <c r="F17" s="50">
        <v>0</v>
      </c>
      <c r="G17" s="60">
        <f t="shared" si="0"/>
        <v>-1</v>
      </c>
    </row>
    <row r="18" spans="3:7" x14ac:dyDescent="0.25">
      <c r="C18" s="308"/>
      <c r="D18" s="48" t="s">
        <v>41</v>
      </c>
      <c r="E18" s="49">
        <v>10000</v>
      </c>
      <c r="F18" s="49">
        <v>8000</v>
      </c>
      <c r="G18" s="64">
        <f t="shared" si="0"/>
        <v>-0.2</v>
      </c>
    </row>
    <row r="19" spans="3:7" x14ac:dyDescent="0.25">
      <c r="C19" s="308"/>
      <c r="D19" s="48" t="s">
        <v>42</v>
      </c>
      <c r="E19" s="49">
        <v>11000</v>
      </c>
      <c r="F19" s="49">
        <v>9000</v>
      </c>
      <c r="G19" s="64">
        <f t="shared" si="0"/>
        <v>-0.18181818181818182</v>
      </c>
    </row>
    <row r="20" spans="3:7" x14ac:dyDescent="0.25">
      <c r="C20" s="309"/>
      <c r="D20" s="52" t="s">
        <v>43</v>
      </c>
      <c r="E20" s="53">
        <v>12000</v>
      </c>
      <c r="F20" s="53">
        <v>10000</v>
      </c>
      <c r="G20" s="65">
        <f t="shared" si="0"/>
        <v>-0.16666666666666666</v>
      </c>
    </row>
  </sheetData>
  <mergeCells count="2">
    <mergeCell ref="C10:C14"/>
    <mergeCell ref="C15:C2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6"/>
  <sheetViews>
    <sheetView workbookViewId="0">
      <selection activeCell="G7" sqref="G7"/>
    </sheetView>
  </sheetViews>
  <sheetFormatPr defaultRowHeight="14.4" x14ac:dyDescent="0.25"/>
  <sheetData>
    <row r="1" spans="2:2" x14ac:dyDescent="0.25">
      <c r="B1" t="s">
        <v>568</v>
      </c>
    </row>
    <row r="2" spans="2:2" x14ac:dyDescent="0.25">
      <c r="B2" t="s">
        <v>146</v>
      </c>
    </row>
    <row r="3" spans="2:2" x14ac:dyDescent="0.25">
      <c r="B3" t="s">
        <v>142</v>
      </c>
    </row>
    <row r="4" spans="2:2" x14ac:dyDescent="0.25">
      <c r="B4" t="s">
        <v>143</v>
      </c>
    </row>
    <row r="5" spans="2:2" x14ac:dyDescent="0.25">
      <c r="B5" t="s">
        <v>144</v>
      </c>
    </row>
    <row r="6" spans="2:2" x14ac:dyDescent="0.25">
      <c r="B6" t="s">
        <v>145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8"/>
  <sheetViews>
    <sheetView topLeftCell="A7" zoomScaleNormal="100" workbookViewId="0">
      <selection activeCell="H35" sqref="H35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64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65000</v>
      </c>
      <c r="E6" s="147">
        <f>D6-((D16-E16)+(D17-E17)+(D18-E18))</f>
        <v>59928</v>
      </c>
      <c r="F6" s="147">
        <f t="shared" ref="F6:O6" si="0">E6-((E16-F16)+(E17-F17)+(E18-F18))</f>
        <v>55343.200000000004</v>
      </c>
      <c r="G6" s="147">
        <f t="shared" si="0"/>
        <v>51196.880000000005</v>
      </c>
      <c r="H6" s="148">
        <f t="shared" si="0"/>
        <v>47445.192000000003</v>
      </c>
      <c r="I6" s="148">
        <f t="shared" si="0"/>
        <v>44048.6728</v>
      </c>
      <c r="J6" s="148">
        <f t="shared" si="0"/>
        <v>40971.805520000002</v>
      </c>
      <c r="K6" s="149">
        <f t="shared" si="0"/>
        <v>38182.624968000004</v>
      </c>
      <c r="L6" s="149">
        <f t="shared" si="0"/>
        <v>35652.362471200002</v>
      </c>
      <c r="M6" s="149">
        <f t="shared" si="0"/>
        <v>33355.126224079999</v>
      </c>
      <c r="N6" s="149">
        <f t="shared" si="0"/>
        <v>31267.613601671997</v>
      </c>
      <c r="O6" s="300">
        <f t="shared" si="0"/>
        <v>29368.852241504799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 t="shared" ref="F7:O7" si="1">F6*0.1</f>
        <v>5534.3200000000006</v>
      </c>
      <c r="G7" s="76">
        <f t="shared" si="1"/>
        <v>5119.688000000001</v>
      </c>
      <c r="H7" s="77">
        <f t="shared" si="1"/>
        <v>4744.5192000000006</v>
      </c>
      <c r="I7" s="77">
        <f t="shared" si="1"/>
        <v>4404.8672800000004</v>
      </c>
      <c r="J7" s="77">
        <f t="shared" si="1"/>
        <v>4097.1805520000007</v>
      </c>
      <c r="K7" s="78">
        <f t="shared" si="1"/>
        <v>3818.2624968000005</v>
      </c>
      <c r="L7" s="78">
        <f t="shared" si="1"/>
        <v>3565.2362471200004</v>
      </c>
      <c r="M7" s="78">
        <f t="shared" si="1"/>
        <v>3335.512622408</v>
      </c>
      <c r="N7" s="78">
        <f t="shared" si="1"/>
        <v>3126.7613601672001</v>
      </c>
      <c r="O7" s="104">
        <f t="shared" si="1"/>
        <v>2936.8852241504801</v>
      </c>
    </row>
    <row r="8" spans="3:15" ht="15" thickBot="1" x14ac:dyDescent="0.3">
      <c r="C8" s="102" t="s">
        <v>48</v>
      </c>
      <c r="D8" s="79">
        <f>D6+D7</f>
        <v>65000</v>
      </c>
      <c r="E8" s="129">
        <f t="shared" ref="E8:J8" si="2">E6+E7</f>
        <v>59928</v>
      </c>
      <c r="F8" s="80">
        <f t="shared" si="2"/>
        <v>60877.520000000004</v>
      </c>
      <c r="G8" s="80">
        <f t="shared" si="2"/>
        <v>56316.568000000007</v>
      </c>
      <c r="H8" s="81">
        <f t="shared" si="2"/>
        <v>52189.711200000005</v>
      </c>
      <c r="I8" s="81">
        <f t="shared" si="2"/>
        <v>48453.540079999999</v>
      </c>
      <c r="J8" s="81">
        <f t="shared" si="2"/>
        <v>45068.986072</v>
      </c>
      <c r="K8" s="82">
        <f>K6+K7</f>
        <v>42000.887464800006</v>
      </c>
      <c r="L8" s="82">
        <f>L6+L7</f>
        <v>39217.598718320005</v>
      </c>
      <c r="M8" s="82">
        <f>M6+M7</f>
        <v>36690.638846488</v>
      </c>
      <c r="N8" s="82">
        <f>N6+N7</f>
        <v>34394.374961839196</v>
      </c>
      <c r="O8" s="105">
        <f>O6+O7</f>
        <v>32305.737465655278</v>
      </c>
    </row>
    <row r="9" spans="3:15" x14ac:dyDescent="0.25">
      <c r="C9" s="102" t="s">
        <v>49</v>
      </c>
      <c r="D9" s="79">
        <f>D6*0.05</f>
        <v>3250</v>
      </c>
      <c r="E9" s="80">
        <f t="shared" ref="E9:J9" si="3">E6*0.05</f>
        <v>2996.4</v>
      </c>
      <c r="F9" s="80">
        <f t="shared" si="3"/>
        <v>2767.1600000000003</v>
      </c>
      <c r="G9" s="80">
        <f t="shared" si="3"/>
        <v>2559.8440000000005</v>
      </c>
      <c r="H9" s="81">
        <f t="shared" si="3"/>
        <v>2372.2596000000003</v>
      </c>
      <c r="I9" s="81">
        <f t="shared" si="3"/>
        <v>2202.4336400000002</v>
      </c>
      <c r="J9" s="81">
        <f t="shared" si="3"/>
        <v>2048.5902760000004</v>
      </c>
      <c r="K9" s="82">
        <f>K6*0.05</f>
        <v>1909.1312484000002</v>
      </c>
      <c r="L9" s="82">
        <f>L6*0.05</f>
        <v>1782.6181235600002</v>
      </c>
      <c r="M9" s="82">
        <f>M6*0.05</f>
        <v>1667.756311204</v>
      </c>
      <c r="N9" s="82">
        <f>N6*0.05</f>
        <v>1563.3806800836001</v>
      </c>
      <c r="O9" s="105">
        <f>O6*0.05</f>
        <v>1468.44261207524</v>
      </c>
    </row>
    <row r="10" spans="3:15" x14ac:dyDescent="0.25">
      <c r="C10" s="102" t="s">
        <v>66</v>
      </c>
      <c r="D10" s="79">
        <v>301</v>
      </c>
      <c r="E10" s="80">
        <v>301</v>
      </c>
      <c r="F10" s="80">
        <v>301</v>
      </c>
      <c r="G10" s="80">
        <v>301</v>
      </c>
      <c r="H10" s="81">
        <v>301</v>
      </c>
      <c r="I10" s="81">
        <v>301</v>
      </c>
      <c r="J10" s="81">
        <v>301</v>
      </c>
      <c r="K10" s="82">
        <v>301</v>
      </c>
      <c r="L10" s="82">
        <v>301</v>
      </c>
      <c r="M10" s="82">
        <v>301</v>
      </c>
      <c r="N10" s="82">
        <v>301</v>
      </c>
      <c r="O10" s="105">
        <v>301</v>
      </c>
    </row>
    <row r="11" spans="3:15" x14ac:dyDescent="0.25">
      <c r="C11" s="102" t="s">
        <v>65</v>
      </c>
      <c r="D11" s="83">
        <v>30.6</v>
      </c>
      <c r="E11" s="84">
        <v>30.6</v>
      </c>
      <c r="F11" s="84">
        <v>30.6</v>
      </c>
      <c r="G11" s="84">
        <v>30.6</v>
      </c>
      <c r="H11" s="85">
        <v>30.6</v>
      </c>
      <c r="I11" s="85">
        <v>30.6</v>
      </c>
      <c r="J11" s="85">
        <v>30.6</v>
      </c>
      <c r="K11" s="86">
        <v>30.6</v>
      </c>
      <c r="L11" s="86">
        <v>30.6</v>
      </c>
      <c r="M11" s="86">
        <v>30.6</v>
      </c>
      <c r="N11" s="86">
        <v>30.6</v>
      </c>
      <c r="O11" s="106">
        <v>30.6</v>
      </c>
    </row>
    <row r="12" spans="3:15" x14ac:dyDescent="0.25">
      <c r="C12" s="102" t="s">
        <v>72</v>
      </c>
      <c r="D12" s="83">
        <v>1.2</v>
      </c>
      <c r="E12" s="87">
        <f t="shared" ref="E12:J12" si="4">D12*0.9</f>
        <v>1.08</v>
      </c>
      <c r="F12" s="87">
        <f t="shared" si="4"/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>J12*0.9</f>
        <v>0.5739562800000001</v>
      </c>
      <c r="L12" s="89">
        <f>K12*0.9</f>
        <v>0.51656065200000012</v>
      </c>
      <c r="M12" s="89">
        <f>L12*0.9</f>
        <v>0.46490458680000013</v>
      </c>
      <c r="N12" s="89">
        <f>M12*0.9</f>
        <v>0.41841412812000012</v>
      </c>
      <c r="O12" s="107">
        <f>N12*0.9</f>
        <v>0.37657271530800013</v>
      </c>
    </row>
    <row r="13" spans="3:15" x14ac:dyDescent="0.25">
      <c r="C13" s="102" t="s">
        <v>50</v>
      </c>
      <c r="D13" s="79">
        <v>27000</v>
      </c>
      <c r="E13" s="90">
        <v>28000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88750</v>
      </c>
      <c r="E14" s="80">
        <f t="shared" si="5"/>
        <v>84931.6</v>
      </c>
      <c r="F14" s="80">
        <f t="shared" si="5"/>
        <v>52576.04</v>
      </c>
      <c r="G14" s="80">
        <f t="shared" si="5"/>
        <v>48637.036000000007</v>
      </c>
      <c r="H14" s="81">
        <f t="shared" si="5"/>
        <v>45072.932400000005</v>
      </c>
      <c r="I14" s="81">
        <f t="shared" si="5"/>
        <v>41846.239159999997</v>
      </c>
      <c r="J14" s="81">
        <f t="shared" si="5"/>
        <v>38923.215243999999</v>
      </c>
      <c r="K14" s="82">
        <f t="shared" si="5"/>
        <v>36273.493719600003</v>
      </c>
      <c r="L14" s="82">
        <f t="shared" si="5"/>
        <v>33869.74434764</v>
      </c>
      <c r="M14" s="82">
        <f t="shared" si="5"/>
        <v>31687.369912875998</v>
      </c>
      <c r="N14" s="82">
        <f t="shared" si="5"/>
        <v>29704.232921588398</v>
      </c>
      <c r="O14" s="105">
        <f t="shared" si="5"/>
        <v>27900.40962942956</v>
      </c>
    </row>
    <row r="15" spans="3:15" x14ac:dyDescent="0.25">
      <c r="C15" s="102" t="s">
        <v>68</v>
      </c>
      <c r="D15" s="79">
        <f>D14*0.87</f>
        <v>77212.5</v>
      </c>
      <c r="E15" s="80">
        <f t="shared" ref="E15:J15" si="6">E14*0.87</f>
        <v>73890.491999999998</v>
      </c>
      <c r="F15" s="80">
        <f t="shared" si="6"/>
        <v>45741.154800000004</v>
      </c>
      <c r="G15" s="80">
        <f t="shared" si="6"/>
        <v>42314.221320000004</v>
      </c>
      <c r="H15" s="81">
        <f t="shared" si="6"/>
        <v>39213.451188000006</v>
      </c>
      <c r="I15" s="81">
        <f t="shared" si="6"/>
        <v>36406.228069199999</v>
      </c>
      <c r="J15" s="81">
        <f t="shared" si="6"/>
        <v>33863.197262280002</v>
      </c>
      <c r="K15" s="82">
        <f>K14*0.87</f>
        <v>31557.939536052003</v>
      </c>
      <c r="L15" s="82">
        <f>L14*0.87</f>
        <v>29466.677582446799</v>
      </c>
      <c r="M15" s="82">
        <f>M14*0.87</f>
        <v>27568.01182420212</v>
      </c>
      <c r="N15" s="82">
        <f>N14*0.87</f>
        <v>25842.682641781907</v>
      </c>
      <c r="O15" s="105">
        <f>O14*0.87</f>
        <v>24273.356377603715</v>
      </c>
    </row>
    <row r="16" spans="3:15" x14ac:dyDescent="0.25">
      <c r="C16" s="102" t="s">
        <v>52</v>
      </c>
      <c r="D16" s="93">
        <f t="shared" ref="D16:O16" si="7">D12*1000*D11</f>
        <v>36720</v>
      </c>
      <c r="E16" s="71">
        <f t="shared" si="7"/>
        <v>33048</v>
      </c>
      <c r="F16" s="71">
        <f t="shared" si="7"/>
        <v>29743.200000000004</v>
      </c>
      <c r="G16" s="71">
        <f t="shared" si="7"/>
        <v>26768.880000000008</v>
      </c>
      <c r="H16" s="72">
        <f t="shared" si="7"/>
        <v>24091.992000000006</v>
      </c>
      <c r="I16" s="72">
        <f t="shared" si="7"/>
        <v>21682.792800000003</v>
      </c>
      <c r="J16" s="72">
        <f t="shared" si="7"/>
        <v>19514.513520000004</v>
      </c>
      <c r="K16" s="73">
        <f t="shared" si="7"/>
        <v>17563.062168000004</v>
      </c>
      <c r="L16" s="73">
        <f t="shared" si="7"/>
        <v>15806.755951200004</v>
      </c>
      <c r="M16" s="73">
        <f t="shared" si="7"/>
        <v>14226.080356080005</v>
      </c>
      <c r="N16" s="73">
        <f t="shared" si="7"/>
        <v>12803.472320472003</v>
      </c>
      <c r="O16" s="103">
        <f t="shared" si="7"/>
        <v>11523.125088424804</v>
      </c>
    </row>
    <row r="17" spans="3:15" ht="28.8" x14ac:dyDescent="0.25">
      <c r="C17" s="109" t="s">
        <v>53</v>
      </c>
      <c r="D17" s="70">
        <v>5000</v>
      </c>
      <c r="E17" s="90">
        <f>D17-200</f>
        <v>4800</v>
      </c>
      <c r="F17" s="90">
        <f t="shared" ref="F17:O17" si="8">E17-200</f>
        <v>4600</v>
      </c>
      <c r="G17" s="90">
        <f t="shared" si="8"/>
        <v>4400</v>
      </c>
      <c r="H17" s="94">
        <f t="shared" si="8"/>
        <v>4200</v>
      </c>
      <c r="I17" s="94">
        <f t="shared" si="8"/>
        <v>4000</v>
      </c>
      <c r="J17" s="94">
        <f t="shared" si="8"/>
        <v>3800</v>
      </c>
      <c r="K17" s="95">
        <f t="shared" si="8"/>
        <v>3600</v>
      </c>
      <c r="L17" s="95">
        <f t="shared" si="8"/>
        <v>3400</v>
      </c>
      <c r="M17" s="95">
        <f t="shared" si="8"/>
        <v>3200</v>
      </c>
      <c r="N17" s="95">
        <f t="shared" si="8"/>
        <v>3000</v>
      </c>
      <c r="O17" s="110">
        <f t="shared" si="8"/>
        <v>2800</v>
      </c>
    </row>
    <row r="18" spans="3:15" x14ac:dyDescent="0.25">
      <c r="C18" s="102" t="s">
        <v>54</v>
      </c>
      <c r="D18" s="96">
        <v>12000</v>
      </c>
      <c r="E18" s="97">
        <f>D18*0.9</f>
        <v>10800</v>
      </c>
      <c r="F18" s="97">
        <f t="shared" ref="F18:O18" si="9">E18*0.9</f>
        <v>9720</v>
      </c>
      <c r="G18" s="97">
        <f t="shared" si="9"/>
        <v>8748</v>
      </c>
      <c r="H18" s="94">
        <f t="shared" si="9"/>
        <v>7873.2</v>
      </c>
      <c r="I18" s="94">
        <f t="shared" si="9"/>
        <v>7085.88</v>
      </c>
      <c r="J18" s="94">
        <f t="shared" si="9"/>
        <v>6377.2920000000004</v>
      </c>
      <c r="K18" s="95">
        <f t="shared" si="9"/>
        <v>5739.5628000000006</v>
      </c>
      <c r="L18" s="95">
        <f t="shared" si="9"/>
        <v>5165.6065200000003</v>
      </c>
      <c r="M18" s="95">
        <f t="shared" si="9"/>
        <v>4649.0458680000002</v>
      </c>
      <c r="N18" s="95">
        <f t="shared" si="9"/>
        <v>4184.1412811999999</v>
      </c>
      <c r="O18" s="110">
        <f t="shared" si="9"/>
        <v>3765.7271530799999</v>
      </c>
    </row>
    <row r="19" spans="3:15" ht="15" thickBot="1" x14ac:dyDescent="0.3">
      <c r="C19" s="102" t="s">
        <v>71</v>
      </c>
      <c r="D19" s="79">
        <f>D15-D16-D17-D18</f>
        <v>23492.5</v>
      </c>
      <c r="E19" s="80">
        <f t="shared" ref="E19:J19" si="10">E15-E16-E17-E18</f>
        <v>25242.491999999998</v>
      </c>
      <c r="F19" s="80">
        <f t="shared" si="10"/>
        <v>1677.9547999999995</v>
      </c>
      <c r="G19" s="80">
        <f t="shared" si="10"/>
        <v>2397.3413199999959</v>
      </c>
      <c r="H19" s="81">
        <f t="shared" si="10"/>
        <v>3048.2591880000009</v>
      </c>
      <c r="I19" s="81">
        <f t="shared" si="10"/>
        <v>3637.5552691999956</v>
      </c>
      <c r="J19" s="81">
        <f t="shared" si="10"/>
        <v>4171.3917422799977</v>
      </c>
      <c r="K19" s="82">
        <f>K15-K16-K17-K18</f>
        <v>4655.3145680519983</v>
      </c>
      <c r="L19" s="82">
        <f>L15-L16-L17-L18</f>
        <v>5094.315111246794</v>
      </c>
      <c r="M19" s="82">
        <f>M15-M16-M17-M18</f>
        <v>5492.8856001221147</v>
      </c>
      <c r="N19" s="82">
        <f>N15-N16-N17-N18</f>
        <v>5855.0690401099037</v>
      </c>
      <c r="O19" s="105">
        <f>O15-O16-O17-O18</f>
        <v>6184.5041360989117</v>
      </c>
    </row>
    <row r="20" spans="3:15" ht="15" thickBot="1" x14ac:dyDescent="0.3">
      <c r="C20" s="111" t="s">
        <v>70</v>
      </c>
      <c r="D20" s="112">
        <f>D19/D14</f>
        <v>0.26470422535211269</v>
      </c>
      <c r="E20" s="137">
        <f t="shared" ref="E20:J20" si="11">E19/E14</f>
        <v>0.29720966047972719</v>
      </c>
      <c r="F20" s="113">
        <f t="shared" si="11"/>
        <v>3.1914818993594794E-2</v>
      </c>
      <c r="G20" s="113">
        <f t="shared" si="11"/>
        <v>4.9290448538023481E-2</v>
      </c>
      <c r="H20" s="114">
        <f t="shared" si="11"/>
        <v>6.7629484608372203E-2</v>
      </c>
      <c r="I20" s="114">
        <f t="shared" si="11"/>
        <v>8.6926695020112188E-2</v>
      </c>
      <c r="J20" s="114">
        <f t="shared" si="11"/>
        <v>0.10716976272722013</v>
      </c>
      <c r="K20" s="115">
        <f>K19/K14</f>
        <v>0.12833929381157316</v>
      </c>
      <c r="L20" s="115">
        <f>L19/L14</f>
        <v>0.15040902166129752</v>
      </c>
      <c r="M20" s="115">
        <f>M19/M14</f>
        <v>0.17334621381404422</v>
      </c>
      <c r="N20" s="115">
        <f>N19/N14</f>
        <v>0.19711227876396584</v>
      </c>
      <c r="O20" s="175">
        <f>O19/O14</f>
        <v>0.22166356043659841</v>
      </c>
    </row>
    <row r="21" spans="3:15" x14ac:dyDescent="0.25">
      <c r="C21" s="131" t="s">
        <v>63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55000</v>
      </c>
      <c r="E23" s="80">
        <f t="shared" ref="E23:O23" si="12">D23+(E29-D29)+(E30-D30)</f>
        <v>55300</v>
      </c>
      <c r="F23" s="80">
        <f t="shared" si="12"/>
        <v>55606</v>
      </c>
      <c r="G23" s="80">
        <f t="shared" si="12"/>
        <v>55918.12</v>
      </c>
      <c r="H23" s="81">
        <f t="shared" si="12"/>
        <v>56236.482400000001</v>
      </c>
      <c r="I23" s="81">
        <f t="shared" si="12"/>
        <v>56561.212048000001</v>
      </c>
      <c r="J23" s="81">
        <f t="shared" si="12"/>
        <v>56892.436288960002</v>
      </c>
      <c r="K23" s="82">
        <f t="shared" si="12"/>
        <v>57230.285014739202</v>
      </c>
      <c r="L23" s="82">
        <f t="shared" si="12"/>
        <v>57574.89071503398</v>
      </c>
      <c r="M23" s="82">
        <f t="shared" si="12"/>
        <v>57926.388529334654</v>
      </c>
      <c r="N23" s="82">
        <f t="shared" si="12"/>
        <v>58284.916299921344</v>
      </c>
      <c r="O23" s="105">
        <f t="shared" si="12"/>
        <v>58650.614625919778</v>
      </c>
    </row>
    <row r="24" spans="3:15" ht="15" thickBot="1" x14ac:dyDescent="0.3">
      <c r="C24" s="102" t="s">
        <v>46</v>
      </c>
      <c r="D24" s="117">
        <f>D23*0.1</f>
        <v>5500</v>
      </c>
      <c r="E24" s="80">
        <f t="shared" ref="E24:J24" si="13">E23*0.1</f>
        <v>5530</v>
      </c>
      <c r="F24" s="80">
        <f t="shared" si="13"/>
        <v>5560.6</v>
      </c>
      <c r="G24" s="80">
        <f t="shared" si="13"/>
        <v>5591.8120000000008</v>
      </c>
      <c r="H24" s="81">
        <f t="shared" si="13"/>
        <v>5623.6482400000004</v>
      </c>
      <c r="I24" s="81">
        <f t="shared" si="13"/>
        <v>5656.1212048000007</v>
      </c>
      <c r="J24" s="81">
        <f t="shared" si="13"/>
        <v>5689.2436288960007</v>
      </c>
      <c r="K24" s="82">
        <f>K23*0.1</f>
        <v>5723.0285014739202</v>
      </c>
      <c r="L24" s="82">
        <f>L23*0.1</f>
        <v>5757.489071503398</v>
      </c>
      <c r="M24" s="82">
        <f>M23*0.1</f>
        <v>5792.6388529334654</v>
      </c>
      <c r="N24" s="82">
        <f>N23*0.1</f>
        <v>5828.4916299921351</v>
      </c>
      <c r="O24" s="105">
        <f>O23*0.1</f>
        <v>5865.0614625919779</v>
      </c>
    </row>
    <row r="25" spans="3:15" ht="15" thickBot="1" x14ac:dyDescent="0.3">
      <c r="C25" s="102" t="s">
        <v>56</v>
      </c>
      <c r="D25" s="93">
        <f>D23+D24</f>
        <v>60500</v>
      </c>
      <c r="E25" s="130">
        <f t="shared" ref="E25:J25" si="14">E23+E24</f>
        <v>60830</v>
      </c>
      <c r="F25" s="80">
        <f t="shared" si="14"/>
        <v>61166.6</v>
      </c>
      <c r="G25" s="80">
        <f t="shared" si="14"/>
        <v>61509.932000000001</v>
      </c>
      <c r="H25" s="72">
        <f t="shared" si="14"/>
        <v>61860.130640000003</v>
      </c>
      <c r="I25" s="72">
        <f t="shared" si="14"/>
        <v>62217.333252800003</v>
      </c>
      <c r="J25" s="72">
        <f t="shared" si="14"/>
        <v>62581.679917856003</v>
      </c>
      <c r="K25" s="73">
        <f>K23+K24</f>
        <v>62953.313516213122</v>
      </c>
      <c r="L25" s="73">
        <f>L23+L24</f>
        <v>63332.379786537378</v>
      </c>
      <c r="M25" s="73">
        <f>M23+M24</f>
        <v>63719.027382268119</v>
      </c>
      <c r="N25" s="73">
        <f>N23+N24</f>
        <v>64113.407929913476</v>
      </c>
      <c r="O25" s="103">
        <f>O23+O24</f>
        <v>64515.676088511755</v>
      </c>
    </row>
    <row r="26" spans="3:15" x14ac:dyDescent="0.25">
      <c r="C26" s="102" t="s">
        <v>57</v>
      </c>
      <c r="D26" s="79">
        <f>D23*0.05</f>
        <v>2750</v>
      </c>
      <c r="E26" s="80">
        <f t="shared" ref="E26:J26" si="15">E23*0.05</f>
        <v>2765</v>
      </c>
      <c r="F26" s="80">
        <f t="shared" si="15"/>
        <v>2780.3</v>
      </c>
      <c r="G26" s="80">
        <f t="shared" si="15"/>
        <v>2795.9060000000004</v>
      </c>
      <c r="H26" s="81">
        <f t="shared" si="15"/>
        <v>2811.8241200000002</v>
      </c>
      <c r="I26" s="81">
        <f t="shared" si="15"/>
        <v>2828.0606024000003</v>
      </c>
      <c r="J26" s="81">
        <f t="shared" si="15"/>
        <v>2844.6218144480004</v>
      </c>
      <c r="K26" s="82">
        <f>K23*0.05</f>
        <v>2861.5142507369601</v>
      </c>
      <c r="L26" s="82">
        <f>L23*0.05</f>
        <v>2878.744535751699</v>
      </c>
      <c r="M26" s="82">
        <f>M23*0.05</f>
        <v>2896.3194264667327</v>
      </c>
      <c r="N26" s="82">
        <f>N23*0.05</f>
        <v>2914.2458149960676</v>
      </c>
      <c r="O26" s="105">
        <f>O23*0.05</f>
        <v>2932.530731295989</v>
      </c>
    </row>
    <row r="27" spans="3:15" x14ac:dyDescent="0.25">
      <c r="C27" s="102" t="s">
        <v>58</v>
      </c>
      <c r="D27" s="79">
        <f>D23-D26</f>
        <v>52250</v>
      </c>
      <c r="E27" s="80">
        <f t="shared" ref="E27:J27" si="16">E23-E26</f>
        <v>52535</v>
      </c>
      <c r="F27" s="80">
        <f t="shared" si="16"/>
        <v>52825.7</v>
      </c>
      <c r="G27" s="80">
        <f t="shared" si="16"/>
        <v>53122.214</v>
      </c>
      <c r="H27" s="81">
        <f t="shared" si="16"/>
        <v>53424.658280000003</v>
      </c>
      <c r="I27" s="81">
        <f t="shared" si="16"/>
        <v>53733.1514456</v>
      </c>
      <c r="J27" s="81">
        <f t="shared" si="16"/>
        <v>54047.814474512001</v>
      </c>
      <c r="K27" s="82">
        <f>K23-K26</f>
        <v>54368.770764002242</v>
      </c>
      <c r="L27" s="82">
        <f>L23-L26</f>
        <v>54696.146179282281</v>
      </c>
      <c r="M27" s="82">
        <f>M23-M26</f>
        <v>55030.069102867921</v>
      </c>
      <c r="N27" s="82">
        <f>N23-N26</f>
        <v>55370.670484925278</v>
      </c>
      <c r="O27" s="105">
        <f>O23-O26</f>
        <v>55718.083894623785</v>
      </c>
    </row>
    <row r="28" spans="3:15" x14ac:dyDescent="0.25">
      <c r="C28" s="102" t="s">
        <v>68</v>
      </c>
      <c r="D28" s="79">
        <f>D27*0.87</f>
        <v>45457.5</v>
      </c>
      <c r="E28" s="80">
        <f t="shared" ref="E28:J28" si="17">E27*0.87</f>
        <v>45705.45</v>
      </c>
      <c r="F28" s="80">
        <f t="shared" si="17"/>
        <v>45958.358999999997</v>
      </c>
      <c r="G28" s="80">
        <f t="shared" si="17"/>
        <v>46216.326179999996</v>
      </c>
      <c r="H28" s="81">
        <f t="shared" si="17"/>
        <v>46479.4527036</v>
      </c>
      <c r="I28" s="81">
        <f t="shared" si="17"/>
        <v>46747.841757672002</v>
      </c>
      <c r="J28" s="81">
        <f t="shared" si="17"/>
        <v>47021.598592825438</v>
      </c>
      <c r="K28" s="82">
        <f>K27*0.87</f>
        <v>47300.83056468195</v>
      </c>
      <c r="L28" s="82">
        <f>L27*0.87</f>
        <v>47585.647175975588</v>
      </c>
      <c r="M28" s="82">
        <f>M27*0.87</f>
        <v>47876.160119495093</v>
      </c>
      <c r="N28" s="82">
        <f>N27*0.87</f>
        <v>48172.483321884989</v>
      </c>
      <c r="O28" s="105">
        <f>O27*0.87</f>
        <v>48474.732988322692</v>
      </c>
    </row>
    <row r="29" spans="3:15" x14ac:dyDescent="0.25">
      <c r="C29" s="102" t="s">
        <v>59</v>
      </c>
      <c r="D29" s="70">
        <v>10000</v>
      </c>
      <c r="E29" s="87">
        <f t="shared" ref="E29:O29" si="18">D29*1.02</f>
        <v>10200</v>
      </c>
      <c r="F29" s="87">
        <f t="shared" si="18"/>
        <v>10404</v>
      </c>
      <c r="G29" s="87">
        <f t="shared" si="18"/>
        <v>10612.08</v>
      </c>
      <c r="H29" s="88">
        <f t="shared" si="18"/>
        <v>10824.321599999999</v>
      </c>
      <c r="I29" s="88">
        <f t="shared" si="18"/>
        <v>11040.808031999999</v>
      </c>
      <c r="J29" s="88">
        <f t="shared" si="18"/>
        <v>11261.62419264</v>
      </c>
      <c r="K29" s="89">
        <f t="shared" si="18"/>
        <v>11486.8566764928</v>
      </c>
      <c r="L29" s="89">
        <f t="shared" si="18"/>
        <v>11716.593810022656</v>
      </c>
      <c r="M29" s="89">
        <f t="shared" si="18"/>
        <v>11950.925686223109</v>
      </c>
      <c r="N29" s="89">
        <f t="shared" si="18"/>
        <v>12189.944199947571</v>
      </c>
      <c r="O29" s="107">
        <f t="shared" si="18"/>
        <v>12433.743083946523</v>
      </c>
    </row>
    <row r="30" spans="3:15" x14ac:dyDescent="0.25">
      <c r="C30" s="102" t="s">
        <v>60</v>
      </c>
      <c r="D30" s="70">
        <v>5000</v>
      </c>
      <c r="E30" s="87">
        <f t="shared" ref="E30:O30" si="19">D30*1.02</f>
        <v>5100</v>
      </c>
      <c r="F30" s="87">
        <f t="shared" si="19"/>
        <v>5202</v>
      </c>
      <c r="G30" s="87">
        <f t="shared" si="19"/>
        <v>5306.04</v>
      </c>
      <c r="H30" s="88">
        <f t="shared" si="19"/>
        <v>5412.1607999999997</v>
      </c>
      <c r="I30" s="88">
        <f t="shared" si="19"/>
        <v>5520.4040159999995</v>
      </c>
      <c r="J30" s="88">
        <f t="shared" si="19"/>
        <v>5630.8120963199999</v>
      </c>
      <c r="K30" s="89">
        <f t="shared" si="19"/>
        <v>5743.4283382464</v>
      </c>
      <c r="L30" s="89">
        <f t="shared" si="19"/>
        <v>5858.2969050113279</v>
      </c>
      <c r="M30" s="89">
        <f t="shared" si="19"/>
        <v>5975.4628431115543</v>
      </c>
      <c r="N30" s="89">
        <f t="shared" si="19"/>
        <v>6094.9720999737856</v>
      </c>
      <c r="O30" s="107">
        <f t="shared" si="19"/>
        <v>6216.8715419732616</v>
      </c>
    </row>
    <row r="31" spans="3:15" x14ac:dyDescent="0.25">
      <c r="C31" s="102" t="s">
        <v>61</v>
      </c>
      <c r="D31" s="118">
        <v>0</v>
      </c>
      <c r="E31" s="119">
        <v>0</v>
      </c>
      <c r="F31" s="119">
        <v>0</v>
      </c>
      <c r="G31" s="119">
        <v>0</v>
      </c>
      <c r="H31" s="120">
        <v>0</v>
      </c>
      <c r="I31" s="120">
        <v>0</v>
      </c>
      <c r="J31" s="120">
        <v>0</v>
      </c>
      <c r="K31" s="121">
        <v>0</v>
      </c>
      <c r="L31" s="121">
        <v>0</v>
      </c>
      <c r="M31" s="121">
        <v>0</v>
      </c>
      <c r="N31" s="121">
        <v>0</v>
      </c>
      <c r="O31" s="122">
        <v>0</v>
      </c>
    </row>
    <row r="32" spans="3:15" x14ac:dyDescent="0.25">
      <c r="C32" s="102" t="s">
        <v>67</v>
      </c>
      <c r="D32" s="70">
        <v>16000</v>
      </c>
      <c r="E32" s="90">
        <v>16000</v>
      </c>
      <c r="F32" s="90">
        <v>16000</v>
      </c>
      <c r="G32" s="90">
        <v>16000</v>
      </c>
      <c r="H32" s="94">
        <v>16000</v>
      </c>
      <c r="I32" s="94">
        <v>16000</v>
      </c>
      <c r="J32" s="94">
        <v>16000</v>
      </c>
      <c r="K32" s="95">
        <v>16001</v>
      </c>
      <c r="L32" s="95">
        <v>16002</v>
      </c>
      <c r="M32" s="95">
        <v>16003</v>
      </c>
      <c r="N32" s="95">
        <v>16004</v>
      </c>
      <c r="O32" s="110">
        <v>16005</v>
      </c>
    </row>
    <row r="33" spans="3:15" ht="15" thickBot="1" x14ac:dyDescent="0.3">
      <c r="C33" s="102" t="s">
        <v>69</v>
      </c>
      <c r="D33" s="79">
        <f>D28-D29-D30-D31-D32</f>
        <v>14457.5</v>
      </c>
      <c r="E33" s="80">
        <f t="shared" ref="E33:J33" si="20">E28-E29-E30-E31-E32</f>
        <v>14405.449999999997</v>
      </c>
      <c r="F33" s="80">
        <f t="shared" si="20"/>
        <v>14352.358999999997</v>
      </c>
      <c r="G33" s="80">
        <f t="shared" si="20"/>
        <v>14298.206179999994</v>
      </c>
      <c r="H33" s="81">
        <f t="shared" si="20"/>
        <v>14242.970303599999</v>
      </c>
      <c r="I33" s="81">
        <f t="shared" si="20"/>
        <v>14186.629709672001</v>
      </c>
      <c r="J33" s="81">
        <f t="shared" si="20"/>
        <v>14129.162303865443</v>
      </c>
      <c r="K33" s="82">
        <f>K28-K29-K30-K31-K32</f>
        <v>14069.545549942755</v>
      </c>
      <c r="L33" s="82">
        <f>L28-L29-L30-L31-L32</f>
        <v>14008.756460941604</v>
      </c>
      <c r="M33" s="82">
        <f>M28-M29-M30-M31-M32</f>
        <v>13946.771590160424</v>
      </c>
      <c r="N33" s="82">
        <f>N28-N29-N30-N31-N32</f>
        <v>13883.56702196363</v>
      </c>
      <c r="O33" s="105">
        <f>O28-O29-O30-O31-O32</f>
        <v>13819.118362402907</v>
      </c>
    </row>
    <row r="34" spans="3:15" ht="15" thickBot="1" x14ac:dyDescent="0.3">
      <c r="C34" s="111" t="s">
        <v>70</v>
      </c>
      <c r="D34" s="112">
        <f>D33/D27</f>
        <v>0.27669856459330144</v>
      </c>
      <c r="E34" s="137">
        <f t="shared" ref="E34:J34" si="21">E33/E27</f>
        <v>0.27420671932997043</v>
      </c>
      <c r="F34" s="113">
        <f t="shared" si="21"/>
        <v>0.27169273667930566</v>
      </c>
      <c r="G34" s="113">
        <f t="shared" si="21"/>
        <v>0.2691568197816453</v>
      </c>
      <c r="H34" s="114">
        <f t="shared" si="21"/>
        <v>0.26659918401260008</v>
      </c>
      <c r="I34" s="114">
        <f t="shared" si="21"/>
        <v>0.26402005704122328</v>
      </c>
      <c r="J34" s="114">
        <f t="shared" si="21"/>
        <v>0.26141967887579448</v>
      </c>
      <c r="K34" s="115">
        <f>K33/K27</f>
        <v>0.2587799089851458</v>
      </c>
      <c r="L34" s="115">
        <f>L33/L27</f>
        <v>0.25611962522960746</v>
      </c>
      <c r="M34" s="115">
        <f>M33/M27</f>
        <v>0.25343910733765701</v>
      </c>
      <c r="N34" s="115">
        <f>N33/N27</f>
        <v>0.25073864738089896</v>
      </c>
      <c r="O34" s="116">
        <f>O33/O27</f>
        <v>0.24801854975017021</v>
      </c>
    </row>
    <row r="38" spans="3:15" x14ac:dyDescent="0.25">
      <c r="D38" s="30">
        <f>D8-D25</f>
        <v>4500</v>
      </c>
      <c r="E38" s="30">
        <f t="shared" ref="E38:O38" si="22">E8-E25</f>
        <v>-902</v>
      </c>
      <c r="F38" s="30">
        <f t="shared" si="22"/>
        <v>-289.07999999999447</v>
      </c>
      <c r="G38" s="30">
        <f t="shared" si="22"/>
        <v>-5193.3639999999941</v>
      </c>
      <c r="H38" s="30">
        <f t="shared" si="22"/>
        <v>-9670.4194399999978</v>
      </c>
      <c r="I38" s="30">
        <f t="shared" si="22"/>
        <v>-13763.793172800004</v>
      </c>
      <c r="J38" s="30">
        <f t="shared" si="22"/>
        <v>-17512.693845856003</v>
      </c>
      <c r="K38" s="30">
        <f t="shared" si="22"/>
        <v>-20952.426051413117</v>
      </c>
      <c r="L38" s="30">
        <f t="shared" si="22"/>
        <v>-24114.781068217373</v>
      </c>
      <c r="M38" s="30">
        <f t="shared" si="22"/>
        <v>-27028.388535780119</v>
      </c>
      <c r="N38" s="30">
        <f t="shared" si="22"/>
        <v>-29719.03296807428</v>
      </c>
      <c r="O38" s="30">
        <f t="shared" si="22"/>
        <v>-32209.938622856476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63"/>
  <sheetViews>
    <sheetView topLeftCell="A39" zoomScaleNormal="100" workbookViewId="0">
      <selection activeCell="G68" sqref="G68"/>
    </sheetView>
  </sheetViews>
  <sheetFormatPr defaultRowHeight="14.4" x14ac:dyDescent="0.25"/>
  <cols>
    <col min="1" max="1" width="22.33203125" customWidth="1"/>
    <col min="3" max="4" width="5.6640625" customWidth="1"/>
    <col min="5" max="5" width="13.33203125" customWidth="1"/>
    <col min="6" max="6" width="0.44140625" customWidth="1"/>
    <col min="7" max="7" width="12.88671875" customWidth="1"/>
    <col min="8" max="8" width="4.6640625" customWidth="1"/>
    <col min="9" max="10" width="9.109375" customWidth="1"/>
    <col min="11" max="11" width="12.109375" customWidth="1"/>
    <col min="12" max="12" width="8.77734375" customWidth="1"/>
    <col min="13" max="13" width="13" customWidth="1"/>
    <col min="14" max="14" width="11.33203125" customWidth="1"/>
    <col min="15" max="15" width="12.33203125" customWidth="1"/>
    <col min="16" max="16" width="1.6640625" customWidth="1"/>
    <col min="17" max="17" width="8.77734375" customWidth="1"/>
    <col min="18" max="18" width="3.5546875" customWidth="1"/>
    <col min="19" max="19" width="8.77734375" customWidth="1"/>
    <col min="20" max="20" width="5.33203125" customWidth="1"/>
    <col min="21" max="21" width="8.77734375" customWidth="1"/>
    <col min="22" max="22" width="6.5546875" customWidth="1"/>
  </cols>
  <sheetData>
    <row r="5" spans="16:16" x14ac:dyDescent="0.25">
      <c r="P5">
        <v>2030</v>
      </c>
    </row>
    <row r="6" spans="16:16" x14ac:dyDescent="0.25">
      <c r="P6">
        <f t="shared" ref="G6:P6" si="0">O6-((O16-P16)+(O17-P17)+(O18-P18))</f>
        <v>-200</v>
      </c>
    </row>
    <row r="7" spans="16:16" x14ac:dyDescent="0.25">
      <c r="P7">
        <f t="shared" ref="H7:P7" si="1">P6*0.1</f>
        <v>-20</v>
      </c>
    </row>
    <row r="8" spans="16:16" x14ac:dyDescent="0.25">
      <c r="P8">
        <f t="shared" ref="F8:P8" si="2">P6+P7</f>
        <v>-220</v>
      </c>
    </row>
    <row r="9" spans="16:16" x14ac:dyDescent="0.25">
      <c r="P9">
        <f t="shared" ref="F9:P9" si="3">P6*0.05</f>
        <v>-10</v>
      </c>
    </row>
    <row r="10" spans="16:16" x14ac:dyDescent="0.25">
      <c r="P10">
        <v>301</v>
      </c>
    </row>
    <row r="11" spans="16:16" x14ac:dyDescent="0.25">
      <c r="P11">
        <v>30.6</v>
      </c>
    </row>
    <row r="12" spans="16:16" x14ac:dyDescent="0.25">
      <c r="P12">
        <f>O12*0.9</f>
        <v>0</v>
      </c>
    </row>
    <row r="13" spans="16:16" x14ac:dyDescent="0.25">
      <c r="P13">
        <v>0</v>
      </c>
    </row>
    <row r="14" spans="16:16" x14ac:dyDescent="0.25">
      <c r="P14">
        <f t="shared" ref="E14:P14" si="4">P6-P9+P13</f>
        <v>-190</v>
      </c>
    </row>
    <row r="15" spans="16:16" x14ac:dyDescent="0.25">
      <c r="P15">
        <f t="shared" ref="F15:P15" si="5">P14*0.87</f>
        <v>-165.3</v>
      </c>
    </row>
    <row r="16" spans="16:16" x14ac:dyDescent="0.25">
      <c r="P16">
        <f t="shared" ref="E16:P16" si="6">P12*1000*P11</f>
        <v>0</v>
      </c>
    </row>
    <row r="17" spans="16:16" x14ac:dyDescent="0.25">
      <c r="P17">
        <f t="shared" ref="G17:P17" si="7">O17-200</f>
        <v>-200</v>
      </c>
    </row>
    <row r="18" spans="16:16" x14ac:dyDescent="0.25">
      <c r="P18">
        <f t="shared" ref="G18:P18" si="8">O18*0.9</f>
        <v>0</v>
      </c>
    </row>
    <row r="19" spans="16:16" x14ac:dyDescent="0.25">
      <c r="P19">
        <f t="shared" ref="F19:P19" si="9">P15-P16-P17-P18</f>
        <v>34.699999999999989</v>
      </c>
    </row>
    <row r="20" spans="16:16" x14ac:dyDescent="0.25">
      <c r="P20">
        <f t="shared" ref="F20:P20" si="10">P19/P14</f>
        <v>-0.18263157894736837</v>
      </c>
    </row>
    <row r="22" spans="16:16" x14ac:dyDescent="0.25">
      <c r="P22">
        <v>2030</v>
      </c>
    </row>
    <row r="23" spans="16:16" x14ac:dyDescent="0.25">
      <c r="P23">
        <f t="shared" ref="G23:P23" si="11">O23+(P29-O29)+(P30-O30)</f>
        <v>0</v>
      </c>
    </row>
    <row r="24" spans="16:16" x14ac:dyDescent="0.25">
      <c r="P24">
        <f t="shared" ref="F24:P24" si="12">P23*0.1</f>
        <v>0</v>
      </c>
    </row>
    <row r="25" spans="16:16" x14ac:dyDescent="0.25">
      <c r="P25">
        <f t="shared" ref="F25:P25" si="13">P23+P24</f>
        <v>0</v>
      </c>
    </row>
    <row r="26" spans="16:16" x14ac:dyDescent="0.25">
      <c r="P26">
        <f t="shared" ref="F26:P26" si="14">P23*0.05</f>
        <v>0</v>
      </c>
    </row>
    <row r="27" spans="16:16" x14ac:dyDescent="0.25">
      <c r="P27">
        <f t="shared" ref="F27:P27" si="15">P23-P26</f>
        <v>0</v>
      </c>
    </row>
    <row r="28" spans="16:16" x14ac:dyDescent="0.25">
      <c r="P28">
        <f t="shared" ref="F28:P28" si="16">P27*0.87</f>
        <v>0</v>
      </c>
    </row>
    <row r="29" spans="16:16" x14ac:dyDescent="0.25">
      <c r="P29">
        <f t="shared" ref="G29:P30" si="17">O29*1.02</f>
        <v>0</v>
      </c>
    </row>
    <row r="30" spans="16:16" x14ac:dyDescent="0.25">
      <c r="P30">
        <f t="shared" si="17"/>
        <v>0</v>
      </c>
    </row>
    <row r="31" spans="16:16" x14ac:dyDescent="0.25">
      <c r="P31">
        <v>0</v>
      </c>
    </row>
    <row r="32" spans="16:16" x14ac:dyDescent="0.25">
      <c r="P32">
        <v>16005</v>
      </c>
    </row>
    <row r="33" spans="1:22" x14ac:dyDescent="0.25">
      <c r="P33">
        <f t="shared" ref="F33:P33" si="18">P28-P29-P30-P31-P32</f>
        <v>-16005</v>
      </c>
    </row>
    <row r="34" spans="1:22" x14ac:dyDescent="0.25">
      <c r="P34" t="e">
        <f t="shared" ref="F34:P34" si="19">P33/P27</f>
        <v>#DIV/0!</v>
      </c>
    </row>
    <row r="38" spans="1:22" x14ac:dyDescent="0.25"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>
        <f t="shared" ref="F38:P38" si="20">P8-P25</f>
        <v>-220</v>
      </c>
    </row>
    <row r="42" spans="1:22" ht="27" customHeight="1" x14ac:dyDescent="0.25">
      <c r="A42" s="317" t="s">
        <v>277</v>
      </c>
      <c r="B42" s="318"/>
      <c r="C42" s="310" t="s">
        <v>158</v>
      </c>
      <c r="D42" s="311"/>
      <c r="E42" s="310" t="s">
        <v>159</v>
      </c>
      <c r="F42" s="311"/>
      <c r="G42" s="310" t="s">
        <v>160</v>
      </c>
      <c r="H42" s="311"/>
      <c r="I42" s="310" t="s">
        <v>161</v>
      </c>
      <c r="J42" s="311"/>
      <c r="K42" s="310" t="s">
        <v>163</v>
      </c>
      <c r="L42" s="311"/>
      <c r="M42" s="310" t="s">
        <v>162</v>
      </c>
      <c r="N42" s="311"/>
      <c r="O42" s="310" t="s">
        <v>164</v>
      </c>
      <c r="P42" s="311"/>
      <c r="Q42" s="310" t="s">
        <v>165</v>
      </c>
      <c r="R42" s="311"/>
      <c r="S42" s="310" t="s">
        <v>166</v>
      </c>
      <c r="T42" s="311"/>
      <c r="U42" s="310" t="s">
        <v>167</v>
      </c>
      <c r="V42" s="312"/>
    </row>
    <row r="43" spans="1:22" s="35" customFormat="1" x14ac:dyDescent="0.25">
      <c r="A43" s="319"/>
      <c r="B43" s="320"/>
      <c r="C43" s="316">
        <v>71900</v>
      </c>
      <c r="D43" s="316"/>
      <c r="E43" s="316">
        <v>70500</v>
      </c>
      <c r="F43" s="316"/>
      <c r="G43" s="316">
        <v>54800</v>
      </c>
      <c r="H43" s="316"/>
      <c r="I43" s="316">
        <v>59800</v>
      </c>
      <c r="J43" s="316"/>
      <c r="K43" s="316">
        <v>75800</v>
      </c>
      <c r="L43" s="316"/>
      <c r="M43" s="316">
        <v>66900</v>
      </c>
      <c r="N43" s="316"/>
      <c r="O43" s="316">
        <v>54800</v>
      </c>
      <c r="P43" s="316"/>
      <c r="Q43" s="316">
        <v>53300</v>
      </c>
      <c r="R43" s="316"/>
      <c r="S43" s="316">
        <v>47800</v>
      </c>
      <c r="T43" s="316"/>
      <c r="U43" s="316">
        <v>118800</v>
      </c>
      <c r="V43" s="321"/>
    </row>
    <row r="44" spans="1:22" x14ac:dyDescent="0.25">
      <c r="A44" s="313" t="s">
        <v>152</v>
      </c>
      <c r="B44" s="322">
        <v>47400</v>
      </c>
      <c r="C44" s="327">
        <v>2025</v>
      </c>
      <c r="D44" s="327"/>
      <c r="E44" s="327">
        <v>2025</v>
      </c>
      <c r="F44" s="327"/>
      <c r="G44" s="323">
        <v>2020</v>
      </c>
      <c r="H44" s="323"/>
      <c r="I44" s="323">
        <v>2022</v>
      </c>
      <c r="J44" s="323"/>
      <c r="K44" s="324">
        <v>2026</v>
      </c>
      <c r="L44" s="324"/>
      <c r="M44" s="327">
        <v>2024</v>
      </c>
      <c r="N44" s="327"/>
      <c r="O44" s="323">
        <v>2020</v>
      </c>
      <c r="P44" s="323"/>
      <c r="Q44" s="323">
        <v>2020</v>
      </c>
      <c r="R44" s="323"/>
      <c r="S44" s="323">
        <v>2019</v>
      </c>
      <c r="T44" s="323"/>
      <c r="U44" s="330" t="s">
        <v>170</v>
      </c>
      <c r="V44" s="334"/>
    </row>
    <row r="45" spans="1:22" x14ac:dyDescent="0.25">
      <c r="A45" s="308"/>
      <c r="B45" s="322"/>
      <c r="C45" s="327"/>
      <c r="D45" s="327"/>
      <c r="E45" s="327"/>
      <c r="F45" s="327"/>
      <c r="G45" s="323"/>
      <c r="H45" s="323"/>
      <c r="I45" s="323"/>
      <c r="J45" s="323"/>
      <c r="K45" s="324"/>
      <c r="L45" s="324"/>
      <c r="M45" s="327"/>
      <c r="N45" s="327"/>
      <c r="O45" s="323"/>
      <c r="P45" s="323"/>
      <c r="Q45" s="323"/>
      <c r="R45" s="323"/>
      <c r="S45" s="323"/>
      <c r="T45" s="323"/>
      <c r="U45" s="330"/>
      <c r="V45" s="334"/>
    </row>
    <row r="46" spans="1:22" x14ac:dyDescent="0.25">
      <c r="A46" s="314" t="s">
        <v>148</v>
      </c>
      <c r="B46" s="322">
        <v>53400</v>
      </c>
      <c r="C46" s="327">
        <v>2023</v>
      </c>
      <c r="D46" s="327"/>
      <c r="E46" s="327">
        <v>2023</v>
      </c>
      <c r="F46" s="327"/>
      <c r="G46" s="323">
        <v>2019</v>
      </c>
      <c r="H46" s="323"/>
      <c r="I46" s="323">
        <v>2020</v>
      </c>
      <c r="J46" s="323"/>
      <c r="K46" s="327">
        <v>2024</v>
      </c>
      <c r="L46" s="327"/>
      <c r="M46" s="323">
        <v>2022</v>
      </c>
      <c r="N46" s="323"/>
      <c r="O46" s="323">
        <v>2019</v>
      </c>
      <c r="P46" s="323"/>
      <c r="Q46" s="323">
        <v>2019</v>
      </c>
      <c r="R46" s="323"/>
      <c r="S46" s="323">
        <v>2019</v>
      </c>
      <c r="T46" s="323"/>
      <c r="U46" s="330" t="s">
        <v>171</v>
      </c>
      <c r="V46" s="334"/>
    </row>
    <row r="47" spans="1:22" x14ac:dyDescent="0.25">
      <c r="A47" s="315"/>
      <c r="B47" s="322"/>
      <c r="C47" s="327"/>
      <c r="D47" s="327"/>
      <c r="E47" s="327"/>
      <c r="F47" s="327"/>
      <c r="G47" s="323"/>
      <c r="H47" s="323"/>
      <c r="I47" s="323"/>
      <c r="J47" s="323"/>
      <c r="K47" s="327"/>
      <c r="L47" s="327"/>
      <c r="M47" s="323"/>
      <c r="N47" s="323"/>
      <c r="O47" s="323"/>
      <c r="P47" s="323"/>
      <c r="Q47" s="323"/>
      <c r="R47" s="323"/>
      <c r="S47" s="323"/>
      <c r="T47" s="323"/>
      <c r="U47" s="330"/>
      <c r="V47" s="334"/>
    </row>
    <row r="48" spans="1:22" x14ac:dyDescent="0.25">
      <c r="A48" s="313" t="s">
        <v>149</v>
      </c>
      <c r="B48" s="322">
        <v>48950</v>
      </c>
      <c r="C48" s="327">
        <v>2025</v>
      </c>
      <c r="D48" s="327"/>
      <c r="E48" s="327">
        <v>2024</v>
      </c>
      <c r="F48" s="327"/>
      <c r="G48" s="323">
        <v>2020</v>
      </c>
      <c r="H48" s="323"/>
      <c r="I48" s="323">
        <v>2022</v>
      </c>
      <c r="J48" s="323"/>
      <c r="K48" s="328">
        <v>2026</v>
      </c>
      <c r="L48" s="328"/>
      <c r="M48" s="327">
        <v>2023</v>
      </c>
      <c r="N48" s="327"/>
      <c r="O48" s="323">
        <v>2020</v>
      </c>
      <c r="P48" s="323"/>
      <c r="Q48" s="323">
        <v>2019</v>
      </c>
      <c r="R48" s="323"/>
      <c r="S48" s="323">
        <v>2019</v>
      </c>
      <c r="T48" s="323"/>
      <c r="U48" s="330" t="s">
        <v>172</v>
      </c>
      <c r="V48" s="334"/>
    </row>
    <row r="49" spans="1:22" x14ac:dyDescent="0.25">
      <c r="A49" s="308"/>
      <c r="B49" s="322"/>
      <c r="C49" s="327"/>
      <c r="D49" s="327"/>
      <c r="E49" s="327"/>
      <c r="F49" s="327"/>
      <c r="G49" s="323"/>
      <c r="H49" s="323"/>
      <c r="I49" s="323"/>
      <c r="J49" s="323"/>
      <c r="K49" s="328"/>
      <c r="L49" s="328"/>
      <c r="M49" s="327"/>
      <c r="N49" s="327"/>
      <c r="O49" s="323"/>
      <c r="P49" s="323"/>
      <c r="Q49" s="323"/>
      <c r="R49" s="323"/>
      <c r="S49" s="323"/>
      <c r="T49" s="323"/>
      <c r="U49" s="330"/>
      <c r="V49" s="334"/>
    </row>
    <row r="50" spans="1:22" ht="14.4" customHeight="1" x14ac:dyDescent="0.25">
      <c r="A50" s="314" t="s">
        <v>150</v>
      </c>
      <c r="B50" s="322">
        <v>42900</v>
      </c>
      <c r="C50" s="324">
        <v>2026</v>
      </c>
      <c r="D50" s="324"/>
      <c r="E50" s="324">
        <v>2026</v>
      </c>
      <c r="F50" s="324"/>
      <c r="G50" s="323">
        <v>2022</v>
      </c>
      <c r="H50" s="323"/>
      <c r="I50" s="327">
        <v>2023</v>
      </c>
      <c r="J50" s="327"/>
      <c r="K50" s="328">
        <v>2028</v>
      </c>
      <c r="L50" s="328"/>
      <c r="M50" s="327">
        <v>2025</v>
      </c>
      <c r="N50" s="327"/>
      <c r="O50" s="323">
        <v>2022</v>
      </c>
      <c r="P50" s="323"/>
      <c r="Q50" s="323">
        <v>2022</v>
      </c>
      <c r="R50" s="323"/>
      <c r="S50" s="323">
        <v>2020</v>
      </c>
      <c r="T50" s="323"/>
      <c r="U50" s="330" t="s">
        <v>169</v>
      </c>
      <c r="V50" s="334"/>
    </row>
    <row r="51" spans="1:22" x14ac:dyDescent="0.25">
      <c r="A51" s="315"/>
      <c r="B51" s="322"/>
      <c r="C51" s="324"/>
      <c r="D51" s="324"/>
      <c r="E51" s="324"/>
      <c r="F51" s="324"/>
      <c r="G51" s="323"/>
      <c r="H51" s="323"/>
      <c r="I51" s="327"/>
      <c r="J51" s="327"/>
      <c r="K51" s="328"/>
      <c r="L51" s="328"/>
      <c r="M51" s="327"/>
      <c r="N51" s="327"/>
      <c r="O51" s="323"/>
      <c r="P51" s="323"/>
      <c r="Q51" s="323"/>
      <c r="R51" s="323"/>
      <c r="S51" s="323"/>
      <c r="T51" s="323"/>
      <c r="U51" s="330"/>
      <c r="V51" s="334"/>
    </row>
    <row r="52" spans="1:22" x14ac:dyDescent="0.25">
      <c r="A52" s="314" t="s">
        <v>151</v>
      </c>
      <c r="B52" s="322">
        <v>49175</v>
      </c>
      <c r="C52" s="327">
        <v>2025</v>
      </c>
      <c r="D52" s="327"/>
      <c r="E52" s="327">
        <v>2024</v>
      </c>
      <c r="F52" s="327"/>
      <c r="G52" s="323">
        <v>2020</v>
      </c>
      <c r="H52" s="323"/>
      <c r="I52" s="323">
        <v>2022</v>
      </c>
      <c r="J52" s="323"/>
      <c r="K52" s="328">
        <v>2026</v>
      </c>
      <c r="L52" s="328"/>
      <c r="M52" s="327">
        <v>2023</v>
      </c>
      <c r="N52" s="327"/>
      <c r="O52" s="323">
        <v>2020</v>
      </c>
      <c r="P52" s="323"/>
      <c r="Q52" s="323">
        <v>2019</v>
      </c>
      <c r="R52" s="323"/>
      <c r="S52" s="323">
        <v>2019</v>
      </c>
      <c r="T52" s="323"/>
      <c r="U52" s="330" t="s">
        <v>173</v>
      </c>
      <c r="V52" s="334"/>
    </row>
    <row r="53" spans="1:22" x14ac:dyDescent="0.25">
      <c r="A53" s="315"/>
      <c r="B53" s="322"/>
      <c r="C53" s="327"/>
      <c r="D53" s="327"/>
      <c r="E53" s="327"/>
      <c r="F53" s="327"/>
      <c r="G53" s="323"/>
      <c r="H53" s="323"/>
      <c r="I53" s="323"/>
      <c r="J53" s="323"/>
      <c r="K53" s="328"/>
      <c r="L53" s="328"/>
      <c r="M53" s="327"/>
      <c r="N53" s="327"/>
      <c r="O53" s="323"/>
      <c r="P53" s="323"/>
      <c r="Q53" s="323"/>
      <c r="R53" s="323"/>
      <c r="S53" s="323"/>
      <c r="T53" s="323"/>
      <c r="U53" s="330"/>
      <c r="V53" s="334"/>
    </row>
    <row r="54" spans="1:22" x14ac:dyDescent="0.25">
      <c r="A54" s="314" t="s">
        <v>153</v>
      </c>
      <c r="B54" s="322">
        <v>35800</v>
      </c>
      <c r="C54" s="328">
        <v>2029</v>
      </c>
      <c r="D54" s="328"/>
      <c r="E54" s="328">
        <v>2029</v>
      </c>
      <c r="F54" s="328"/>
      <c r="G54" s="327">
        <v>2024</v>
      </c>
      <c r="H54" s="327"/>
      <c r="I54" s="327">
        <v>2025</v>
      </c>
      <c r="J54" s="327"/>
      <c r="K54" s="330" t="s">
        <v>169</v>
      </c>
      <c r="L54" s="331"/>
      <c r="M54" s="328">
        <v>2027</v>
      </c>
      <c r="N54" s="328"/>
      <c r="O54" s="327">
        <v>2024</v>
      </c>
      <c r="P54" s="327"/>
      <c r="Q54" s="327">
        <v>2023</v>
      </c>
      <c r="R54" s="327"/>
      <c r="S54" s="323">
        <v>2022</v>
      </c>
      <c r="T54" s="323"/>
      <c r="U54" s="330" t="s">
        <v>172</v>
      </c>
      <c r="V54" s="334"/>
    </row>
    <row r="55" spans="1:22" x14ac:dyDescent="0.25">
      <c r="A55" s="315"/>
      <c r="B55" s="322"/>
      <c r="C55" s="328"/>
      <c r="D55" s="328"/>
      <c r="E55" s="328"/>
      <c r="F55" s="328"/>
      <c r="G55" s="327"/>
      <c r="H55" s="327"/>
      <c r="I55" s="327"/>
      <c r="J55" s="327"/>
      <c r="K55" s="331"/>
      <c r="L55" s="331"/>
      <c r="M55" s="328"/>
      <c r="N55" s="328"/>
      <c r="O55" s="327"/>
      <c r="P55" s="327"/>
      <c r="Q55" s="327"/>
      <c r="R55" s="327"/>
      <c r="S55" s="323"/>
      <c r="T55" s="323"/>
      <c r="U55" s="330"/>
      <c r="V55" s="334"/>
    </row>
    <row r="56" spans="1:22" x14ac:dyDescent="0.25">
      <c r="A56" s="314" t="s">
        <v>154</v>
      </c>
      <c r="B56" s="322">
        <v>44800</v>
      </c>
      <c r="C56" s="328">
        <v>2026</v>
      </c>
      <c r="D56" s="328"/>
      <c r="E56" s="327">
        <v>2025</v>
      </c>
      <c r="F56" s="327"/>
      <c r="G56" s="323">
        <v>2021</v>
      </c>
      <c r="H56" s="323"/>
      <c r="I56" s="327">
        <v>2023</v>
      </c>
      <c r="J56" s="327"/>
      <c r="K56" s="328">
        <v>2027</v>
      </c>
      <c r="L56" s="328"/>
      <c r="M56" s="327">
        <v>2024</v>
      </c>
      <c r="N56" s="327"/>
      <c r="O56" s="323">
        <v>2021</v>
      </c>
      <c r="P56" s="323"/>
      <c r="Q56" s="323">
        <v>2020</v>
      </c>
      <c r="R56" s="323"/>
      <c r="S56" s="323">
        <v>2019</v>
      </c>
      <c r="T56" s="323"/>
      <c r="U56" s="330" t="s">
        <v>174</v>
      </c>
      <c r="V56" s="334"/>
    </row>
    <row r="57" spans="1:22" x14ac:dyDescent="0.25">
      <c r="A57" s="315"/>
      <c r="B57" s="322"/>
      <c r="C57" s="328"/>
      <c r="D57" s="328"/>
      <c r="E57" s="327"/>
      <c r="F57" s="327"/>
      <c r="G57" s="323"/>
      <c r="H57" s="323"/>
      <c r="I57" s="327"/>
      <c r="J57" s="327"/>
      <c r="K57" s="328"/>
      <c r="L57" s="328"/>
      <c r="M57" s="327"/>
      <c r="N57" s="327"/>
      <c r="O57" s="323"/>
      <c r="P57" s="323"/>
      <c r="Q57" s="323"/>
      <c r="R57" s="323"/>
      <c r="S57" s="323"/>
      <c r="T57" s="323"/>
      <c r="U57" s="330"/>
      <c r="V57" s="334"/>
    </row>
    <row r="58" spans="1:22" x14ac:dyDescent="0.25">
      <c r="A58" s="314" t="s">
        <v>157</v>
      </c>
      <c r="B58" s="322">
        <v>48250</v>
      </c>
      <c r="C58" s="327">
        <v>2025</v>
      </c>
      <c r="D58" s="327"/>
      <c r="E58" s="327">
        <v>2024</v>
      </c>
      <c r="F58" s="327"/>
      <c r="G58" s="323">
        <v>2020</v>
      </c>
      <c r="H58" s="323"/>
      <c r="I58" s="323">
        <v>2022</v>
      </c>
      <c r="J58" s="323"/>
      <c r="K58" s="328">
        <v>2026</v>
      </c>
      <c r="L58" s="328"/>
      <c r="M58" s="327">
        <v>2023</v>
      </c>
      <c r="N58" s="327"/>
      <c r="O58" s="323">
        <v>2020</v>
      </c>
      <c r="P58" s="323"/>
      <c r="Q58" s="323">
        <v>2020</v>
      </c>
      <c r="R58" s="323"/>
      <c r="S58" s="323">
        <v>2019</v>
      </c>
      <c r="T58" s="323"/>
      <c r="U58" s="330" t="s">
        <v>174</v>
      </c>
      <c r="V58" s="334"/>
    </row>
    <row r="59" spans="1:22" x14ac:dyDescent="0.25">
      <c r="A59" s="315"/>
      <c r="B59" s="322"/>
      <c r="C59" s="327"/>
      <c r="D59" s="327"/>
      <c r="E59" s="327"/>
      <c r="F59" s="327"/>
      <c r="G59" s="323"/>
      <c r="H59" s="323"/>
      <c r="I59" s="323"/>
      <c r="J59" s="323"/>
      <c r="K59" s="328"/>
      <c r="L59" s="328"/>
      <c r="M59" s="327"/>
      <c r="N59" s="327"/>
      <c r="O59" s="323"/>
      <c r="P59" s="323"/>
      <c r="Q59" s="323"/>
      <c r="R59" s="323"/>
      <c r="S59" s="323"/>
      <c r="T59" s="323"/>
      <c r="U59" s="330"/>
      <c r="V59" s="334"/>
    </row>
    <row r="60" spans="1:22" ht="13.8" customHeight="1" x14ac:dyDescent="0.25">
      <c r="A60" s="313" t="s">
        <v>156</v>
      </c>
      <c r="B60" s="322">
        <v>73650</v>
      </c>
      <c r="C60" s="323">
        <v>2019</v>
      </c>
      <c r="D60" s="323"/>
      <c r="E60" s="323">
        <v>2019</v>
      </c>
      <c r="F60" s="323"/>
      <c r="G60" s="323">
        <v>2019</v>
      </c>
      <c r="H60" s="323"/>
      <c r="I60" s="323">
        <v>2019</v>
      </c>
      <c r="J60" s="323"/>
      <c r="K60" s="323">
        <v>2019</v>
      </c>
      <c r="L60" s="323"/>
      <c r="M60" s="323">
        <v>2019</v>
      </c>
      <c r="N60" s="323"/>
      <c r="O60" s="323">
        <v>2019</v>
      </c>
      <c r="P60" s="323"/>
      <c r="Q60" s="323">
        <v>2019</v>
      </c>
      <c r="R60" s="323"/>
      <c r="S60" s="323">
        <v>2019</v>
      </c>
      <c r="T60" s="323"/>
      <c r="U60" s="330" t="s">
        <v>171</v>
      </c>
      <c r="V60" s="334"/>
    </row>
    <row r="61" spans="1:22" x14ac:dyDescent="0.25">
      <c r="A61" s="313"/>
      <c r="B61" s="322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30"/>
      <c r="V61" s="334"/>
    </row>
    <row r="62" spans="1:22" x14ac:dyDescent="0.25">
      <c r="A62" s="313" t="s">
        <v>155</v>
      </c>
      <c r="B62" s="322">
        <v>166300</v>
      </c>
      <c r="C62" s="323">
        <v>2019</v>
      </c>
      <c r="D62" s="323"/>
      <c r="E62" s="323">
        <v>2019</v>
      </c>
      <c r="F62" s="323"/>
      <c r="G62" s="323">
        <v>2019</v>
      </c>
      <c r="H62" s="323"/>
      <c r="I62" s="323">
        <v>2019</v>
      </c>
      <c r="J62" s="323"/>
      <c r="K62" s="323">
        <v>2019</v>
      </c>
      <c r="L62" s="323"/>
      <c r="M62" s="323">
        <v>2019</v>
      </c>
      <c r="N62" s="323"/>
      <c r="O62" s="323">
        <v>2019</v>
      </c>
      <c r="P62" s="323"/>
      <c r="Q62" s="323">
        <v>2019</v>
      </c>
      <c r="R62" s="323"/>
      <c r="S62" s="323">
        <v>2019</v>
      </c>
      <c r="T62" s="323"/>
      <c r="U62" s="323">
        <v>2019</v>
      </c>
      <c r="V62" s="332"/>
    </row>
    <row r="63" spans="1:22" ht="27" customHeight="1" x14ac:dyDescent="0.25">
      <c r="A63" s="325"/>
      <c r="B63" s="326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33"/>
    </row>
  </sheetData>
  <mergeCells count="141">
    <mergeCell ref="U62:V63"/>
    <mergeCell ref="S60:T61"/>
    <mergeCell ref="S62:T63"/>
    <mergeCell ref="U44:V45"/>
    <mergeCell ref="U46:V47"/>
    <mergeCell ref="U48:V49"/>
    <mergeCell ref="U50:V51"/>
    <mergeCell ref="U52:V53"/>
    <mergeCell ref="U54:V55"/>
    <mergeCell ref="U56:V57"/>
    <mergeCell ref="U58:V59"/>
    <mergeCell ref="S44:T45"/>
    <mergeCell ref="S46:T47"/>
    <mergeCell ref="S48:T49"/>
    <mergeCell ref="S50:T51"/>
    <mergeCell ref="S52:T53"/>
    <mergeCell ref="S54:T55"/>
    <mergeCell ref="S56:T57"/>
    <mergeCell ref="S58:T59"/>
    <mergeCell ref="U60:V61"/>
    <mergeCell ref="M62:N63"/>
    <mergeCell ref="Q44:R45"/>
    <mergeCell ref="Q46:R47"/>
    <mergeCell ref="Q48:R49"/>
    <mergeCell ref="Q50:R51"/>
    <mergeCell ref="Q52:R53"/>
    <mergeCell ref="Q54:R55"/>
    <mergeCell ref="Q56:R57"/>
    <mergeCell ref="Q58:R59"/>
    <mergeCell ref="O60:P61"/>
    <mergeCell ref="O62:P63"/>
    <mergeCell ref="M44:N45"/>
    <mergeCell ref="M46:N47"/>
    <mergeCell ref="M48:N49"/>
    <mergeCell ref="M50:N51"/>
    <mergeCell ref="M52:N53"/>
    <mergeCell ref="M54:N55"/>
    <mergeCell ref="M56:N57"/>
    <mergeCell ref="M58:N59"/>
    <mergeCell ref="Q60:R61"/>
    <mergeCell ref="Q62:R63"/>
    <mergeCell ref="O44:P45"/>
    <mergeCell ref="O46:P47"/>
    <mergeCell ref="O48:P49"/>
    <mergeCell ref="O50:P51"/>
    <mergeCell ref="O52:P53"/>
    <mergeCell ref="O54:P55"/>
    <mergeCell ref="O56:P57"/>
    <mergeCell ref="O58:P59"/>
    <mergeCell ref="M60:N61"/>
    <mergeCell ref="K46:L47"/>
    <mergeCell ref="K48:L49"/>
    <mergeCell ref="K50:L51"/>
    <mergeCell ref="K52:L53"/>
    <mergeCell ref="K54:L55"/>
    <mergeCell ref="K56:L57"/>
    <mergeCell ref="K58:L59"/>
    <mergeCell ref="K60:L61"/>
    <mergeCell ref="K62:L63"/>
    <mergeCell ref="G48:H49"/>
    <mergeCell ref="G50:H51"/>
    <mergeCell ref="G52:H53"/>
    <mergeCell ref="G54:H55"/>
    <mergeCell ref="G56:H57"/>
    <mergeCell ref="G58:H59"/>
    <mergeCell ref="G60:H61"/>
    <mergeCell ref="G62:H63"/>
    <mergeCell ref="I62:J63"/>
    <mergeCell ref="I44:J45"/>
    <mergeCell ref="I46:J47"/>
    <mergeCell ref="I48:J49"/>
    <mergeCell ref="I50:J51"/>
    <mergeCell ref="I52:J53"/>
    <mergeCell ref="I54:J55"/>
    <mergeCell ref="I56:J57"/>
    <mergeCell ref="I58:J59"/>
    <mergeCell ref="I60:J61"/>
    <mergeCell ref="C52:D53"/>
    <mergeCell ref="C54:D55"/>
    <mergeCell ref="C56:D57"/>
    <mergeCell ref="C58:D59"/>
    <mergeCell ref="C60:D61"/>
    <mergeCell ref="C62:D63"/>
    <mergeCell ref="E44:F45"/>
    <mergeCell ref="E46:F47"/>
    <mergeCell ref="E48:F49"/>
    <mergeCell ref="E50:F51"/>
    <mergeCell ref="E52:F53"/>
    <mergeCell ref="E54:F55"/>
    <mergeCell ref="E56:F57"/>
    <mergeCell ref="E58:F59"/>
    <mergeCell ref="E60:F61"/>
    <mergeCell ref="E62:F63"/>
    <mergeCell ref="B48:B49"/>
    <mergeCell ref="B50:B51"/>
    <mergeCell ref="A60:A61"/>
    <mergeCell ref="A62:A63"/>
    <mergeCell ref="C43:D43"/>
    <mergeCell ref="E43:F43"/>
    <mergeCell ref="G43:H43"/>
    <mergeCell ref="I43:J43"/>
    <mergeCell ref="B52:B53"/>
    <mergeCell ref="B54:B55"/>
    <mergeCell ref="B56:B57"/>
    <mergeCell ref="B58:B59"/>
    <mergeCell ref="A48:A49"/>
    <mergeCell ref="A50:A51"/>
    <mergeCell ref="A52:A53"/>
    <mergeCell ref="A54:A55"/>
    <mergeCell ref="A56:A57"/>
    <mergeCell ref="A58:A59"/>
    <mergeCell ref="B60:B61"/>
    <mergeCell ref="B62:B63"/>
    <mergeCell ref="C44:D45"/>
    <mergeCell ref="C46:D47"/>
    <mergeCell ref="C48:D49"/>
    <mergeCell ref="C50:D51"/>
    <mergeCell ref="O42:P42"/>
    <mergeCell ref="Q42:R42"/>
    <mergeCell ref="S42:T42"/>
    <mergeCell ref="U42:V42"/>
    <mergeCell ref="A44:A45"/>
    <mergeCell ref="A46:A47"/>
    <mergeCell ref="K43:L43"/>
    <mergeCell ref="M43:N43"/>
    <mergeCell ref="O43:P43"/>
    <mergeCell ref="Q43:R43"/>
    <mergeCell ref="C42:D42"/>
    <mergeCell ref="E42:F42"/>
    <mergeCell ref="G42:H42"/>
    <mergeCell ref="I42:J42"/>
    <mergeCell ref="K42:L42"/>
    <mergeCell ref="M42:N42"/>
    <mergeCell ref="A42:B43"/>
    <mergeCell ref="S43:T43"/>
    <mergeCell ref="U43:V43"/>
    <mergeCell ref="B44:B45"/>
    <mergeCell ref="B46:B47"/>
    <mergeCell ref="G44:H45"/>
    <mergeCell ref="G46:H47"/>
    <mergeCell ref="K44:L45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7"/>
  <sheetViews>
    <sheetView topLeftCell="B10" zoomScaleNormal="100" workbookViewId="0">
      <selection activeCell="D30" sqref="D30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74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132900</v>
      </c>
      <c r="E6" s="75">
        <f>D6-((D16-E16)+(D17-E17)+(D18-E18))</f>
        <v>123376</v>
      </c>
      <c r="F6" s="76">
        <f t="shared" ref="F6:O6" si="0">E6-((E16-F16)+(E17-F17)+(E18-F18))</f>
        <v>114784.40000000001</v>
      </c>
      <c r="G6" s="76">
        <f t="shared" si="0"/>
        <v>107031.96000000002</v>
      </c>
      <c r="H6" s="77">
        <f t="shared" si="0"/>
        <v>100034.76400000002</v>
      </c>
      <c r="I6" s="77">
        <f t="shared" si="0"/>
        <v>93717.287600000025</v>
      </c>
      <c r="J6" s="77">
        <f t="shared" si="0"/>
        <v>88011.558840000027</v>
      </c>
      <c r="K6" s="78">
        <f t="shared" si="0"/>
        <v>82856.402956000034</v>
      </c>
      <c r="L6" s="78">
        <f t="shared" si="0"/>
        <v>78196.76266040004</v>
      </c>
      <c r="M6" s="78">
        <f t="shared" si="0"/>
        <v>73983.086394360042</v>
      </c>
      <c r="N6" s="78">
        <f t="shared" si="0"/>
        <v>70170.777754924042</v>
      </c>
      <c r="O6" s="104">
        <f t="shared" si="0"/>
        <v>66719.699979431636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11478.440000000002</v>
      </c>
      <c r="G7" s="76">
        <f t="shared" ref="G7:O7" si="1">G6*0.1</f>
        <v>10703.196000000004</v>
      </c>
      <c r="H7" s="77">
        <f t="shared" si="1"/>
        <v>10003.476400000003</v>
      </c>
      <c r="I7" s="77">
        <f t="shared" si="1"/>
        <v>9371.7287600000036</v>
      </c>
      <c r="J7" s="77">
        <f t="shared" si="1"/>
        <v>8801.1558840000034</v>
      </c>
      <c r="K7" s="78">
        <f t="shared" si="1"/>
        <v>8285.6402956000038</v>
      </c>
      <c r="L7" s="78">
        <f t="shared" si="1"/>
        <v>7819.6762660400045</v>
      </c>
      <c r="M7" s="78">
        <f t="shared" si="1"/>
        <v>7398.3086394360043</v>
      </c>
      <c r="N7" s="78">
        <f t="shared" si="1"/>
        <v>7017.0777754924047</v>
      </c>
      <c r="O7" s="104">
        <f t="shared" si="1"/>
        <v>6671.9699979431643</v>
      </c>
    </row>
    <row r="8" spans="3:15" ht="15" thickBot="1" x14ac:dyDescent="0.3">
      <c r="C8" s="102" t="s">
        <v>48</v>
      </c>
      <c r="D8" s="79">
        <f>D6+D7</f>
        <v>132900</v>
      </c>
      <c r="E8" s="80">
        <f t="shared" ref="E8:O8" si="2">E6+E7</f>
        <v>123376</v>
      </c>
      <c r="F8" s="80">
        <f t="shared" si="2"/>
        <v>126262.84000000001</v>
      </c>
      <c r="G8" s="80">
        <f t="shared" si="2"/>
        <v>117735.15600000002</v>
      </c>
      <c r="H8" s="133">
        <f t="shared" si="2"/>
        <v>110038.24040000002</v>
      </c>
      <c r="I8" s="81">
        <f t="shared" si="2"/>
        <v>103089.01636000002</v>
      </c>
      <c r="J8" s="81">
        <f t="shared" si="2"/>
        <v>96812.714724000034</v>
      </c>
      <c r="K8" s="82">
        <f t="shared" si="2"/>
        <v>91142.043251600044</v>
      </c>
      <c r="L8" s="82">
        <f t="shared" si="2"/>
        <v>86016.438926440038</v>
      </c>
      <c r="M8" s="82">
        <f t="shared" si="2"/>
        <v>81381.395033796041</v>
      </c>
      <c r="N8" s="82">
        <f t="shared" si="2"/>
        <v>77187.855530416447</v>
      </c>
      <c r="O8" s="105">
        <f t="shared" si="2"/>
        <v>73391.669977374797</v>
      </c>
    </row>
    <row r="9" spans="3:15" x14ac:dyDescent="0.25">
      <c r="C9" s="102" t="s">
        <v>49</v>
      </c>
      <c r="D9" s="79">
        <f>D6*0.05</f>
        <v>6645</v>
      </c>
      <c r="E9" s="80">
        <f t="shared" ref="E9:O9" si="3">E6*0.05</f>
        <v>6168.8</v>
      </c>
      <c r="F9" s="80">
        <f t="shared" si="3"/>
        <v>5739.2200000000012</v>
      </c>
      <c r="G9" s="80">
        <f t="shared" si="3"/>
        <v>5351.5980000000018</v>
      </c>
      <c r="H9" s="81">
        <f t="shared" si="3"/>
        <v>5001.7382000000016</v>
      </c>
      <c r="I9" s="81">
        <f t="shared" si="3"/>
        <v>4685.8643800000018</v>
      </c>
      <c r="J9" s="81">
        <f t="shared" si="3"/>
        <v>4400.5779420000017</v>
      </c>
      <c r="K9" s="82">
        <f t="shared" si="3"/>
        <v>4142.8201478000019</v>
      </c>
      <c r="L9" s="82">
        <f t="shared" si="3"/>
        <v>3909.8381330200023</v>
      </c>
      <c r="M9" s="82">
        <f t="shared" si="3"/>
        <v>3699.1543197180022</v>
      </c>
      <c r="N9" s="82">
        <f t="shared" si="3"/>
        <v>3508.5388877462024</v>
      </c>
      <c r="O9" s="105">
        <f t="shared" si="3"/>
        <v>3335.9849989715822</v>
      </c>
    </row>
    <row r="10" spans="3:15" x14ac:dyDescent="0.25">
      <c r="C10" s="102" t="s">
        <v>66</v>
      </c>
      <c r="D10" s="79">
        <v>450</v>
      </c>
      <c r="E10" s="80">
        <v>450</v>
      </c>
      <c r="F10" s="80">
        <v>450</v>
      </c>
      <c r="G10" s="80">
        <v>450</v>
      </c>
      <c r="H10" s="81">
        <v>450</v>
      </c>
      <c r="I10" s="81">
        <v>450</v>
      </c>
      <c r="J10" s="81">
        <v>450</v>
      </c>
      <c r="K10" s="82">
        <v>450</v>
      </c>
      <c r="L10" s="82">
        <v>450</v>
      </c>
      <c r="M10" s="82">
        <v>450</v>
      </c>
      <c r="N10" s="82">
        <v>450</v>
      </c>
      <c r="O10" s="105">
        <v>450</v>
      </c>
    </row>
    <row r="11" spans="3:15" x14ac:dyDescent="0.25">
      <c r="C11" s="102" t="s">
        <v>65</v>
      </c>
      <c r="D11" s="83">
        <v>60.2</v>
      </c>
      <c r="E11" s="80">
        <v>60.2</v>
      </c>
      <c r="F11" s="80">
        <v>60.2</v>
      </c>
      <c r="G11" s="80">
        <v>60.2</v>
      </c>
      <c r="H11" s="81">
        <v>60.2</v>
      </c>
      <c r="I11" s="81">
        <v>60.2</v>
      </c>
      <c r="J11" s="81">
        <v>60.2</v>
      </c>
      <c r="K11" s="82">
        <v>60.2</v>
      </c>
      <c r="L11" s="82">
        <v>60.2</v>
      </c>
      <c r="M11" s="82">
        <v>60.2</v>
      </c>
      <c r="N11" s="82">
        <v>60.2</v>
      </c>
      <c r="O11" s="105">
        <v>60.2</v>
      </c>
    </row>
    <row r="12" spans="3:15" x14ac:dyDescent="0.25">
      <c r="C12" s="102" t="s">
        <v>72</v>
      </c>
      <c r="D12" s="83">
        <v>1.2</v>
      </c>
      <c r="E12" s="301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 t="shared" si="4"/>
        <v>0.5739562800000001</v>
      </c>
      <c r="L12" s="89">
        <f t="shared" si="4"/>
        <v>0.51656065200000012</v>
      </c>
      <c r="M12" s="89">
        <f t="shared" si="4"/>
        <v>0.46490458680000013</v>
      </c>
      <c r="N12" s="89">
        <f t="shared" si="4"/>
        <v>0.41841412812000012</v>
      </c>
      <c r="O12" s="107">
        <f t="shared" si="4"/>
        <v>0.37657271530800013</v>
      </c>
    </row>
    <row r="13" spans="3:15" x14ac:dyDescent="0.25">
      <c r="C13" s="102" t="s">
        <v>50</v>
      </c>
      <c r="D13" s="79">
        <v>34000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160255</v>
      </c>
      <c r="E14" s="80">
        <f t="shared" si="5"/>
        <v>152207.20000000001</v>
      </c>
      <c r="F14" s="80">
        <f t="shared" si="5"/>
        <v>109045.18000000001</v>
      </c>
      <c r="G14" s="80">
        <f t="shared" si="5"/>
        <v>101680.36200000002</v>
      </c>
      <c r="H14" s="81">
        <f t="shared" si="5"/>
        <v>95033.025800000018</v>
      </c>
      <c r="I14" s="81">
        <f t="shared" si="5"/>
        <v>89031.423220000026</v>
      </c>
      <c r="J14" s="81">
        <f t="shared" si="5"/>
        <v>83610.980898000023</v>
      </c>
      <c r="K14" s="82">
        <f t="shared" si="5"/>
        <v>78713.582808200037</v>
      </c>
      <c r="L14" s="82">
        <f t="shared" si="5"/>
        <v>74286.924527380033</v>
      </c>
      <c r="M14" s="82">
        <f t="shared" si="5"/>
        <v>70283.932074642042</v>
      </c>
      <c r="N14" s="82">
        <f t="shared" si="5"/>
        <v>66662.238867177846</v>
      </c>
      <c r="O14" s="105">
        <f t="shared" si="5"/>
        <v>63383.714980460056</v>
      </c>
    </row>
    <row r="15" spans="3:15" x14ac:dyDescent="0.25">
      <c r="C15" s="102" t="s">
        <v>68</v>
      </c>
      <c r="D15" s="79">
        <f>D14*0.87</f>
        <v>139421.85</v>
      </c>
      <c r="E15" s="80">
        <f t="shared" ref="E15:O15" si="6">E14*0.87</f>
        <v>132420.264</v>
      </c>
      <c r="F15" s="80">
        <f t="shared" si="6"/>
        <v>94869.306600000011</v>
      </c>
      <c r="G15" s="80">
        <f t="shared" si="6"/>
        <v>88461.914940000017</v>
      </c>
      <c r="H15" s="81">
        <f t="shared" si="6"/>
        <v>82678.732446000009</v>
      </c>
      <c r="I15" s="81">
        <f t="shared" si="6"/>
        <v>77457.338201400024</v>
      </c>
      <c r="J15" s="81">
        <f t="shared" si="6"/>
        <v>72741.553381260019</v>
      </c>
      <c r="K15" s="82">
        <f t="shared" si="6"/>
        <v>68480.817043134026</v>
      </c>
      <c r="L15" s="82">
        <f t="shared" si="6"/>
        <v>64629.624338820628</v>
      </c>
      <c r="M15" s="82">
        <f t="shared" si="6"/>
        <v>61147.020904938574</v>
      </c>
      <c r="N15" s="82">
        <f t="shared" si="6"/>
        <v>57996.147814444725</v>
      </c>
      <c r="O15" s="105">
        <f t="shared" si="6"/>
        <v>55143.832033000246</v>
      </c>
    </row>
    <row r="16" spans="3:15" x14ac:dyDescent="0.25">
      <c r="C16" s="102" t="s">
        <v>52</v>
      </c>
      <c r="D16" s="93">
        <f t="shared" ref="D16:O16" si="7">D12*1000*D11</f>
        <v>72240</v>
      </c>
      <c r="E16" s="71">
        <f t="shared" si="7"/>
        <v>65016</v>
      </c>
      <c r="F16" s="71">
        <f t="shared" si="7"/>
        <v>58514.400000000009</v>
      </c>
      <c r="G16" s="71">
        <f t="shared" si="7"/>
        <v>52662.960000000014</v>
      </c>
      <c r="H16" s="72">
        <f t="shared" si="7"/>
        <v>47396.664000000012</v>
      </c>
      <c r="I16" s="72">
        <f t="shared" si="7"/>
        <v>42656.99760000001</v>
      </c>
      <c r="J16" s="72">
        <f t="shared" si="7"/>
        <v>38391.297840000007</v>
      </c>
      <c r="K16" s="73">
        <f t="shared" si="7"/>
        <v>34552.16805600001</v>
      </c>
      <c r="L16" s="73">
        <f t="shared" si="7"/>
        <v>31096.951250400009</v>
      </c>
      <c r="M16" s="73">
        <f t="shared" si="7"/>
        <v>27987.256125360007</v>
      </c>
      <c r="N16" s="73">
        <f t="shared" si="7"/>
        <v>25188.530512824007</v>
      </c>
      <c r="O16" s="103">
        <f t="shared" si="7"/>
        <v>22669.677461541607</v>
      </c>
    </row>
    <row r="17" spans="3:15" ht="28.8" x14ac:dyDescent="0.25">
      <c r="C17" s="109" t="s">
        <v>53</v>
      </c>
      <c r="D17" s="70">
        <v>10000</v>
      </c>
      <c r="E17" s="90">
        <f>D17-200</f>
        <v>9800</v>
      </c>
      <c r="F17" s="90">
        <f t="shared" ref="F17:O17" si="8">E17-200</f>
        <v>9600</v>
      </c>
      <c r="G17" s="90">
        <f t="shared" si="8"/>
        <v>9400</v>
      </c>
      <c r="H17" s="94">
        <f t="shared" si="8"/>
        <v>9200</v>
      </c>
      <c r="I17" s="94">
        <f t="shared" si="8"/>
        <v>9000</v>
      </c>
      <c r="J17" s="94">
        <f t="shared" si="8"/>
        <v>8800</v>
      </c>
      <c r="K17" s="95">
        <f t="shared" si="8"/>
        <v>8600</v>
      </c>
      <c r="L17" s="95">
        <f t="shared" si="8"/>
        <v>8400</v>
      </c>
      <c r="M17" s="95">
        <f t="shared" si="8"/>
        <v>8200</v>
      </c>
      <c r="N17" s="95">
        <f t="shared" si="8"/>
        <v>8000</v>
      </c>
      <c r="O17" s="110">
        <f t="shared" si="8"/>
        <v>7800</v>
      </c>
    </row>
    <row r="18" spans="3:15" x14ac:dyDescent="0.25">
      <c r="C18" s="102" t="s">
        <v>54</v>
      </c>
      <c r="D18" s="96">
        <v>21000</v>
      </c>
      <c r="E18" s="97">
        <f>D18*0.9</f>
        <v>18900</v>
      </c>
      <c r="F18" s="97">
        <f t="shared" ref="F18:O18" si="9">E18*0.9</f>
        <v>17010</v>
      </c>
      <c r="G18" s="97">
        <f t="shared" si="9"/>
        <v>15309</v>
      </c>
      <c r="H18" s="94">
        <f t="shared" si="9"/>
        <v>13778.1</v>
      </c>
      <c r="I18" s="94">
        <f t="shared" si="9"/>
        <v>12400.29</v>
      </c>
      <c r="J18" s="94">
        <f t="shared" si="9"/>
        <v>11160.261</v>
      </c>
      <c r="K18" s="95">
        <f t="shared" si="9"/>
        <v>10044.234900000001</v>
      </c>
      <c r="L18" s="95">
        <f t="shared" si="9"/>
        <v>9039.8114100000021</v>
      </c>
      <c r="M18" s="95">
        <f t="shared" si="9"/>
        <v>8135.8302690000019</v>
      </c>
      <c r="N18" s="95">
        <f t="shared" si="9"/>
        <v>7322.247242100002</v>
      </c>
      <c r="O18" s="110">
        <f t="shared" si="9"/>
        <v>6590.0225178900018</v>
      </c>
    </row>
    <row r="19" spans="3:15" ht="15" thickBot="1" x14ac:dyDescent="0.3">
      <c r="C19" s="102" t="s">
        <v>71</v>
      </c>
      <c r="D19" s="79">
        <f>D15-D16-D17-D18</f>
        <v>36181.850000000006</v>
      </c>
      <c r="E19" s="80">
        <f t="shared" ref="E19:O19" si="10">E15-E16-E17-E18</f>
        <v>38704.263999999996</v>
      </c>
      <c r="F19" s="80">
        <f t="shared" si="10"/>
        <v>9744.9066000000021</v>
      </c>
      <c r="G19" s="80">
        <f t="shared" si="10"/>
        <v>11089.954940000003</v>
      </c>
      <c r="H19" s="81">
        <f t="shared" si="10"/>
        <v>12303.968445999997</v>
      </c>
      <c r="I19" s="81">
        <f t="shared" si="10"/>
        <v>13400.050601400013</v>
      </c>
      <c r="J19" s="81">
        <f t="shared" si="10"/>
        <v>14389.994541260012</v>
      </c>
      <c r="K19" s="82">
        <f t="shared" si="10"/>
        <v>15284.414087134015</v>
      </c>
      <c r="L19" s="82">
        <f t="shared" si="10"/>
        <v>16092.861678420617</v>
      </c>
      <c r="M19" s="82">
        <f t="shared" si="10"/>
        <v>16823.934510578565</v>
      </c>
      <c r="N19" s="82">
        <f t="shared" si="10"/>
        <v>17485.370059520716</v>
      </c>
      <c r="O19" s="105">
        <f t="shared" si="10"/>
        <v>18084.132053568639</v>
      </c>
    </row>
    <row r="20" spans="3:15" ht="15" thickBot="1" x14ac:dyDescent="0.3">
      <c r="C20" s="111" t="s">
        <v>70</v>
      </c>
      <c r="D20" s="112">
        <f>D19/D14</f>
        <v>0.22577673083523139</v>
      </c>
      <c r="E20" s="137">
        <f t="shared" ref="E20:O20" si="11">E19/E14</f>
        <v>0.25428668289016548</v>
      </c>
      <c r="F20" s="113">
        <f t="shared" si="11"/>
        <v>8.9365771141833153E-2</v>
      </c>
      <c r="G20" s="113">
        <f t="shared" si="11"/>
        <v>0.10906683180376561</v>
      </c>
      <c r="H20" s="114">
        <f t="shared" si="11"/>
        <v>0.12947044821969664</v>
      </c>
      <c r="I20" s="114">
        <f t="shared" si="11"/>
        <v>0.15050922603234118</v>
      </c>
      <c r="J20" s="114">
        <f t="shared" si="11"/>
        <v>0.17210651503795743</v>
      </c>
      <c r="K20" s="115">
        <f t="shared" si="11"/>
        <v>0.19417759352127664</v>
      </c>
      <c r="L20" s="115">
        <f t="shared" si="11"/>
        <v>0.21663114714742632</v>
      </c>
      <c r="M20" s="136">
        <f t="shared" si="11"/>
        <v>0.23937099154770433</v>
      </c>
      <c r="N20" s="136">
        <f t="shared" si="11"/>
        <v>0.26229797193520155</v>
      </c>
      <c r="O20" s="136">
        <f t="shared" si="11"/>
        <v>0.28531196158419586</v>
      </c>
    </row>
    <row r="21" spans="3:15" x14ac:dyDescent="0.25">
      <c r="C21" s="131" t="s">
        <v>73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99900</v>
      </c>
      <c r="E23" s="87">
        <f>D23+(E29-D29)+(E30-D30)</f>
        <v>100360</v>
      </c>
      <c r="F23" s="87">
        <f t="shared" ref="F23:O23" si="12">E23+(F29-E29)+(F30-E30)</f>
        <v>100829.2</v>
      </c>
      <c r="G23" s="87">
        <f t="shared" si="12"/>
        <v>101307.78399999999</v>
      </c>
      <c r="H23" s="88">
        <f t="shared" si="12"/>
        <v>101795.93967999998</v>
      </c>
      <c r="I23" s="88">
        <f t="shared" si="12"/>
        <v>102293.85847359999</v>
      </c>
      <c r="J23" s="88">
        <f t="shared" si="12"/>
        <v>102801.735643072</v>
      </c>
      <c r="K23" s="89">
        <f t="shared" si="12"/>
        <v>103319.77035593343</v>
      </c>
      <c r="L23" s="89">
        <f t="shared" si="12"/>
        <v>103848.16576305209</v>
      </c>
      <c r="M23" s="89">
        <f t="shared" si="12"/>
        <v>104387.12907831313</v>
      </c>
      <c r="N23" s="89">
        <f t="shared" si="12"/>
        <v>104936.87165987938</v>
      </c>
      <c r="O23" s="107">
        <f t="shared" si="12"/>
        <v>105497.60909307697</v>
      </c>
    </row>
    <row r="24" spans="3:15" ht="15" thickBot="1" x14ac:dyDescent="0.3">
      <c r="C24" s="102" t="s">
        <v>46</v>
      </c>
      <c r="D24" s="117">
        <f>D23*0.1</f>
        <v>9990</v>
      </c>
      <c r="E24" s="76">
        <f t="shared" ref="E24:O24" si="13">E23*0.1</f>
        <v>10036</v>
      </c>
      <c r="F24" s="76">
        <f t="shared" si="13"/>
        <v>10082.92</v>
      </c>
      <c r="G24" s="76">
        <f t="shared" si="13"/>
        <v>10130.778399999999</v>
      </c>
      <c r="H24" s="77">
        <f t="shared" si="13"/>
        <v>10179.593967999999</v>
      </c>
      <c r="I24" s="77">
        <f t="shared" si="13"/>
        <v>10229.385847359999</v>
      </c>
      <c r="J24" s="77">
        <f t="shared" si="13"/>
        <v>10280.173564307201</v>
      </c>
      <c r="K24" s="78">
        <f t="shared" si="13"/>
        <v>10331.977035593343</v>
      </c>
      <c r="L24" s="78">
        <f t="shared" si="13"/>
        <v>10384.816576305209</v>
      </c>
      <c r="M24" s="78">
        <f t="shared" si="13"/>
        <v>10438.712907831314</v>
      </c>
      <c r="N24" s="78">
        <f t="shared" si="13"/>
        <v>10493.68716598794</v>
      </c>
      <c r="O24" s="104">
        <f t="shared" si="13"/>
        <v>10549.760909307697</v>
      </c>
    </row>
    <row r="25" spans="3:15" ht="15" thickBot="1" x14ac:dyDescent="0.3">
      <c r="C25" s="102" t="s">
        <v>56</v>
      </c>
      <c r="D25" s="93">
        <f>D23+D24</f>
        <v>109890</v>
      </c>
      <c r="E25" s="71">
        <f t="shared" ref="E25:O25" si="14">E23+E24</f>
        <v>110396</v>
      </c>
      <c r="F25" s="71">
        <f t="shared" si="14"/>
        <v>110912.12</v>
      </c>
      <c r="G25" s="135">
        <f t="shared" si="14"/>
        <v>111438.56239999998</v>
      </c>
      <c r="H25" s="134">
        <f t="shared" si="14"/>
        <v>111975.53364799998</v>
      </c>
      <c r="I25" s="81">
        <f t="shared" si="14"/>
        <v>112523.24432095999</v>
      </c>
      <c r="J25" s="72">
        <f t="shared" si="14"/>
        <v>113081.9092073792</v>
      </c>
      <c r="K25" s="73">
        <f t="shared" si="14"/>
        <v>113651.74739152678</v>
      </c>
      <c r="L25" s="73">
        <f t="shared" si="14"/>
        <v>114232.9823393573</v>
      </c>
      <c r="M25" s="73">
        <f t="shared" si="14"/>
        <v>114825.84198614444</v>
      </c>
      <c r="N25" s="73">
        <f t="shared" si="14"/>
        <v>115430.55882586732</v>
      </c>
      <c r="O25" s="103">
        <f t="shared" si="14"/>
        <v>116047.37000238468</v>
      </c>
    </row>
    <row r="26" spans="3:15" x14ac:dyDescent="0.25">
      <c r="C26" s="102" t="s">
        <v>57</v>
      </c>
      <c r="D26" s="79">
        <f>D23*0.05</f>
        <v>4995</v>
      </c>
      <c r="E26" s="80">
        <f t="shared" ref="E26:O26" si="15">E23*0.05</f>
        <v>5018</v>
      </c>
      <c r="F26" s="80">
        <f t="shared" si="15"/>
        <v>5041.46</v>
      </c>
      <c r="G26" s="80">
        <f t="shared" si="15"/>
        <v>5065.3891999999996</v>
      </c>
      <c r="H26" s="81">
        <f t="shared" si="15"/>
        <v>5089.7969839999996</v>
      </c>
      <c r="I26" s="81">
        <f t="shared" si="15"/>
        <v>5114.6929236799997</v>
      </c>
      <c r="J26" s="81">
        <f t="shared" si="15"/>
        <v>5140.0867821536003</v>
      </c>
      <c r="K26" s="82">
        <f t="shared" si="15"/>
        <v>5165.9885177966717</v>
      </c>
      <c r="L26" s="82">
        <f t="shared" si="15"/>
        <v>5192.4082881526047</v>
      </c>
      <c r="M26" s="82">
        <f t="shared" si="15"/>
        <v>5219.3564539156569</v>
      </c>
      <c r="N26" s="82">
        <f t="shared" si="15"/>
        <v>5246.8435829939699</v>
      </c>
      <c r="O26" s="105">
        <f t="shared" si="15"/>
        <v>5274.8804546538486</v>
      </c>
    </row>
    <row r="27" spans="3:15" x14ac:dyDescent="0.25">
      <c r="C27" s="102" t="s">
        <v>58</v>
      </c>
      <c r="D27" s="79">
        <f>D23-D26</f>
        <v>94905</v>
      </c>
      <c r="E27" s="80">
        <f t="shared" ref="E27:O27" si="16">E23-E26</f>
        <v>95342</v>
      </c>
      <c r="F27" s="80">
        <f t="shared" si="16"/>
        <v>95787.739999999991</v>
      </c>
      <c r="G27" s="80">
        <f t="shared" si="16"/>
        <v>96242.39479999998</v>
      </c>
      <c r="H27" s="81">
        <f t="shared" si="16"/>
        <v>96706.142695999981</v>
      </c>
      <c r="I27" s="81">
        <f t="shared" si="16"/>
        <v>97179.165549919984</v>
      </c>
      <c r="J27" s="81">
        <f t="shared" si="16"/>
        <v>97661.648860918402</v>
      </c>
      <c r="K27" s="82">
        <f t="shared" si="16"/>
        <v>98153.781838136754</v>
      </c>
      <c r="L27" s="82">
        <f t="shared" si="16"/>
        <v>98655.757474899496</v>
      </c>
      <c r="M27" s="82">
        <f t="shared" si="16"/>
        <v>99167.772624397476</v>
      </c>
      <c r="N27" s="82">
        <f t="shared" si="16"/>
        <v>99690.028076885414</v>
      </c>
      <c r="O27" s="105">
        <f t="shared" si="16"/>
        <v>100222.72863842313</v>
      </c>
    </row>
    <row r="28" spans="3:15" x14ac:dyDescent="0.25">
      <c r="C28" s="102" t="s">
        <v>68</v>
      </c>
      <c r="D28" s="79">
        <f>D27*0.87</f>
        <v>82567.350000000006</v>
      </c>
      <c r="E28" s="80">
        <f t="shared" ref="E28:O28" si="17">E27*0.87</f>
        <v>82947.539999999994</v>
      </c>
      <c r="F28" s="80">
        <f t="shared" si="17"/>
        <v>83335.333799999993</v>
      </c>
      <c r="G28" s="80">
        <f t="shared" si="17"/>
        <v>83730.883475999988</v>
      </c>
      <c r="H28" s="81">
        <f t="shared" si="17"/>
        <v>84134.344145519979</v>
      </c>
      <c r="I28" s="81">
        <f t="shared" si="17"/>
        <v>84545.874028430393</v>
      </c>
      <c r="J28" s="81">
        <f t="shared" si="17"/>
        <v>84965.634508999006</v>
      </c>
      <c r="K28" s="82">
        <f t="shared" si="17"/>
        <v>85393.790199178969</v>
      </c>
      <c r="L28" s="82">
        <f t="shared" si="17"/>
        <v>85830.509003162559</v>
      </c>
      <c r="M28" s="82">
        <f t="shared" si="17"/>
        <v>86275.962183225798</v>
      </c>
      <c r="N28" s="82">
        <f t="shared" si="17"/>
        <v>86730.324426890307</v>
      </c>
      <c r="O28" s="105">
        <f t="shared" si="17"/>
        <v>87193.773915428115</v>
      </c>
    </row>
    <row r="29" spans="3:15" x14ac:dyDescent="0.25">
      <c r="C29" s="102" t="s">
        <v>59</v>
      </c>
      <c r="D29" s="70">
        <v>15000</v>
      </c>
      <c r="E29" s="80">
        <f>D29*1.02</f>
        <v>15300</v>
      </c>
      <c r="F29" s="80">
        <f t="shared" ref="F29:O30" si="18">E29*1.02</f>
        <v>15606</v>
      </c>
      <c r="G29" s="80">
        <f t="shared" si="18"/>
        <v>15918.12</v>
      </c>
      <c r="H29" s="81">
        <f t="shared" si="18"/>
        <v>16236.482400000001</v>
      </c>
      <c r="I29" s="81">
        <f t="shared" si="18"/>
        <v>16561.212048000001</v>
      </c>
      <c r="J29" s="81">
        <f t="shared" si="18"/>
        <v>16892.436288960002</v>
      </c>
      <c r="K29" s="82">
        <f t="shared" si="18"/>
        <v>17230.285014739202</v>
      </c>
      <c r="L29" s="82">
        <f t="shared" si="18"/>
        <v>17574.890715033987</v>
      </c>
      <c r="M29" s="82">
        <f t="shared" si="18"/>
        <v>17926.388529334668</v>
      </c>
      <c r="N29" s="82">
        <f t="shared" si="18"/>
        <v>18284.916299921362</v>
      </c>
      <c r="O29" s="105">
        <f t="shared" si="18"/>
        <v>18650.614625919789</v>
      </c>
    </row>
    <row r="30" spans="3:15" x14ac:dyDescent="0.25">
      <c r="C30" s="102" t="s">
        <v>60</v>
      </c>
      <c r="D30" s="70">
        <v>8000</v>
      </c>
      <c r="E30" s="80">
        <f>D30*1.02</f>
        <v>8160</v>
      </c>
      <c r="F30" s="80">
        <f t="shared" si="18"/>
        <v>8323.2000000000007</v>
      </c>
      <c r="G30" s="80">
        <f t="shared" si="18"/>
        <v>8489.6640000000007</v>
      </c>
      <c r="H30" s="81">
        <f t="shared" si="18"/>
        <v>8659.4572800000005</v>
      </c>
      <c r="I30" s="81">
        <f t="shared" si="18"/>
        <v>8832.6464255999999</v>
      </c>
      <c r="J30" s="81">
        <f t="shared" si="18"/>
        <v>9009.2993541119995</v>
      </c>
      <c r="K30" s="82">
        <f t="shared" si="18"/>
        <v>9189.4853411942404</v>
      </c>
      <c r="L30" s="82">
        <f t="shared" si="18"/>
        <v>9373.2750480181257</v>
      </c>
      <c r="M30" s="82">
        <f t="shared" si="18"/>
        <v>9560.7405489784887</v>
      </c>
      <c r="N30" s="82">
        <f t="shared" si="18"/>
        <v>9751.9553599580595</v>
      </c>
      <c r="O30" s="105">
        <f t="shared" si="18"/>
        <v>9946.9944671572212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32000</v>
      </c>
      <c r="E32" s="80">
        <v>32000</v>
      </c>
      <c r="F32" s="80">
        <v>32000</v>
      </c>
      <c r="G32" s="80">
        <v>32000</v>
      </c>
      <c r="H32" s="81">
        <v>32000</v>
      </c>
      <c r="I32" s="81">
        <v>32000</v>
      </c>
      <c r="J32" s="81">
        <v>32000</v>
      </c>
      <c r="K32" s="82">
        <v>32000</v>
      </c>
      <c r="L32" s="82">
        <v>32000</v>
      </c>
      <c r="M32" s="82">
        <v>32000</v>
      </c>
      <c r="N32" s="82">
        <v>32000</v>
      </c>
      <c r="O32" s="105">
        <v>32000</v>
      </c>
    </row>
    <row r="33" spans="3:15" ht="15" thickBot="1" x14ac:dyDescent="0.3">
      <c r="C33" s="102" t="s">
        <v>69</v>
      </c>
      <c r="D33" s="79">
        <f>D28-D29-D30-D31-D32</f>
        <v>23567.350000000006</v>
      </c>
      <c r="E33" s="80">
        <f t="shared" ref="E33:O33" si="19">E28-E29-E30-E31-E32</f>
        <v>23487.539999999994</v>
      </c>
      <c r="F33" s="80">
        <f t="shared" si="19"/>
        <v>23406.133799999996</v>
      </c>
      <c r="G33" s="80">
        <f t="shared" si="19"/>
        <v>23323.099475999988</v>
      </c>
      <c r="H33" s="81">
        <f t="shared" si="19"/>
        <v>23238.404465519969</v>
      </c>
      <c r="I33" s="81">
        <f t="shared" si="19"/>
        <v>23152.015554830388</v>
      </c>
      <c r="J33" s="81">
        <f t="shared" si="19"/>
        <v>23063.898865927003</v>
      </c>
      <c r="K33" s="82">
        <f t="shared" si="19"/>
        <v>22974.019843245529</v>
      </c>
      <c r="L33" s="82">
        <f t="shared" si="19"/>
        <v>22882.343240110451</v>
      </c>
      <c r="M33" s="82">
        <f t="shared" si="19"/>
        <v>22788.833104912643</v>
      </c>
      <c r="N33" s="82">
        <f t="shared" si="19"/>
        <v>22693.452767010887</v>
      </c>
      <c r="O33" s="105">
        <f t="shared" si="19"/>
        <v>22596.164822351107</v>
      </c>
    </row>
    <row r="34" spans="3:15" ht="15" thickBot="1" x14ac:dyDescent="0.3">
      <c r="C34" s="111" t="s">
        <v>70</v>
      </c>
      <c r="D34" s="112">
        <f>D33/D27</f>
        <v>0.24832569411516786</v>
      </c>
      <c r="E34" s="137">
        <f t="shared" ref="E34:O34" si="20">E33/E27</f>
        <v>0.24635040171173242</v>
      </c>
      <c r="F34" s="113">
        <f t="shared" si="20"/>
        <v>0.24435417100351253</v>
      </c>
      <c r="G34" s="113">
        <f t="shared" si="20"/>
        <v>0.24233706491268642</v>
      </c>
      <c r="H34" s="114">
        <f t="shared" si="20"/>
        <v>0.24029915595507637</v>
      </c>
      <c r="I34" s="114">
        <f t="shared" si="20"/>
        <v>0.23824052639078719</v>
      </c>
      <c r="J34" s="114">
        <f t="shared" si="20"/>
        <v>0.23616126836822804</v>
      </c>
      <c r="K34" s="115">
        <f t="shared" si="20"/>
        <v>0.23406148406111829</v>
      </c>
      <c r="L34" s="115">
        <f t="shared" si="20"/>
        <v>0.23194128579806703</v>
      </c>
      <c r="M34" s="136">
        <f t="shared" si="20"/>
        <v>0.22980079618432495</v>
      </c>
      <c r="N34" s="136">
        <f t="shared" si="20"/>
        <v>0.22764014821531278</v>
      </c>
      <c r="O34" s="136">
        <f t="shared" si="20"/>
        <v>0.22545948538152502</v>
      </c>
    </row>
    <row r="37" spans="3:15" x14ac:dyDescent="0.25">
      <c r="D37" s="30">
        <f>D8-D25</f>
        <v>23010</v>
      </c>
      <c r="E37" s="30">
        <f t="shared" ref="E37:O37" si="21">E8-E25</f>
        <v>12980</v>
      </c>
      <c r="F37" s="30">
        <f t="shared" si="21"/>
        <v>15350.720000000016</v>
      </c>
      <c r="G37" s="30">
        <f t="shared" si="21"/>
        <v>6296.5936000000365</v>
      </c>
      <c r="H37" s="30">
        <f t="shared" si="21"/>
        <v>-1937.2932479999581</v>
      </c>
      <c r="I37" s="30">
        <f t="shared" si="21"/>
        <v>-9434.2279609599645</v>
      </c>
      <c r="J37" s="30">
        <f t="shared" si="21"/>
        <v>-16269.194483379164</v>
      </c>
      <c r="K37" s="30">
        <f t="shared" si="21"/>
        <v>-22509.704139926733</v>
      </c>
      <c r="L37" s="30">
        <f t="shared" si="21"/>
        <v>-28216.543412917265</v>
      </c>
      <c r="M37" s="30">
        <f t="shared" si="21"/>
        <v>-33444.4469523484</v>
      </c>
      <c r="N37" s="30">
        <f t="shared" si="21"/>
        <v>-38242.703295450876</v>
      </c>
      <c r="O37" s="30">
        <f t="shared" si="21"/>
        <v>-42655.700025009879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D88"/>
  <sheetViews>
    <sheetView topLeftCell="A37" zoomScale="90" zoomScaleNormal="90" workbookViewId="0">
      <selection activeCell="D40" sqref="D40:AB40"/>
    </sheetView>
  </sheetViews>
  <sheetFormatPr defaultRowHeight="14.4" x14ac:dyDescent="0.25"/>
  <cols>
    <col min="1" max="1" width="7.21875" customWidth="1"/>
    <col min="2" max="2" width="16.21875" customWidth="1"/>
    <col min="3" max="3" width="11.6640625" customWidth="1"/>
    <col min="4" max="4" width="12.77734375" bestFit="1" customWidth="1"/>
    <col min="5" max="5" width="0.33203125" customWidth="1"/>
    <col min="6" max="6" width="12.77734375" customWidth="1"/>
    <col min="7" max="7" width="0.21875" customWidth="1"/>
    <col min="8" max="8" width="12.77734375" bestFit="1" customWidth="1"/>
    <col min="9" max="9" width="1.44140625" customWidth="1"/>
    <col min="10" max="10" width="12.77734375" customWidth="1"/>
    <col min="11" max="11" width="3.88671875" customWidth="1"/>
    <col min="12" max="12" width="12.77734375" customWidth="1"/>
    <col min="13" max="13" width="1.77734375" customWidth="1"/>
    <col min="14" max="14" width="12.5546875" customWidth="1"/>
    <col min="15" max="15" width="0.6640625" customWidth="1"/>
    <col min="16" max="16" width="11.5546875" customWidth="1"/>
    <col min="18" max="18" width="3.88671875" customWidth="1"/>
    <col min="20" max="20" width="3.5546875" customWidth="1"/>
    <col min="21" max="21" width="8.88671875" customWidth="1"/>
    <col min="22" max="22" width="6.6640625" customWidth="1"/>
    <col min="24" max="24" width="3.5546875" customWidth="1"/>
    <col min="26" max="26" width="1.6640625" customWidth="1"/>
    <col min="28" max="28" width="2.88671875" customWidth="1"/>
  </cols>
  <sheetData>
    <row r="4" spans="3:15" x14ac:dyDescent="0.25">
      <c r="C4" s="131" t="s">
        <v>74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182800</v>
      </c>
      <c r="E6" s="71">
        <f>D6-((D16-E16)+(D17-E17)+(D18-E18))</f>
        <v>173276</v>
      </c>
      <c r="F6" s="71">
        <f t="shared" ref="F6:O6" si="0">E6-((E16-F16)+(E17-F17)+(E18-F18))</f>
        <v>164684.40000000002</v>
      </c>
      <c r="G6" s="71">
        <f t="shared" si="0"/>
        <v>156931.96000000002</v>
      </c>
      <c r="H6" s="71">
        <f t="shared" si="0"/>
        <v>149934.76400000002</v>
      </c>
      <c r="I6" s="71">
        <f t="shared" si="0"/>
        <v>143617.28760000001</v>
      </c>
      <c r="J6" s="71">
        <f t="shared" si="0"/>
        <v>137911.55884000001</v>
      </c>
      <c r="K6" s="71">
        <f t="shared" si="0"/>
        <v>132756.40295600001</v>
      </c>
      <c r="L6" s="71">
        <f t="shared" si="0"/>
        <v>128096.76266040001</v>
      </c>
      <c r="M6" s="71">
        <f t="shared" si="0"/>
        <v>123883.08639436001</v>
      </c>
      <c r="N6" s="71">
        <f t="shared" si="0"/>
        <v>120070.77775492401</v>
      </c>
      <c r="O6" s="71">
        <f t="shared" si="0"/>
        <v>116619.69997943161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16468.440000000002</v>
      </c>
      <c r="G7" s="76">
        <f t="shared" ref="G7:O7" si="1">G6*0.1</f>
        <v>15693.196000000004</v>
      </c>
      <c r="H7" s="77">
        <f t="shared" si="1"/>
        <v>14993.476400000003</v>
      </c>
      <c r="I7" s="77">
        <f t="shared" si="1"/>
        <v>14361.728760000002</v>
      </c>
      <c r="J7" s="77">
        <f t="shared" si="1"/>
        <v>13791.155884000002</v>
      </c>
      <c r="K7" s="78">
        <f t="shared" si="1"/>
        <v>13275.640295600002</v>
      </c>
      <c r="L7" s="78">
        <f t="shared" si="1"/>
        <v>12809.676266040002</v>
      </c>
      <c r="M7" s="78">
        <f t="shared" si="1"/>
        <v>12388.308639436002</v>
      </c>
      <c r="N7" s="78">
        <f t="shared" si="1"/>
        <v>12007.077775492402</v>
      </c>
      <c r="O7" s="104">
        <f t="shared" si="1"/>
        <v>11661.969997943161</v>
      </c>
    </row>
    <row r="8" spans="3:15" ht="15" thickBot="1" x14ac:dyDescent="0.3">
      <c r="C8" s="102" t="s">
        <v>48</v>
      </c>
      <c r="D8" s="79">
        <f>D6+D7</f>
        <v>182800</v>
      </c>
      <c r="E8" s="80">
        <f t="shared" ref="E8:O8" si="2">E6+E7</f>
        <v>173276</v>
      </c>
      <c r="F8" s="80">
        <f t="shared" si="2"/>
        <v>181152.84000000003</v>
      </c>
      <c r="G8" s="80">
        <f t="shared" si="2"/>
        <v>172625.15600000002</v>
      </c>
      <c r="H8" s="133">
        <f t="shared" si="2"/>
        <v>164928.24040000004</v>
      </c>
      <c r="I8" s="81">
        <f t="shared" si="2"/>
        <v>157979.01636000001</v>
      </c>
      <c r="J8" s="81">
        <f t="shared" si="2"/>
        <v>151702.71472400002</v>
      </c>
      <c r="K8" s="82">
        <f t="shared" si="2"/>
        <v>146032.0432516</v>
      </c>
      <c r="L8" s="82">
        <f t="shared" si="2"/>
        <v>140906.43892644002</v>
      </c>
      <c r="M8" s="82">
        <f t="shared" si="2"/>
        <v>136271.39503379603</v>
      </c>
      <c r="N8" s="82">
        <f t="shared" si="2"/>
        <v>132077.85553041642</v>
      </c>
      <c r="O8" s="105">
        <f t="shared" si="2"/>
        <v>128281.66997737477</v>
      </c>
    </row>
    <row r="9" spans="3:15" x14ac:dyDescent="0.25">
      <c r="C9" s="102" t="s">
        <v>49</v>
      </c>
      <c r="D9" s="79">
        <f>D6*0.05</f>
        <v>9140</v>
      </c>
      <c r="E9" s="80">
        <f t="shared" ref="E9:O9" si="3">E6*0.05</f>
        <v>8663.8000000000011</v>
      </c>
      <c r="F9" s="80">
        <f t="shared" si="3"/>
        <v>8234.2200000000012</v>
      </c>
      <c r="G9" s="80">
        <f t="shared" si="3"/>
        <v>7846.5980000000018</v>
      </c>
      <c r="H9" s="81">
        <f t="shared" si="3"/>
        <v>7496.7382000000016</v>
      </c>
      <c r="I9" s="81">
        <f t="shared" si="3"/>
        <v>7180.8643800000009</v>
      </c>
      <c r="J9" s="81">
        <f t="shared" si="3"/>
        <v>6895.5779420000008</v>
      </c>
      <c r="K9" s="82">
        <f t="shared" si="3"/>
        <v>6637.820147800001</v>
      </c>
      <c r="L9" s="82">
        <f t="shared" si="3"/>
        <v>6404.8381330200009</v>
      </c>
      <c r="M9" s="82">
        <f t="shared" si="3"/>
        <v>6194.1543197180008</v>
      </c>
      <c r="N9" s="82">
        <f t="shared" si="3"/>
        <v>6003.538887746201</v>
      </c>
      <c r="O9" s="105">
        <f t="shared" si="3"/>
        <v>5830.9849989715804</v>
      </c>
    </row>
    <row r="10" spans="3:15" x14ac:dyDescent="0.25">
      <c r="C10" s="102" t="s">
        <v>66</v>
      </c>
      <c r="D10" s="79">
        <v>450</v>
      </c>
      <c r="E10" s="80">
        <v>450</v>
      </c>
      <c r="F10" s="80">
        <v>450</v>
      </c>
      <c r="G10" s="80">
        <v>450</v>
      </c>
      <c r="H10" s="81">
        <v>450</v>
      </c>
      <c r="I10" s="81">
        <v>450</v>
      </c>
      <c r="J10" s="81">
        <v>450</v>
      </c>
      <c r="K10" s="82">
        <v>450</v>
      </c>
      <c r="L10" s="82">
        <v>450</v>
      </c>
      <c r="M10" s="82">
        <v>450</v>
      </c>
      <c r="N10" s="82">
        <v>450</v>
      </c>
      <c r="O10" s="105">
        <v>450</v>
      </c>
    </row>
    <row r="11" spans="3:15" x14ac:dyDescent="0.25">
      <c r="C11" s="102" t="s">
        <v>65</v>
      </c>
      <c r="D11" s="83">
        <v>60.2</v>
      </c>
      <c r="E11" s="80">
        <v>60.2</v>
      </c>
      <c r="F11" s="80">
        <v>60.2</v>
      </c>
      <c r="G11" s="80">
        <v>60.2</v>
      </c>
      <c r="H11" s="81">
        <v>60.2</v>
      </c>
      <c r="I11" s="81">
        <v>60.2</v>
      </c>
      <c r="J11" s="81">
        <v>60.2</v>
      </c>
      <c r="K11" s="82">
        <v>60.2</v>
      </c>
      <c r="L11" s="82">
        <v>60.2</v>
      </c>
      <c r="M11" s="82">
        <v>60.2</v>
      </c>
      <c r="N11" s="82">
        <v>60.2</v>
      </c>
      <c r="O11" s="105">
        <v>60.2</v>
      </c>
    </row>
    <row r="12" spans="3:15" x14ac:dyDescent="0.25">
      <c r="C12" s="102" t="s">
        <v>72</v>
      </c>
      <c r="D12" s="83">
        <v>1.2</v>
      </c>
      <c r="E12" s="87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7">
        <f t="shared" si="4"/>
        <v>0.78732000000000013</v>
      </c>
      <c r="I12" s="87">
        <f t="shared" si="4"/>
        <v>0.70858800000000011</v>
      </c>
      <c r="J12" s="87">
        <f t="shared" si="4"/>
        <v>0.63772920000000011</v>
      </c>
      <c r="K12" s="87">
        <f t="shared" si="4"/>
        <v>0.5739562800000001</v>
      </c>
      <c r="L12" s="87">
        <f t="shared" si="4"/>
        <v>0.51656065200000012</v>
      </c>
      <c r="M12" s="87">
        <f t="shared" si="4"/>
        <v>0.46490458680000013</v>
      </c>
      <c r="N12" s="87">
        <f t="shared" si="4"/>
        <v>0.41841412812000012</v>
      </c>
      <c r="O12" s="87">
        <f t="shared" si="4"/>
        <v>0.37657271530800013</v>
      </c>
    </row>
    <row r="13" spans="3:15" x14ac:dyDescent="0.25">
      <c r="C13" s="102" t="s">
        <v>50</v>
      </c>
      <c r="D13" s="79">
        <v>34000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207660</v>
      </c>
      <c r="E14" s="80">
        <f t="shared" si="5"/>
        <v>199612.2</v>
      </c>
      <c r="F14" s="80">
        <f t="shared" si="5"/>
        <v>156450.18000000002</v>
      </c>
      <c r="G14" s="80">
        <f t="shared" si="5"/>
        <v>149085.36200000002</v>
      </c>
      <c r="H14" s="81">
        <f t="shared" si="5"/>
        <v>142438.02580000003</v>
      </c>
      <c r="I14" s="81">
        <f t="shared" si="5"/>
        <v>136436.42322</v>
      </c>
      <c r="J14" s="81">
        <f t="shared" si="5"/>
        <v>131015.98089800001</v>
      </c>
      <c r="K14" s="82">
        <f t="shared" si="5"/>
        <v>126118.58280820001</v>
      </c>
      <c r="L14" s="82">
        <f t="shared" si="5"/>
        <v>121691.92452738</v>
      </c>
      <c r="M14" s="82">
        <f t="shared" si="5"/>
        <v>117688.93207464201</v>
      </c>
      <c r="N14" s="82">
        <f t="shared" si="5"/>
        <v>114067.23886717782</v>
      </c>
      <c r="O14" s="105">
        <f t="shared" si="5"/>
        <v>110788.71498046003</v>
      </c>
    </row>
    <row r="15" spans="3:15" x14ac:dyDescent="0.25">
      <c r="C15" s="102" t="s">
        <v>68</v>
      </c>
      <c r="D15" s="79">
        <f>D14*0.87</f>
        <v>180664.2</v>
      </c>
      <c r="E15" s="80">
        <f t="shared" ref="E15:O15" si="6">E14*0.87</f>
        <v>173662.614</v>
      </c>
      <c r="F15" s="80">
        <f t="shared" si="6"/>
        <v>136111.65660000002</v>
      </c>
      <c r="G15" s="80">
        <f t="shared" si="6"/>
        <v>129704.26494000002</v>
      </c>
      <c r="H15" s="81">
        <f t="shared" si="6"/>
        <v>123921.08244600003</v>
      </c>
      <c r="I15" s="81">
        <f t="shared" si="6"/>
        <v>118699.6882014</v>
      </c>
      <c r="J15" s="81">
        <f t="shared" si="6"/>
        <v>113983.90338126001</v>
      </c>
      <c r="K15" s="82">
        <f t="shared" si="6"/>
        <v>109723.167043134</v>
      </c>
      <c r="L15" s="82">
        <f t="shared" si="6"/>
        <v>105871.9743388206</v>
      </c>
      <c r="M15" s="82">
        <f t="shared" si="6"/>
        <v>102389.37090493855</v>
      </c>
      <c r="N15" s="82">
        <f t="shared" si="6"/>
        <v>99238.497814444694</v>
      </c>
      <c r="O15" s="105">
        <f t="shared" si="6"/>
        <v>96386.182033000223</v>
      </c>
    </row>
    <row r="16" spans="3:15" x14ac:dyDescent="0.25">
      <c r="C16" s="102" t="s">
        <v>52</v>
      </c>
      <c r="D16" s="93">
        <f t="shared" ref="D16:O16" si="7">D12*1000*D11</f>
        <v>72240</v>
      </c>
      <c r="E16" s="71">
        <f t="shared" si="7"/>
        <v>65016</v>
      </c>
      <c r="F16" s="71">
        <f t="shared" si="7"/>
        <v>58514.400000000009</v>
      </c>
      <c r="G16" s="71">
        <f t="shared" si="7"/>
        <v>52662.960000000014</v>
      </c>
      <c r="H16" s="72">
        <f t="shared" si="7"/>
        <v>47396.664000000012</v>
      </c>
      <c r="I16" s="72">
        <f t="shared" si="7"/>
        <v>42656.99760000001</v>
      </c>
      <c r="J16" s="72">
        <f t="shared" si="7"/>
        <v>38391.297840000007</v>
      </c>
      <c r="K16" s="73">
        <f t="shared" si="7"/>
        <v>34552.16805600001</v>
      </c>
      <c r="L16" s="73">
        <f t="shared" si="7"/>
        <v>31096.951250400009</v>
      </c>
      <c r="M16" s="73">
        <f t="shared" si="7"/>
        <v>27987.256125360007</v>
      </c>
      <c r="N16" s="73">
        <f t="shared" si="7"/>
        <v>25188.530512824007</v>
      </c>
      <c r="O16" s="103">
        <f t="shared" si="7"/>
        <v>22669.677461541607</v>
      </c>
    </row>
    <row r="17" spans="3:15" ht="72" x14ac:dyDescent="0.25">
      <c r="C17" s="109" t="s">
        <v>53</v>
      </c>
      <c r="D17" s="70">
        <v>10000</v>
      </c>
      <c r="E17" s="90">
        <f>D17-200</f>
        <v>9800</v>
      </c>
      <c r="F17" s="90">
        <f t="shared" ref="F17:O17" si="8">E17-200</f>
        <v>9600</v>
      </c>
      <c r="G17" s="90">
        <f t="shared" si="8"/>
        <v>9400</v>
      </c>
      <c r="H17" s="94">
        <f t="shared" si="8"/>
        <v>9200</v>
      </c>
      <c r="I17" s="94">
        <f t="shared" si="8"/>
        <v>9000</v>
      </c>
      <c r="J17" s="94">
        <f t="shared" si="8"/>
        <v>8800</v>
      </c>
      <c r="K17" s="95">
        <f t="shared" si="8"/>
        <v>8600</v>
      </c>
      <c r="L17" s="95">
        <f t="shared" si="8"/>
        <v>8400</v>
      </c>
      <c r="M17" s="95">
        <f t="shared" si="8"/>
        <v>8200</v>
      </c>
      <c r="N17" s="95">
        <f t="shared" si="8"/>
        <v>8000</v>
      </c>
      <c r="O17" s="110">
        <f t="shared" si="8"/>
        <v>7800</v>
      </c>
    </row>
    <row r="18" spans="3:15" x14ac:dyDescent="0.25">
      <c r="C18" s="102" t="s">
        <v>54</v>
      </c>
      <c r="D18" s="96">
        <v>21000</v>
      </c>
      <c r="E18" s="97">
        <f>D18*0.9</f>
        <v>18900</v>
      </c>
      <c r="F18" s="97">
        <f t="shared" ref="F18:O18" si="9">E18*0.9</f>
        <v>17010</v>
      </c>
      <c r="G18" s="97">
        <f t="shared" si="9"/>
        <v>15309</v>
      </c>
      <c r="H18" s="94">
        <f t="shared" si="9"/>
        <v>13778.1</v>
      </c>
      <c r="I18" s="94">
        <f t="shared" si="9"/>
        <v>12400.29</v>
      </c>
      <c r="J18" s="94">
        <f t="shared" si="9"/>
        <v>11160.261</v>
      </c>
      <c r="K18" s="95">
        <f t="shared" si="9"/>
        <v>10044.234900000001</v>
      </c>
      <c r="L18" s="95">
        <f t="shared" si="9"/>
        <v>9039.8114100000021</v>
      </c>
      <c r="M18" s="95">
        <f t="shared" si="9"/>
        <v>8135.8302690000019</v>
      </c>
      <c r="N18" s="95">
        <f t="shared" si="9"/>
        <v>7322.247242100002</v>
      </c>
      <c r="O18" s="110">
        <f t="shared" si="9"/>
        <v>6590.0225178900018</v>
      </c>
    </row>
    <row r="19" spans="3:15" ht="15" thickBot="1" x14ac:dyDescent="0.3">
      <c r="C19" s="102" t="s">
        <v>71</v>
      </c>
      <c r="D19" s="79">
        <f>D15-D16-D17-D18</f>
        <v>77424.200000000012</v>
      </c>
      <c r="E19" s="80">
        <f t="shared" ref="E19:O19" si="10">E15-E16-E17-E18</f>
        <v>79946.614000000001</v>
      </c>
      <c r="F19" s="80">
        <f t="shared" si="10"/>
        <v>50987.256600000008</v>
      </c>
      <c r="G19" s="80">
        <f t="shared" si="10"/>
        <v>52332.304940000002</v>
      </c>
      <c r="H19" s="81">
        <f t="shared" si="10"/>
        <v>53546.318446000027</v>
      </c>
      <c r="I19" s="81">
        <f t="shared" si="10"/>
        <v>54642.400601399982</v>
      </c>
      <c r="J19" s="81">
        <f t="shared" si="10"/>
        <v>55632.344541260012</v>
      </c>
      <c r="K19" s="82">
        <f t="shared" si="10"/>
        <v>56526.76408713399</v>
      </c>
      <c r="L19" s="82">
        <f t="shared" si="10"/>
        <v>57335.211678420594</v>
      </c>
      <c r="M19" s="82">
        <f t="shared" si="10"/>
        <v>58066.284510578553</v>
      </c>
      <c r="N19" s="82">
        <f t="shared" si="10"/>
        <v>58727.720059520696</v>
      </c>
      <c r="O19" s="105">
        <f t="shared" si="10"/>
        <v>59326.482053568616</v>
      </c>
    </row>
    <row r="20" spans="3:15" ht="15" thickBot="1" x14ac:dyDescent="0.3">
      <c r="C20" s="111" t="s">
        <v>70</v>
      </c>
      <c r="D20" s="112">
        <f>D19/D14</f>
        <v>0.3728411827024945</v>
      </c>
      <c r="E20" s="137">
        <f t="shared" ref="E20:O20" si="11">E19/E14</f>
        <v>0.40050965822730272</v>
      </c>
      <c r="F20" s="113">
        <f t="shared" si="11"/>
        <v>0.32590091363269763</v>
      </c>
      <c r="G20" s="113">
        <f t="shared" si="11"/>
        <v>0.3510224225769395</v>
      </c>
      <c r="H20" s="114">
        <f t="shared" si="11"/>
        <v>0.37592713143318512</v>
      </c>
      <c r="I20" s="114">
        <f t="shared" si="11"/>
        <v>0.40049716426009357</v>
      </c>
      <c r="J20" s="114">
        <f t="shared" si="11"/>
        <v>0.42462258542773884</v>
      </c>
      <c r="K20" s="115">
        <f t="shared" si="11"/>
        <v>0.44820329271459841</v>
      </c>
      <c r="L20" s="115">
        <f t="shared" si="11"/>
        <v>0.4711505048596753</v>
      </c>
      <c r="M20" s="136">
        <f t="shared" si="11"/>
        <v>0.49338781045061308</v>
      </c>
      <c r="N20" s="136">
        <f t="shared" si="11"/>
        <v>0.51485177201408749</v>
      </c>
      <c r="O20" s="136">
        <f t="shared" si="11"/>
        <v>0.53549210372222578</v>
      </c>
    </row>
    <row r="21" spans="3:15" x14ac:dyDescent="0.25">
      <c r="C21" s="131" t="s">
        <v>73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131400</v>
      </c>
      <c r="E23" s="87">
        <f>D23+(E29-D29)+(E30-D30)</f>
        <v>131860</v>
      </c>
      <c r="F23" s="87">
        <f t="shared" ref="F23:O23" si="12">E23+(F29-E29)+(F30-E30)</f>
        <v>132329.20000000001</v>
      </c>
      <c r="G23" s="87">
        <f t="shared" si="12"/>
        <v>132807.78400000001</v>
      </c>
      <c r="H23" s="88">
        <f t="shared" si="12"/>
        <v>133295.93968000004</v>
      </c>
      <c r="I23" s="88">
        <f t="shared" si="12"/>
        <v>133793.85847360003</v>
      </c>
      <c r="J23" s="88">
        <f t="shared" si="12"/>
        <v>134301.73564307202</v>
      </c>
      <c r="K23" s="89">
        <f t="shared" si="12"/>
        <v>134819.77035593346</v>
      </c>
      <c r="L23" s="89">
        <f t="shared" si="12"/>
        <v>135348.16576305212</v>
      </c>
      <c r="M23" s="89">
        <f t="shared" si="12"/>
        <v>135887.12907831316</v>
      </c>
      <c r="N23" s="89">
        <f t="shared" si="12"/>
        <v>136436.87165987943</v>
      </c>
      <c r="O23" s="107">
        <f t="shared" si="12"/>
        <v>136997.60909307702</v>
      </c>
    </row>
    <row r="24" spans="3:15" ht="15" thickBot="1" x14ac:dyDescent="0.3">
      <c r="C24" s="102" t="s">
        <v>46</v>
      </c>
      <c r="D24" s="117">
        <f>D23*0.1</f>
        <v>13140</v>
      </c>
      <c r="E24" s="76">
        <f t="shared" ref="E24:O24" si="13">E23*0.1</f>
        <v>13186</v>
      </c>
      <c r="F24" s="76">
        <f t="shared" si="13"/>
        <v>13232.920000000002</v>
      </c>
      <c r="G24" s="76">
        <f t="shared" si="13"/>
        <v>13280.778400000003</v>
      </c>
      <c r="H24" s="77">
        <f t="shared" si="13"/>
        <v>13329.593968000005</v>
      </c>
      <c r="I24" s="77">
        <f t="shared" si="13"/>
        <v>13379.385847360005</v>
      </c>
      <c r="J24" s="77">
        <f t="shared" si="13"/>
        <v>13430.173564307202</v>
      </c>
      <c r="K24" s="78">
        <f t="shared" si="13"/>
        <v>13481.977035593347</v>
      </c>
      <c r="L24" s="78">
        <f t="shared" si="13"/>
        <v>13534.816576305213</v>
      </c>
      <c r="M24" s="78">
        <f t="shared" si="13"/>
        <v>13588.712907831316</v>
      </c>
      <c r="N24" s="78">
        <f t="shared" si="13"/>
        <v>13643.687165987943</v>
      </c>
      <c r="O24" s="104">
        <f t="shared" si="13"/>
        <v>13699.760909307703</v>
      </c>
    </row>
    <row r="25" spans="3:15" ht="15" thickBot="1" x14ac:dyDescent="0.3">
      <c r="C25" s="102" t="s">
        <v>56</v>
      </c>
      <c r="D25" s="93">
        <f>D23+D24</f>
        <v>144540</v>
      </c>
      <c r="E25" s="71">
        <f t="shared" ref="E25:O25" si="14">E23+E24</f>
        <v>145046</v>
      </c>
      <c r="F25" s="71">
        <f t="shared" si="14"/>
        <v>145562.12000000002</v>
      </c>
      <c r="G25" s="135">
        <f t="shared" si="14"/>
        <v>146088.56240000002</v>
      </c>
      <c r="H25" s="134">
        <f t="shared" si="14"/>
        <v>146625.53364800004</v>
      </c>
      <c r="I25" s="81">
        <f t="shared" si="14"/>
        <v>147173.24432096005</v>
      </c>
      <c r="J25" s="72">
        <f t="shared" si="14"/>
        <v>147731.90920737921</v>
      </c>
      <c r="K25" s="73">
        <f t="shared" si="14"/>
        <v>148301.74739152682</v>
      </c>
      <c r="L25" s="73">
        <f t="shared" si="14"/>
        <v>148882.98233935735</v>
      </c>
      <c r="M25" s="73">
        <f t="shared" si="14"/>
        <v>149475.84198614449</v>
      </c>
      <c r="N25" s="73">
        <f t="shared" si="14"/>
        <v>150080.55882586737</v>
      </c>
      <c r="O25" s="103">
        <f t="shared" si="14"/>
        <v>150697.37000238471</v>
      </c>
    </row>
    <row r="26" spans="3:15" x14ac:dyDescent="0.25">
      <c r="C26" s="102" t="s">
        <v>57</v>
      </c>
      <c r="D26" s="79">
        <f>D23*0.05</f>
        <v>6570</v>
      </c>
      <c r="E26" s="80">
        <f t="shared" ref="E26:O26" si="15">E23*0.05</f>
        <v>6593</v>
      </c>
      <c r="F26" s="80">
        <f t="shared" si="15"/>
        <v>6616.4600000000009</v>
      </c>
      <c r="G26" s="80">
        <f t="shared" si="15"/>
        <v>6640.3892000000014</v>
      </c>
      <c r="H26" s="81">
        <f t="shared" si="15"/>
        <v>6664.7969840000023</v>
      </c>
      <c r="I26" s="81">
        <f t="shared" si="15"/>
        <v>6689.6929236800024</v>
      </c>
      <c r="J26" s="81">
        <f t="shared" si="15"/>
        <v>6715.0867821536012</v>
      </c>
      <c r="K26" s="82">
        <f t="shared" si="15"/>
        <v>6740.9885177966735</v>
      </c>
      <c r="L26" s="82">
        <f t="shared" si="15"/>
        <v>6767.4082881526065</v>
      </c>
      <c r="M26" s="82">
        <f t="shared" si="15"/>
        <v>6794.3564539156578</v>
      </c>
      <c r="N26" s="82">
        <f t="shared" si="15"/>
        <v>6821.8435829939717</v>
      </c>
      <c r="O26" s="105">
        <f t="shared" si="15"/>
        <v>6849.8804546538513</v>
      </c>
    </row>
    <row r="27" spans="3:15" x14ac:dyDescent="0.25">
      <c r="C27" s="102" t="s">
        <v>58</v>
      </c>
      <c r="D27" s="79">
        <f>D23-D26</f>
        <v>124830</v>
      </c>
      <c r="E27" s="80">
        <f t="shared" ref="E27:O27" si="16">E23-E26</f>
        <v>125267</v>
      </c>
      <c r="F27" s="80">
        <f t="shared" si="16"/>
        <v>125712.74</v>
      </c>
      <c r="G27" s="80">
        <f t="shared" si="16"/>
        <v>126167.39480000001</v>
      </c>
      <c r="H27" s="81">
        <f t="shared" si="16"/>
        <v>126631.14269600004</v>
      </c>
      <c r="I27" s="81">
        <f t="shared" si="16"/>
        <v>127104.16554992003</v>
      </c>
      <c r="J27" s="81">
        <f t="shared" si="16"/>
        <v>127586.64886091842</v>
      </c>
      <c r="K27" s="82">
        <f t="shared" si="16"/>
        <v>128078.78183813678</v>
      </c>
      <c r="L27" s="82">
        <f t="shared" si="16"/>
        <v>128580.75747489951</v>
      </c>
      <c r="M27" s="82">
        <f t="shared" si="16"/>
        <v>129092.7726243975</v>
      </c>
      <c r="N27" s="82">
        <f t="shared" si="16"/>
        <v>129615.02807688546</v>
      </c>
      <c r="O27" s="105">
        <f t="shared" si="16"/>
        <v>130147.72863842317</v>
      </c>
    </row>
    <row r="28" spans="3:15" x14ac:dyDescent="0.25">
      <c r="C28" s="102" t="s">
        <v>68</v>
      </c>
      <c r="D28" s="79">
        <f>D27*0.87</f>
        <v>108602.1</v>
      </c>
      <c r="E28" s="80">
        <f t="shared" ref="E28:O28" si="17">E27*0.87</f>
        <v>108982.29</v>
      </c>
      <c r="F28" s="80">
        <f t="shared" si="17"/>
        <v>109370.08380000001</v>
      </c>
      <c r="G28" s="80">
        <f t="shared" si="17"/>
        <v>109765.633476</v>
      </c>
      <c r="H28" s="81">
        <f t="shared" si="17"/>
        <v>110169.09414552004</v>
      </c>
      <c r="I28" s="81">
        <f t="shared" si="17"/>
        <v>110580.62402843042</v>
      </c>
      <c r="J28" s="81">
        <f t="shared" si="17"/>
        <v>111000.38450899902</v>
      </c>
      <c r="K28" s="82">
        <f t="shared" si="17"/>
        <v>111428.540199179</v>
      </c>
      <c r="L28" s="82">
        <f t="shared" si="17"/>
        <v>111865.25900316257</v>
      </c>
      <c r="M28" s="82">
        <f t="shared" si="17"/>
        <v>112310.71218322583</v>
      </c>
      <c r="N28" s="82">
        <f t="shared" si="17"/>
        <v>112765.07442689035</v>
      </c>
      <c r="O28" s="105">
        <f t="shared" si="17"/>
        <v>113228.52391542816</v>
      </c>
    </row>
    <row r="29" spans="3:15" x14ac:dyDescent="0.25">
      <c r="C29" s="102" t="s">
        <v>59</v>
      </c>
      <c r="D29" s="70">
        <v>15000</v>
      </c>
      <c r="E29" s="80">
        <f>D29*1.02</f>
        <v>15300</v>
      </c>
      <c r="F29" s="80">
        <f t="shared" ref="F29:O30" si="18">E29*1.02</f>
        <v>15606</v>
      </c>
      <c r="G29" s="80">
        <f t="shared" si="18"/>
        <v>15918.12</v>
      </c>
      <c r="H29" s="81">
        <f t="shared" si="18"/>
        <v>16236.482400000001</v>
      </c>
      <c r="I29" s="81">
        <f t="shared" si="18"/>
        <v>16561.212048000001</v>
      </c>
      <c r="J29" s="81">
        <f t="shared" si="18"/>
        <v>16892.436288960002</v>
      </c>
      <c r="K29" s="82">
        <f t="shared" si="18"/>
        <v>17230.285014739202</v>
      </c>
      <c r="L29" s="82">
        <f t="shared" si="18"/>
        <v>17574.890715033987</v>
      </c>
      <c r="M29" s="82">
        <f t="shared" si="18"/>
        <v>17926.388529334668</v>
      </c>
      <c r="N29" s="82">
        <f t="shared" si="18"/>
        <v>18284.916299921362</v>
      </c>
      <c r="O29" s="105">
        <f t="shared" si="18"/>
        <v>18650.614625919789</v>
      </c>
    </row>
    <row r="30" spans="3:15" x14ac:dyDescent="0.25">
      <c r="C30" s="102" t="s">
        <v>60</v>
      </c>
      <c r="D30" s="70">
        <v>8000</v>
      </c>
      <c r="E30" s="80">
        <f>D30*1.02</f>
        <v>8160</v>
      </c>
      <c r="F30" s="80">
        <f t="shared" si="18"/>
        <v>8323.2000000000007</v>
      </c>
      <c r="G30" s="80">
        <f t="shared" si="18"/>
        <v>8489.6640000000007</v>
      </c>
      <c r="H30" s="81">
        <f t="shared" si="18"/>
        <v>8659.4572800000005</v>
      </c>
      <c r="I30" s="81">
        <f t="shared" si="18"/>
        <v>8832.6464255999999</v>
      </c>
      <c r="J30" s="81">
        <f t="shared" si="18"/>
        <v>9009.2993541119995</v>
      </c>
      <c r="K30" s="82">
        <f t="shared" si="18"/>
        <v>9189.4853411942404</v>
      </c>
      <c r="L30" s="82">
        <f t="shared" si="18"/>
        <v>9373.2750480181257</v>
      </c>
      <c r="M30" s="82">
        <f t="shared" si="18"/>
        <v>9560.7405489784887</v>
      </c>
      <c r="N30" s="82">
        <f t="shared" si="18"/>
        <v>9751.9553599580595</v>
      </c>
      <c r="O30" s="105">
        <f t="shared" si="18"/>
        <v>9946.9944671572212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32000</v>
      </c>
      <c r="E32" s="80">
        <v>32000</v>
      </c>
      <c r="F32" s="80">
        <v>32000</v>
      </c>
      <c r="G32" s="80">
        <v>32000</v>
      </c>
      <c r="H32" s="81">
        <v>32000</v>
      </c>
      <c r="I32" s="81">
        <v>32000</v>
      </c>
      <c r="J32" s="81">
        <v>32000</v>
      </c>
      <c r="K32" s="82">
        <v>32000</v>
      </c>
      <c r="L32" s="82">
        <v>32000</v>
      </c>
      <c r="M32" s="82">
        <v>32000</v>
      </c>
      <c r="N32" s="82">
        <v>32000</v>
      </c>
      <c r="O32" s="105">
        <v>32000</v>
      </c>
    </row>
    <row r="33" spans="2:30" ht="15" thickBot="1" x14ac:dyDescent="0.3">
      <c r="C33" s="102" t="s">
        <v>69</v>
      </c>
      <c r="D33" s="79">
        <f>D28-D29-D30-D31-D32</f>
        <v>49602.100000000006</v>
      </c>
      <c r="E33" s="80">
        <f t="shared" ref="E33:O33" si="19">E28-E29-E30-E31-E32</f>
        <v>49522.289999999994</v>
      </c>
      <c r="F33" s="80">
        <f t="shared" si="19"/>
        <v>49440.883800000011</v>
      </c>
      <c r="G33" s="80">
        <f t="shared" si="19"/>
        <v>49357.849476000003</v>
      </c>
      <c r="H33" s="81">
        <f t="shared" si="19"/>
        <v>49273.154465520027</v>
      </c>
      <c r="I33" s="81">
        <f t="shared" si="19"/>
        <v>49186.765554830417</v>
      </c>
      <c r="J33" s="81">
        <f t="shared" si="19"/>
        <v>49098.648865927025</v>
      </c>
      <c r="K33" s="82">
        <f t="shared" si="19"/>
        <v>49008.769843245551</v>
      </c>
      <c r="L33" s="82">
        <f t="shared" si="19"/>
        <v>48917.093240110451</v>
      </c>
      <c r="M33" s="82">
        <f t="shared" si="19"/>
        <v>48823.583104912672</v>
      </c>
      <c r="N33" s="82">
        <f t="shared" si="19"/>
        <v>48728.202767010938</v>
      </c>
      <c r="O33" s="105">
        <f t="shared" si="19"/>
        <v>48630.914822351158</v>
      </c>
    </row>
    <row r="34" spans="2:30" ht="15" thickBot="1" x14ac:dyDescent="0.3">
      <c r="C34" s="111" t="s">
        <v>70</v>
      </c>
      <c r="D34" s="112">
        <f>D33/D27</f>
        <v>0.39735720579988787</v>
      </c>
      <c r="E34" s="137">
        <f t="shared" ref="E34:O34" si="20">E33/E27</f>
        <v>0.39533388681775722</v>
      </c>
      <c r="F34" s="113">
        <f t="shared" si="20"/>
        <v>0.39328459311283809</v>
      </c>
      <c r="G34" s="113">
        <f t="shared" si="20"/>
        <v>0.3912092308337019</v>
      </c>
      <c r="H34" s="114">
        <f t="shared" si="20"/>
        <v>0.38910771407795597</v>
      </c>
      <c r="I34" s="114">
        <f t="shared" si="20"/>
        <v>0.38697996514923316</v>
      </c>
      <c r="J34" s="114">
        <f t="shared" si="20"/>
        <v>0.38482591481377665</v>
      </c>
      <c r="K34" s="115">
        <f t="shared" si="20"/>
        <v>0.3826455025562453</v>
      </c>
      <c r="L34" s="115">
        <f t="shared" si="20"/>
        <v>0.3804386768343595</v>
      </c>
      <c r="M34" s="136">
        <f t="shared" si="20"/>
        <v>0.37820539533198783</v>
      </c>
      <c r="N34" s="136">
        <f t="shared" si="20"/>
        <v>0.37594562521026642</v>
      </c>
      <c r="O34" s="136">
        <f t="shared" si="20"/>
        <v>0.373659343356331</v>
      </c>
    </row>
    <row r="36" spans="2:30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2:30" x14ac:dyDescent="0.25">
      <c r="D37" s="30">
        <f>D8-D25</f>
        <v>38260</v>
      </c>
      <c r="E37" s="30">
        <f t="shared" ref="E37:O37" si="21">E8-E25</f>
        <v>28230</v>
      </c>
      <c r="F37" s="30">
        <f t="shared" si="21"/>
        <v>35590.720000000001</v>
      </c>
      <c r="G37" s="30">
        <f t="shared" si="21"/>
        <v>26536.593599999993</v>
      </c>
      <c r="H37" s="30">
        <f t="shared" si="21"/>
        <v>18302.706751999998</v>
      </c>
      <c r="I37" s="30">
        <f t="shared" si="21"/>
        <v>10805.772039039963</v>
      </c>
      <c r="J37" s="30">
        <f t="shared" si="21"/>
        <v>3970.8055166208069</v>
      </c>
      <c r="K37" s="30">
        <f t="shared" si="21"/>
        <v>-2269.7041399268201</v>
      </c>
      <c r="L37" s="30">
        <f t="shared" si="21"/>
        <v>-7976.5434129173227</v>
      </c>
      <c r="M37" s="30">
        <f t="shared" si="21"/>
        <v>-13204.446952348459</v>
      </c>
      <c r="N37" s="30">
        <f t="shared" si="21"/>
        <v>-18002.703295450949</v>
      </c>
      <c r="O37" s="30">
        <f t="shared" si="21"/>
        <v>-22415.700025009937</v>
      </c>
    </row>
    <row r="40" spans="2:30" ht="28.8" customHeight="1" x14ac:dyDescent="0.25">
      <c r="B40" s="336" t="s">
        <v>284</v>
      </c>
      <c r="C40" s="337"/>
      <c r="D40" s="340" t="s">
        <v>186</v>
      </c>
      <c r="E40" s="340"/>
      <c r="F40" s="340" t="s">
        <v>187</v>
      </c>
      <c r="G40" s="340"/>
      <c r="H40" s="340" t="s">
        <v>188</v>
      </c>
      <c r="I40" s="340"/>
      <c r="J40" s="340" t="s">
        <v>463</v>
      </c>
      <c r="K40" s="340"/>
      <c r="L40" s="340" t="s">
        <v>278</v>
      </c>
      <c r="M40" s="341"/>
      <c r="N40" s="340" t="s">
        <v>279</v>
      </c>
      <c r="O40" s="341"/>
      <c r="P40" s="197" t="s">
        <v>189</v>
      </c>
      <c r="Q40" s="340" t="s">
        <v>190</v>
      </c>
      <c r="R40" s="341"/>
      <c r="S40" s="340" t="s">
        <v>191</v>
      </c>
      <c r="T40" s="341"/>
      <c r="U40" s="340" t="s">
        <v>280</v>
      </c>
      <c r="V40" s="341"/>
      <c r="W40" s="340" t="s">
        <v>281</v>
      </c>
      <c r="X40" s="341"/>
      <c r="Y40" s="340" t="s">
        <v>282</v>
      </c>
      <c r="Z40" s="341"/>
      <c r="AA40" s="340" t="s">
        <v>192</v>
      </c>
      <c r="AB40" s="342"/>
    </row>
    <row r="41" spans="2:30" ht="14.4" customHeight="1" x14ac:dyDescent="0.25">
      <c r="B41" s="338"/>
      <c r="C41" s="339"/>
      <c r="D41" s="322">
        <v>152400</v>
      </c>
      <c r="E41" s="322"/>
      <c r="F41" s="322">
        <v>109150</v>
      </c>
      <c r="G41" s="322"/>
      <c r="H41" s="322">
        <v>143800</v>
      </c>
      <c r="I41" s="322"/>
      <c r="J41" s="322">
        <v>173300</v>
      </c>
      <c r="K41" s="322"/>
      <c r="L41" s="322">
        <v>117900</v>
      </c>
      <c r="M41" s="322"/>
      <c r="N41" s="322">
        <v>144350</v>
      </c>
      <c r="O41" s="322"/>
      <c r="P41" s="48">
        <v>305800</v>
      </c>
      <c r="Q41" s="322">
        <v>158250</v>
      </c>
      <c r="R41" s="322"/>
      <c r="S41" s="322">
        <v>141800</v>
      </c>
      <c r="T41" s="322"/>
      <c r="U41" s="322">
        <v>207550</v>
      </c>
      <c r="V41" s="322"/>
      <c r="W41" s="322">
        <v>169800</v>
      </c>
      <c r="X41" s="322"/>
      <c r="Y41" s="322">
        <v>174800</v>
      </c>
      <c r="Z41" s="322"/>
      <c r="AA41" s="322">
        <v>182800</v>
      </c>
      <c r="AB41" s="343"/>
      <c r="AD41">
        <f>_xlfn.STDEV.P(D41,H41,J41,N41,Q41,S41,W41,Y41,AA41)</f>
        <v>14571.842033418889</v>
      </c>
    </row>
    <row r="42" spans="2:30" ht="14.4" customHeight="1" x14ac:dyDescent="0.25">
      <c r="B42" s="313" t="s">
        <v>197</v>
      </c>
      <c r="C42" s="322">
        <v>84900</v>
      </c>
      <c r="D42" s="328">
        <v>2029</v>
      </c>
      <c r="E42" s="328"/>
      <c r="F42" s="323">
        <v>2022</v>
      </c>
      <c r="G42" s="323"/>
      <c r="H42" s="328">
        <v>2028</v>
      </c>
      <c r="I42" s="328"/>
      <c r="J42" s="330" t="s">
        <v>169</v>
      </c>
      <c r="K42" s="331"/>
      <c r="L42" s="327">
        <v>2023</v>
      </c>
      <c r="M42" s="327"/>
      <c r="N42" s="328">
        <v>2028</v>
      </c>
      <c r="O42" s="328"/>
      <c r="P42" s="330" t="s">
        <v>194</v>
      </c>
      <c r="Q42" s="330" t="s">
        <v>169</v>
      </c>
      <c r="R42" s="331"/>
      <c r="S42" s="328">
        <v>2027</v>
      </c>
      <c r="T42" s="328"/>
      <c r="U42" s="330" t="s">
        <v>169</v>
      </c>
      <c r="V42" s="331"/>
      <c r="W42" s="330" t="s">
        <v>169</v>
      </c>
      <c r="X42" s="331"/>
      <c r="Y42" s="331" t="s">
        <v>169</v>
      </c>
      <c r="Z42" s="331"/>
      <c r="AA42" s="331" t="s">
        <v>169</v>
      </c>
      <c r="AB42" s="334"/>
    </row>
    <row r="43" spans="2:30" ht="14.4" customHeight="1" x14ac:dyDescent="0.25">
      <c r="B43" s="313"/>
      <c r="C43" s="322"/>
      <c r="D43" s="328"/>
      <c r="E43" s="328"/>
      <c r="F43" s="323"/>
      <c r="G43" s="323"/>
      <c r="H43" s="328"/>
      <c r="I43" s="328"/>
      <c r="J43" s="331"/>
      <c r="K43" s="331"/>
      <c r="L43" s="327"/>
      <c r="M43" s="327"/>
      <c r="N43" s="328"/>
      <c r="O43" s="328"/>
      <c r="P43" s="331"/>
      <c r="Q43" s="331"/>
      <c r="R43" s="331"/>
      <c r="S43" s="328"/>
      <c r="T43" s="328"/>
      <c r="U43" s="331"/>
      <c r="V43" s="331"/>
      <c r="W43" s="331"/>
      <c r="X43" s="331"/>
      <c r="Y43" s="331"/>
      <c r="Z43" s="331"/>
      <c r="AA43" s="331"/>
      <c r="AB43" s="334"/>
    </row>
    <row r="44" spans="2:30" ht="14.4" customHeight="1" x14ac:dyDescent="0.25">
      <c r="B44" s="313" t="s">
        <v>193</v>
      </c>
      <c r="C44" s="322">
        <v>62900</v>
      </c>
      <c r="D44" s="330" t="s">
        <v>169</v>
      </c>
      <c r="E44" s="331"/>
      <c r="F44" s="327">
        <v>2025</v>
      </c>
      <c r="G44" s="327"/>
      <c r="H44" s="330" t="s">
        <v>198</v>
      </c>
      <c r="I44" s="331"/>
      <c r="J44" s="331" t="s">
        <v>199</v>
      </c>
      <c r="K44" s="331"/>
      <c r="L44" s="328">
        <v>2027</v>
      </c>
      <c r="M44" s="328"/>
      <c r="N44" s="330" t="s">
        <v>169</v>
      </c>
      <c r="O44" s="330"/>
      <c r="P44" s="331" t="s">
        <v>169</v>
      </c>
      <c r="Q44" s="330" t="s">
        <v>169</v>
      </c>
      <c r="R44" s="330"/>
      <c r="S44" s="330" t="s">
        <v>169</v>
      </c>
      <c r="T44" s="330"/>
      <c r="U44" s="331" t="s">
        <v>171</v>
      </c>
      <c r="V44" s="331"/>
      <c r="W44" s="330" t="s">
        <v>169</v>
      </c>
      <c r="X44" s="330"/>
      <c r="Y44" s="330" t="s">
        <v>169</v>
      </c>
      <c r="Z44" s="330"/>
      <c r="AA44" s="330" t="s">
        <v>169</v>
      </c>
      <c r="AB44" s="334"/>
    </row>
    <row r="45" spans="2:30" ht="14.4" customHeight="1" x14ac:dyDescent="0.25">
      <c r="B45" s="313"/>
      <c r="C45" s="322"/>
      <c r="D45" s="331"/>
      <c r="E45" s="331"/>
      <c r="F45" s="327"/>
      <c r="G45" s="327"/>
      <c r="H45" s="331"/>
      <c r="I45" s="331"/>
      <c r="J45" s="331"/>
      <c r="K45" s="331"/>
      <c r="L45" s="328"/>
      <c r="M45" s="328"/>
      <c r="N45" s="330"/>
      <c r="O45" s="330"/>
      <c r="P45" s="331"/>
      <c r="Q45" s="330"/>
      <c r="R45" s="330"/>
      <c r="S45" s="330"/>
      <c r="T45" s="330"/>
      <c r="U45" s="331"/>
      <c r="V45" s="331"/>
      <c r="W45" s="330"/>
      <c r="X45" s="330"/>
      <c r="Y45" s="330"/>
      <c r="Z45" s="330"/>
      <c r="AA45" s="330"/>
      <c r="AB45" s="334"/>
    </row>
    <row r="46" spans="2:30" x14ac:dyDescent="0.25">
      <c r="B46" s="313" t="s">
        <v>175</v>
      </c>
      <c r="C46" s="322">
        <v>107900</v>
      </c>
      <c r="D46" s="327">
        <v>2025</v>
      </c>
      <c r="E46" s="327"/>
      <c r="F46" s="323">
        <v>2019</v>
      </c>
      <c r="G46" s="323"/>
      <c r="H46" s="327">
        <v>2024</v>
      </c>
      <c r="I46" s="327"/>
      <c r="J46" s="328">
        <v>2029</v>
      </c>
      <c r="K46" s="328"/>
      <c r="L46" s="323">
        <v>2019</v>
      </c>
      <c r="M46" s="323"/>
      <c r="N46" s="327">
        <v>2024</v>
      </c>
      <c r="O46" s="327"/>
      <c r="P46" s="331" t="s">
        <v>171</v>
      </c>
      <c r="Q46" s="328">
        <v>2026</v>
      </c>
      <c r="R46" s="328"/>
      <c r="S46" s="327">
        <v>2023</v>
      </c>
      <c r="T46" s="327"/>
      <c r="U46" s="331" t="s">
        <v>171</v>
      </c>
      <c r="V46" s="331"/>
      <c r="W46" s="328">
        <v>2028</v>
      </c>
      <c r="X46" s="328"/>
      <c r="Y46" s="328">
        <v>2029</v>
      </c>
      <c r="Z46" s="328"/>
      <c r="AA46" s="330" t="s">
        <v>200</v>
      </c>
      <c r="AB46" s="334"/>
    </row>
    <row r="47" spans="2:30" x14ac:dyDescent="0.25">
      <c r="B47" s="313"/>
      <c r="C47" s="322"/>
      <c r="D47" s="327"/>
      <c r="E47" s="327"/>
      <c r="F47" s="323"/>
      <c r="G47" s="323"/>
      <c r="H47" s="327"/>
      <c r="I47" s="327"/>
      <c r="J47" s="328"/>
      <c r="K47" s="328"/>
      <c r="L47" s="323"/>
      <c r="M47" s="323"/>
      <c r="N47" s="327"/>
      <c r="O47" s="327"/>
      <c r="P47" s="331"/>
      <c r="Q47" s="328"/>
      <c r="R47" s="328"/>
      <c r="S47" s="327"/>
      <c r="T47" s="327"/>
      <c r="U47" s="331"/>
      <c r="V47" s="331"/>
      <c r="W47" s="328"/>
      <c r="X47" s="328"/>
      <c r="Y47" s="328"/>
      <c r="Z47" s="328"/>
      <c r="AA47" s="331"/>
      <c r="AB47" s="334"/>
    </row>
    <row r="48" spans="2:30" x14ac:dyDescent="0.25">
      <c r="B48" s="313" t="s">
        <v>177</v>
      </c>
      <c r="C48" s="322">
        <v>114800</v>
      </c>
      <c r="D48" s="327">
        <v>2024</v>
      </c>
      <c r="E48" s="327"/>
      <c r="F48" s="323">
        <v>2019</v>
      </c>
      <c r="G48" s="323"/>
      <c r="H48" s="327">
        <v>2023</v>
      </c>
      <c r="I48" s="327"/>
      <c r="J48" s="328">
        <v>2027</v>
      </c>
      <c r="K48" s="328"/>
      <c r="L48" s="323">
        <v>2019</v>
      </c>
      <c r="M48" s="323"/>
      <c r="N48" s="327">
        <v>2023</v>
      </c>
      <c r="O48" s="327"/>
      <c r="P48" s="331" t="s">
        <v>168</v>
      </c>
      <c r="Q48" s="327">
        <v>2025</v>
      </c>
      <c r="R48" s="327"/>
      <c r="S48" s="323">
        <v>2022</v>
      </c>
      <c r="T48" s="323"/>
      <c r="U48" s="331" t="s">
        <v>169</v>
      </c>
      <c r="V48" s="331"/>
      <c r="W48" s="328">
        <v>2027</v>
      </c>
      <c r="X48" s="328"/>
      <c r="Y48" s="328">
        <v>2028</v>
      </c>
      <c r="Z48" s="328"/>
      <c r="AA48" s="328">
        <v>2030</v>
      </c>
      <c r="AB48" s="346"/>
    </row>
    <row r="49" spans="2:28" x14ac:dyDescent="0.25">
      <c r="B49" s="313"/>
      <c r="C49" s="322"/>
      <c r="D49" s="327"/>
      <c r="E49" s="327"/>
      <c r="F49" s="323"/>
      <c r="G49" s="323"/>
      <c r="H49" s="327"/>
      <c r="I49" s="327"/>
      <c r="J49" s="328"/>
      <c r="K49" s="328"/>
      <c r="L49" s="323"/>
      <c r="M49" s="323"/>
      <c r="N49" s="327"/>
      <c r="O49" s="327"/>
      <c r="P49" s="331"/>
      <c r="Q49" s="327"/>
      <c r="R49" s="327"/>
      <c r="S49" s="323"/>
      <c r="T49" s="323"/>
      <c r="U49" s="331"/>
      <c r="V49" s="331"/>
      <c r="W49" s="328"/>
      <c r="X49" s="328"/>
      <c r="Y49" s="328"/>
      <c r="Z49" s="328"/>
      <c r="AA49" s="328"/>
      <c r="AB49" s="346"/>
    </row>
    <row r="50" spans="2:28" x14ac:dyDescent="0.25">
      <c r="B50" s="313" t="s">
        <v>178</v>
      </c>
      <c r="C50" s="322">
        <v>149900</v>
      </c>
      <c r="D50" s="323">
        <v>2019</v>
      </c>
      <c r="E50" s="323"/>
      <c r="F50" s="323">
        <v>2019</v>
      </c>
      <c r="G50" s="323"/>
      <c r="H50" s="323">
        <v>2019</v>
      </c>
      <c r="I50" s="323"/>
      <c r="J50" s="323">
        <v>2020</v>
      </c>
      <c r="K50" s="323"/>
      <c r="L50" s="323">
        <v>2019</v>
      </c>
      <c r="M50" s="323"/>
      <c r="N50" s="323">
        <v>2019</v>
      </c>
      <c r="O50" s="323"/>
      <c r="P50" s="331" t="s">
        <v>168</v>
      </c>
      <c r="Q50" s="323">
        <v>2019</v>
      </c>
      <c r="R50" s="323"/>
      <c r="S50" s="323">
        <v>2019</v>
      </c>
      <c r="T50" s="323"/>
      <c r="U50" s="328">
        <v>2027</v>
      </c>
      <c r="V50" s="328"/>
      <c r="W50" s="323">
        <v>2020</v>
      </c>
      <c r="X50" s="323"/>
      <c r="Y50" s="323">
        <v>2020</v>
      </c>
      <c r="Z50" s="323"/>
      <c r="AA50" s="327">
        <v>2023</v>
      </c>
      <c r="AB50" s="347"/>
    </row>
    <row r="51" spans="2:28" x14ac:dyDescent="0.25">
      <c r="B51" s="313"/>
      <c r="C51" s="322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31"/>
      <c r="Q51" s="323"/>
      <c r="R51" s="323"/>
      <c r="S51" s="323"/>
      <c r="T51" s="323"/>
      <c r="U51" s="328"/>
      <c r="V51" s="328"/>
      <c r="W51" s="323"/>
      <c r="X51" s="323"/>
      <c r="Y51" s="323"/>
      <c r="Z51" s="323"/>
      <c r="AA51" s="327"/>
      <c r="AB51" s="347"/>
    </row>
    <row r="52" spans="2:28" x14ac:dyDescent="0.25">
      <c r="B52" s="313" t="s">
        <v>179</v>
      </c>
      <c r="C52" s="322">
        <v>109850</v>
      </c>
      <c r="D52" s="327">
        <v>2025</v>
      </c>
      <c r="E52" s="327"/>
      <c r="F52" s="323">
        <v>2019</v>
      </c>
      <c r="G52" s="323"/>
      <c r="H52" s="327">
        <v>2023</v>
      </c>
      <c r="I52" s="327"/>
      <c r="J52" s="328">
        <v>2029</v>
      </c>
      <c r="K52" s="328"/>
      <c r="L52" s="323">
        <v>2019</v>
      </c>
      <c r="M52" s="323"/>
      <c r="N52" s="327">
        <v>2023</v>
      </c>
      <c r="O52" s="327"/>
      <c r="P52" s="331" t="s">
        <v>168</v>
      </c>
      <c r="Q52" s="328">
        <v>2026</v>
      </c>
      <c r="R52" s="328"/>
      <c r="S52" s="327">
        <v>2023</v>
      </c>
      <c r="T52" s="327"/>
      <c r="U52" s="330" t="s">
        <v>169</v>
      </c>
      <c r="V52" s="331"/>
      <c r="W52" s="328">
        <v>2028</v>
      </c>
      <c r="X52" s="328"/>
      <c r="Y52" s="328">
        <v>2029</v>
      </c>
      <c r="Z52" s="328"/>
      <c r="AA52" s="330" t="s">
        <v>169</v>
      </c>
      <c r="AB52" s="334"/>
    </row>
    <row r="53" spans="2:28" x14ac:dyDescent="0.25">
      <c r="B53" s="313"/>
      <c r="C53" s="322"/>
      <c r="D53" s="327"/>
      <c r="E53" s="327"/>
      <c r="F53" s="323"/>
      <c r="G53" s="323"/>
      <c r="H53" s="327"/>
      <c r="I53" s="327"/>
      <c r="J53" s="328"/>
      <c r="K53" s="328"/>
      <c r="L53" s="323"/>
      <c r="M53" s="323"/>
      <c r="N53" s="327"/>
      <c r="O53" s="327"/>
      <c r="P53" s="331"/>
      <c r="Q53" s="328"/>
      <c r="R53" s="328"/>
      <c r="S53" s="327"/>
      <c r="T53" s="327"/>
      <c r="U53" s="331"/>
      <c r="V53" s="331"/>
      <c r="W53" s="328"/>
      <c r="X53" s="328"/>
      <c r="Y53" s="328"/>
      <c r="Z53" s="328"/>
      <c r="AA53" s="331"/>
      <c r="AB53" s="334"/>
    </row>
    <row r="54" spans="2:28" x14ac:dyDescent="0.25">
      <c r="B54" s="313" t="s">
        <v>180</v>
      </c>
      <c r="C54" s="322">
        <v>221300</v>
      </c>
      <c r="D54" s="323">
        <v>2019</v>
      </c>
      <c r="E54" s="323"/>
      <c r="F54" s="323">
        <v>2019</v>
      </c>
      <c r="G54" s="323"/>
      <c r="H54" s="323">
        <v>2019</v>
      </c>
      <c r="I54" s="323"/>
      <c r="J54" s="323">
        <v>2019</v>
      </c>
      <c r="K54" s="323"/>
      <c r="L54" s="323">
        <v>2019</v>
      </c>
      <c r="M54" s="323"/>
      <c r="N54" s="323">
        <v>2019</v>
      </c>
      <c r="O54" s="323"/>
      <c r="P54" s="331" t="s">
        <v>169</v>
      </c>
      <c r="Q54" s="323">
        <v>2019</v>
      </c>
      <c r="R54" s="323"/>
      <c r="S54" s="323">
        <v>2019</v>
      </c>
      <c r="T54" s="323"/>
      <c r="U54" s="323">
        <v>2019</v>
      </c>
      <c r="V54" s="323"/>
      <c r="W54" s="323">
        <v>2019</v>
      </c>
      <c r="X54" s="323"/>
      <c r="Y54" s="323">
        <v>2019</v>
      </c>
      <c r="Z54" s="323"/>
      <c r="AA54" s="323">
        <v>2019</v>
      </c>
      <c r="AB54" s="332"/>
    </row>
    <row r="55" spans="2:28" x14ac:dyDescent="0.25">
      <c r="B55" s="313"/>
      <c r="C55" s="322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31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32"/>
    </row>
    <row r="56" spans="2:28" x14ac:dyDescent="0.25">
      <c r="B56" s="313" t="s">
        <v>181</v>
      </c>
      <c r="C56" s="322">
        <v>278800</v>
      </c>
      <c r="D56" s="323">
        <v>2019</v>
      </c>
      <c r="E56" s="323"/>
      <c r="F56" s="323">
        <v>2019</v>
      </c>
      <c r="G56" s="323"/>
      <c r="H56" s="323">
        <v>2019</v>
      </c>
      <c r="I56" s="323"/>
      <c r="J56" s="323">
        <v>2019</v>
      </c>
      <c r="K56" s="323"/>
      <c r="L56" s="323">
        <v>2019</v>
      </c>
      <c r="M56" s="323"/>
      <c r="N56" s="323">
        <v>2019</v>
      </c>
      <c r="O56" s="323"/>
      <c r="P56" s="323">
        <v>2019</v>
      </c>
      <c r="Q56" s="323">
        <v>2019</v>
      </c>
      <c r="R56" s="323"/>
      <c r="S56" s="323">
        <v>2019</v>
      </c>
      <c r="T56" s="323"/>
      <c r="U56" s="323">
        <v>2019</v>
      </c>
      <c r="V56" s="323"/>
      <c r="W56" s="323">
        <v>2019</v>
      </c>
      <c r="X56" s="323"/>
      <c r="Y56" s="323">
        <v>2019</v>
      </c>
      <c r="Z56" s="323"/>
      <c r="AA56" s="323">
        <v>2019</v>
      </c>
      <c r="AB56" s="332"/>
    </row>
    <row r="57" spans="2:28" x14ac:dyDescent="0.25">
      <c r="B57" s="313"/>
      <c r="C57" s="322"/>
      <c r="D57" s="323"/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32"/>
    </row>
    <row r="58" spans="2:28" x14ac:dyDescent="0.25">
      <c r="B58" s="313" t="s">
        <v>182</v>
      </c>
      <c r="C58" s="322">
        <v>222700</v>
      </c>
      <c r="D58" s="323">
        <v>2019</v>
      </c>
      <c r="E58" s="323"/>
      <c r="F58" s="323">
        <v>2019</v>
      </c>
      <c r="G58" s="323"/>
      <c r="H58" s="323">
        <v>2019</v>
      </c>
      <c r="I58" s="323"/>
      <c r="J58" s="323">
        <v>2019</v>
      </c>
      <c r="K58" s="323"/>
      <c r="L58" s="323">
        <v>2019</v>
      </c>
      <c r="M58" s="323"/>
      <c r="N58" s="323">
        <v>2019</v>
      </c>
      <c r="O58" s="323"/>
      <c r="P58" s="330" t="s">
        <v>171</v>
      </c>
      <c r="Q58" s="323">
        <v>2019</v>
      </c>
      <c r="R58" s="323"/>
      <c r="S58" s="323">
        <v>2019</v>
      </c>
      <c r="T58" s="323"/>
      <c r="U58" s="323">
        <v>2019</v>
      </c>
      <c r="V58" s="323"/>
      <c r="W58" s="323">
        <v>2019</v>
      </c>
      <c r="X58" s="323"/>
      <c r="Y58" s="323">
        <v>2019</v>
      </c>
      <c r="Z58" s="323"/>
      <c r="AA58" s="323">
        <v>2019</v>
      </c>
      <c r="AB58" s="332"/>
    </row>
    <row r="59" spans="2:28" x14ac:dyDescent="0.25">
      <c r="B59" s="313"/>
      <c r="C59" s="322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31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32"/>
    </row>
    <row r="60" spans="2:28" x14ac:dyDescent="0.25">
      <c r="B60" s="313" t="s">
        <v>183</v>
      </c>
      <c r="C60" s="322">
        <v>133500</v>
      </c>
      <c r="D60" s="323">
        <v>2020</v>
      </c>
      <c r="E60" s="323"/>
      <c r="F60" s="323">
        <v>2019</v>
      </c>
      <c r="G60" s="323"/>
      <c r="H60" s="323">
        <v>2019</v>
      </c>
      <c r="I60" s="323"/>
      <c r="J60" s="327">
        <v>2024</v>
      </c>
      <c r="K60" s="327"/>
      <c r="L60" s="323">
        <v>2019</v>
      </c>
      <c r="M60" s="323"/>
      <c r="N60" s="323">
        <v>2019</v>
      </c>
      <c r="O60" s="323"/>
      <c r="P60" s="331" t="s">
        <v>194</v>
      </c>
      <c r="Q60" s="323">
        <v>2022</v>
      </c>
      <c r="R60" s="323"/>
      <c r="S60" s="323">
        <v>2019</v>
      </c>
      <c r="T60" s="323"/>
      <c r="U60" s="330" t="s">
        <v>169</v>
      </c>
      <c r="V60" s="331"/>
      <c r="W60" s="327">
        <v>2024</v>
      </c>
      <c r="X60" s="327"/>
      <c r="Y60" s="327">
        <v>2025</v>
      </c>
      <c r="Z60" s="327"/>
      <c r="AA60" s="328">
        <v>2026</v>
      </c>
      <c r="AB60" s="346"/>
    </row>
    <row r="61" spans="2:28" x14ac:dyDescent="0.25">
      <c r="B61" s="313"/>
      <c r="C61" s="322"/>
      <c r="D61" s="323"/>
      <c r="E61" s="323"/>
      <c r="F61" s="323"/>
      <c r="G61" s="323"/>
      <c r="H61" s="323"/>
      <c r="I61" s="323"/>
      <c r="J61" s="327"/>
      <c r="K61" s="327"/>
      <c r="L61" s="323"/>
      <c r="M61" s="323"/>
      <c r="N61" s="323"/>
      <c r="O61" s="323"/>
      <c r="P61" s="331"/>
      <c r="Q61" s="323"/>
      <c r="R61" s="323"/>
      <c r="S61" s="323"/>
      <c r="T61" s="323"/>
      <c r="U61" s="331"/>
      <c r="V61" s="331"/>
      <c r="W61" s="327"/>
      <c r="X61" s="327"/>
      <c r="Y61" s="327"/>
      <c r="Z61" s="327"/>
      <c r="AA61" s="328"/>
      <c r="AB61" s="346"/>
    </row>
    <row r="62" spans="2:28" x14ac:dyDescent="0.25">
      <c r="B62" s="313" t="s">
        <v>283</v>
      </c>
      <c r="C62" s="322">
        <v>142900</v>
      </c>
      <c r="D62" s="323">
        <v>2019</v>
      </c>
      <c r="E62" s="323"/>
      <c r="F62" s="323">
        <v>2019</v>
      </c>
      <c r="G62" s="323"/>
      <c r="H62" s="323">
        <v>2019</v>
      </c>
      <c r="I62" s="323"/>
      <c r="J62" s="327">
        <v>2023</v>
      </c>
      <c r="K62" s="327"/>
      <c r="L62" s="323">
        <v>2019</v>
      </c>
      <c r="M62" s="323"/>
      <c r="N62" s="323">
        <v>2019</v>
      </c>
      <c r="O62" s="323"/>
      <c r="P62" s="331" t="s">
        <v>168</v>
      </c>
      <c r="Q62" s="323">
        <v>2020</v>
      </c>
      <c r="R62" s="323"/>
      <c r="S62" s="323">
        <v>2019</v>
      </c>
      <c r="T62" s="323"/>
      <c r="U62" s="328">
        <v>2028</v>
      </c>
      <c r="V62" s="328"/>
      <c r="W62" s="323">
        <v>2022</v>
      </c>
      <c r="X62" s="323"/>
      <c r="Y62" s="327">
        <v>2023</v>
      </c>
      <c r="Z62" s="327"/>
      <c r="AA62" s="327">
        <v>2024</v>
      </c>
      <c r="AB62" s="347"/>
    </row>
    <row r="63" spans="2:28" x14ac:dyDescent="0.25">
      <c r="B63" s="313"/>
      <c r="C63" s="322"/>
      <c r="D63" s="323"/>
      <c r="E63" s="323"/>
      <c r="F63" s="323"/>
      <c r="G63" s="323"/>
      <c r="H63" s="323"/>
      <c r="I63" s="323"/>
      <c r="J63" s="327"/>
      <c r="K63" s="327"/>
      <c r="L63" s="323"/>
      <c r="M63" s="323"/>
      <c r="N63" s="323"/>
      <c r="O63" s="323"/>
      <c r="P63" s="331"/>
      <c r="Q63" s="323"/>
      <c r="R63" s="323"/>
      <c r="S63" s="323"/>
      <c r="T63" s="323"/>
      <c r="U63" s="328"/>
      <c r="V63" s="328"/>
      <c r="W63" s="323"/>
      <c r="X63" s="323"/>
      <c r="Y63" s="327"/>
      <c r="Z63" s="327"/>
      <c r="AA63" s="327"/>
      <c r="AB63" s="347"/>
    </row>
    <row r="64" spans="2:28" x14ac:dyDescent="0.25">
      <c r="B64" s="313" t="s">
        <v>184</v>
      </c>
      <c r="C64" s="322">
        <v>152300</v>
      </c>
      <c r="D64" s="323">
        <v>2019</v>
      </c>
      <c r="E64" s="323"/>
      <c r="F64" s="323">
        <v>2019</v>
      </c>
      <c r="G64" s="323"/>
      <c r="H64" s="323">
        <v>2019</v>
      </c>
      <c r="I64" s="323"/>
      <c r="J64" s="323">
        <v>2020</v>
      </c>
      <c r="K64" s="323"/>
      <c r="L64" s="323">
        <v>2019</v>
      </c>
      <c r="M64" s="323"/>
      <c r="N64" s="323">
        <v>2019</v>
      </c>
      <c r="O64" s="323"/>
      <c r="P64" s="331" t="s">
        <v>168</v>
      </c>
      <c r="Q64" s="323">
        <v>2019</v>
      </c>
      <c r="R64" s="323"/>
      <c r="S64" s="323">
        <v>2019</v>
      </c>
      <c r="T64" s="323"/>
      <c r="U64" s="328">
        <v>2027</v>
      </c>
      <c r="V64" s="328"/>
      <c r="W64" s="323">
        <v>2020</v>
      </c>
      <c r="X64" s="323"/>
      <c r="Y64" s="323">
        <v>2020</v>
      </c>
      <c r="Z64" s="323"/>
      <c r="AA64" s="327">
        <v>2023</v>
      </c>
      <c r="AB64" s="347"/>
    </row>
    <row r="65" spans="1:28" x14ac:dyDescent="0.25">
      <c r="B65" s="313"/>
      <c r="C65" s="322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31"/>
      <c r="Q65" s="323"/>
      <c r="R65" s="323"/>
      <c r="S65" s="323"/>
      <c r="T65" s="323"/>
      <c r="U65" s="328"/>
      <c r="V65" s="328"/>
      <c r="W65" s="323"/>
      <c r="X65" s="323"/>
      <c r="Y65" s="323"/>
      <c r="Z65" s="323"/>
      <c r="AA65" s="327"/>
      <c r="AB65" s="347"/>
    </row>
    <row r="66" spans="1:28" x14ac:dyDescent="0.25">
      <c r="B66" s="313" t="s">
        <v>185</v>
      </c>
      <c r="C66" s="322">
        <v>131400</v>
      </c>
      <c r="D66" s="323">
        <v>2020</v>
      </c>
      <c r="E66" s="323"/>
      <c r="F66" s="323">
        <v>2019</v>
      </c>
      <c r="G66" s="323"/>
      <c r="H66" s="323">
        <v>2019</v>
      </c>
      <c r="I66" s="323"/>
      <c r="J66" s="327">
        <v>2025</v>
      </c>
      <c r="K66" s="327"/>
      <c r="L66" s="323">
        <v>2019</v>
      </c>
      <c r="M66" s="323"/>
      <c r="N66" s="323">
        <v>2019</v>
      </c>
      <c r="O66" s="323"/>
      <c r="P66" s="331" t="s">
        <v>168</v>
      </c>
      <c r="Q66" s="323">
        <v>2022</v>
      </c>
      <c r="R66" s="323"/>
      <c r="S66" s="323">
        <v>2019</v>
      </c>
      <c r="T66" s="323"/>
      <c r="U66" s="330" t="s">
        <v>169</v>
      </c>
      <c r="V66" s="331"/>
      <c r="W66" s="327">
        <v>2024</v>
      </c>
      <c r="X66" s="327"/>
      <c r="Y66" s="327">
        <v>2025</v>
      </c>
      <c r="Z66" s="327"/>
      <c r="AA66" s="328">
        <v>2026</v>
      </c>
      <c r="AB66" s="346"/>
    </row>
    <row r="67" spans="1:28" x14ac:dyDescent="0.25">
      <c r="B67" s="325"/>
      <c r="C67" s="326"/>
      <c r="D67" s="329"/>
      <c r="E67" s="329"/>
      <c r="F67" s="329"/>
      <c r="G67" s="329"/>
      <c r="H67" s="329"/>
      <c r="I67" s="329"/>
      <c r="J67" s="345"/>
      <c r="K67" s="345"/>
      <c r="L67" s="329"/>
      <c r="M67" s="329"/>
      <c r="N67" s="329"/>
      <c r="O67" s="329"/>
      <c r="P67" s="344"/>
      <c r="Q67" s="329"/>
      <c r="R67" s="329"/>
      <c r="S67" s="329"/>
      <c r="T67" s="329"/>
      <c r="U67" s="344"/>
      <c r="V67" s="344"/>
      <c r="W67" s="345"/>
      <c r="X67" s="345"/>
      <c r="Y67" s="345"/>
      <c r="Z67" s="345"/>
      <c r="AA67" s="348"/>
      <c r="AB67" s="349"/>
    </row>
    <row r="68" spans="1:28" x14ac:dyDescent="0.25">
      <c r="F68" s="187"/>
      <c r="G68" s="187"/>
      <c r="Q68" s="187"/>
      <c r="R68" s="187"/>
    </row>
    <row r="69" spans="1:28" x14ac:dyDescent="0.25">
      <c r="C69">
        <f>_xlfn.STDEV.P(C46,C48,C50,C52,C54,C60,C62,C64,C66)</f>
        <v>32585.674349927242</v>
      </c>
      <c r="F69" s="187"/>
      <c r="G69" s="187"/>
      <c r="Q69" s="187"/>
      <c r="R69" s="187"/>
    </row>
    <row r="71" spans="1:28" x14ac:dyDescent="0.25">
      <c r="A71" t="s">
        <v>237</v>
      </c>
      <c r="B71">
        <v>87</v>
      </c>
      <c r="C71">
        <f>B71/169</f>
        <v>0.51479289940828399</v>
      </c>
    </row>
    <row r="72" spans="1:28" x14ac:dyDescent="0.25">
      <c r="A72" t="s">
        <v>196</v>
      </c>
      <c r="B72">
        <v>25</v>
      </c>
      <c r="C72">
        <f>B72/169</f>
        <v>0.14792899408284024</v>
      </c>
    </row>
    <row r="73" spans="1:28" x14ac:dyDescent="0.25">
      <c r="A73" t="s">
        <v>238</v>
      </c>
      <c r="B73">
        <v>57</v>
      </c>
      <c r="C73">
        <f>B73/169</f>
        <v>0.33727810650887574</v>
      </c>
    </row>
    <row r="75" spans="1:28" x14ac:dyDescent="0.25">
      <c r="A75" t="s">
        <v>252</v>
      </c>
      <c r="S75">
        <f>AVERAGE(D41,H41,J41,N41,Q41,S41,W41,Y41,AA41)</f>
        <v>160144.44444444444</v>
      </c>
    </row>
    <row r="76" spans="1:28" x14ac:dyDescent="0.25">
      <c r="A76" t="s">
        <v>253</v>
      </c>
      <c r="Q76">
        <f>AVERAGE(C46,C48,C50,C52,C54,C60,C62,C64,C66)</f>
        <v>140427.77777777778</v>
      </c>
    </row>
    <row r="77" spans="1:28" x14ac:dyDescent="0.25">
      <c r="A77" t="s">
        <v>73</v>
      </c>
    </row>
    <row r="78" spans="1:28" x14ac:dyDescent="0.25">
      <c r="A78" t="s">
        <v>254</v>
      </c>
    </row>
    <row r="80" spans="1:28" x14ac:dyDescent="0.25">
      <c r="A80" t="s">
        <v>255</v>
      </c>
    </row>
    <row r="81" spans="1:3" x14ac:dyDescent="0.25">
      <c r="A81" t="s">
        <v>256</v>
      </c>
    </row>
    <row r="82" spans="1:3" x14ac:dyDescent="0.25">
      <c r="A82" t="s">
        <v>257</v>
      </c>
    </row>
    <row r="83" spans="1:3" x14ac:dyDescent="0.25">
      <c r="A83" t="s">
        <v>258</v>
      </c>
    </row>
    <row r="85" spans="1:3" x14ac:dyDescent="0.25">
      <c r="A85" t="s">
        <v>239</v>
      </c>
      <c r="B85">
        <v>42</v>
      </c>
      <c r="C85" s="183">
        <f>B85/81</f>
        <v>0.51851851851851849</v>
      </c>
    </row>
    <row r="86" spans="1:3" x14ac:dyDescent="0.25">
      <c r="A86" t="s">
        <v>240</v>
      </c>
      <c r="B86">
        <v>23</v>
      </c>
      <c r="C86" s="67">
        <f>B86/81</f>
        <v>0.2839506172839506</v>
      </c>
    </row>
    <row r="87" spans="1:3" x14ac:dyDescent="0.25">
      <c r="A87" t="s">
        <v>241</v>
      </c>
      <c r="B87">
        <v>14</v>
      </c>
      <c r="C87" s="68">
        <f>B87/81</f>
        <v>0.1728395061728395</v>
      </c>
    </row>
    <row r="88" spans="1:3" x14ac:dyDescent="0.25">
      <c r="A88" t="s">
        <v>171</v>
      </c>
      <c r="B88">
        <v>2</v>
      </c>
      <c r="C88" s="69">
        <f>B88/81</f>
        <v>2.4691358024691357E-2</v>
      </c>
    </row>
  </sheetData>
  <mergeCells count="220">
    <mergeCell ref="S60:T61"/>
    <mergeCell ref="U60:V61"/>
    <mergeCell ref="W60:X61"/>
    <mergeCell ref="Y60:Z61"/>
    <mergeCell ref="AA60:AB61"/>
    <mergeCell ref="S66:T67"/>
    <mergeCell ref="U66:V67"/>
    <mergeCell ref="W66:X67"/>
    <mergeCell ref="Y66:Z67"/>
    <mergeCell ref="AA66:AB67"/>
    <mergeCell ref="S62:T63"/>
    <mergeCell ref="U62:V63"/>
    <mergeCell ref="W62:X63"/>
    <mergeCell ref="Y62:Z63"/>
    <mergeCell ref="AA62:AB63"/>
    <mergeCell ref="S64:T65"/>
    <mergeCell ref="U64:V65"/>
    <mergeCell ref="W64:X65"/>
    <mergeCell ref="Y64:Z65"/>
    <mergeCell ref="AA64:AB65"/>
    <mergeCell ref="S56:T57"/>
    <mergeCell ref="U56:V57"/>
    <mergeCell ref="W56:X57"/>
    <mergeCell ref="Y56:Z57"/>
    <mergeCell ref="AA56:AB57"/>
    <mergeCell ref="S58:T59"/>
    <mergeCell ref="U58:V59"/>
    <mergeCell ref="W58:X59"/>
    <mergeCell ref="Y58:Z59"/>
    <mergeCell ref="AA58:AB59"/>
    <mergeCell ref="AA50:AB51"/>
    <mergeCell ref="S52:T53"/>
    <mergeCell ref="U52:V53"/>
    <mergeCell ref="W52:X53"/>
    <mergeCell ref="Y52:Z53"/>
    <mergeCell ref="AA52:AB53"/>
    <mergeCell ref="S54:T55"/>
    <mergeCell ref="U54:V55"/>
    <mergeCell ref="W54:X55"/>
    <mergeCell ref="Y54:Z55"/>
    <mergeCell ref="AA54:AB55"/>
    <mergeCell ref="S50:T51"/>
    <mergeCell ref="U50:V51"/>
    <mergeCell ref="W50:X51"/>
    <mergeCell ref="Y50:Z51"/>
    <mergeCell ref="AA46:AB47"/>
    <mergeCell ref="S48:T49"/>
    <mergeCell ref="U48:V49"/>
    <mergeCell ref="W48:X49"/>
    <mergeCell ref="Y48:Z49"/>
    <mergeCell ref="AA48:AB49"/>
    <mergeCell ref="AA42:AB43"/>
    <mergeCell ref="S44:T45"/>
    <mergeCell ref="U44:V45"/>
    <mergeCell ref="W44:X45"/>
    <mergeCell ref="Y44:Z45"/>
    <mergeCell ref="AA44:AB45"/>
    <mergeCell ref="S42:T43"/>
    <mergeCell ref="U42:V43"/>
    <mergeCell ref="W42:X43"/>
    <mergeCell ref="Y42:Z43"/>
    <mergeCell ref="S46:T47"/>
    <mergeCell ref="U46:V47"/>
    <mergeCell ref="W46:X47"/>
    <mergeCell ref="Y46:Z47"/>
    <mergeCell ref="Q56:R57"/>
    <mergeCell ref="Q58:R59"/>
    <mergeCell ref="Q60:R61"/>
    <mergeCell ref="Q62:R63"/>
    <mergeCell ref="Q64:R65"/>
    <mergeCell ref="Q42:R43"/>
    <mergeCell ref="Q44:R45"/>
    <mergeCell ref="Q46:R47"/>
    <mergeCell ref="Q48:R49"/>
    <mergeCell ref="Q50:R51"/>
    <mergeCell ref="Q52:R53"/>
    <mergeCell ref="Q54:R55"/>
    <mergeCell ref="P64:P65"/>
    <mergeCell ref="P66:P67"/>
    <mergeCell ref="J66:K67"/>
    <mergeCell ref="L66:M67"/>
    <mergeCell ref="N66:O67"/>
    <mergeCell ref="J64:K65"/>
    <mergeCell ref="L64:M65"/>
    <mergeCell ref="N64:O65"/>
    <mergeCell ref="Q66:R67"/>
    <mergeCell ref="P54:P55"/>
    <mergeCell ref="J62:K63"/>
    <mergeCell ref="L62:M63"/>
    <mergeCell ref="N62:O63"/>
    <mergeCell ref="J58:K59"/>
    <mergeCell ref="L58:M59"/>
    <mergeCell ref="N58:O59"/>
    <mergeCell ref="J60:K61"/>
    <mergeCell ref="L60:M61"/>
    <mergeCell ref="N60:O61"/>
    <mergeCell ref="J54:K55"/>
    <mergeCell ref="L54:M55"/>
    <mergeCell ref="N54:O55"/>
    <mergeCell ref="J56:K57"/>
    <mergeCell ref="L56:M57"/>
    <mergeCell ref="N56:O57"/>
    <mergeCell ref="P56:P57"/>
    <mergeCell ref="P58:P59"/>
    <mergeCell ref="P60:P61"/>
    <mergeCell ref="P62:P63"/>
    <mergeCell ref="J48:K49"/>
    <mergeCell ref="L48:M49"/>
    <mergeCell ref="N48:O49"/>
    <mergeCell ref="P42:P43"/>
    <mergeCell ref="P44:P45"/>
    <mergeCell ref="P46:P47"/>
    <mergeCell ref="P48:P49"/>
    <mergeCell ref="P50:P51"/>
    <mergeCell ref="P52:P53"/>
    <mergeCell ref="J50:K51"/>
    <mergeCell ref="L50:M51"/>
    <mergeCell ref="H62:I63"/>
    <mergeCell ref="H64:I65"/>
    <mergeCell ref="H66:I67"/>
    <mergeCell ref="F64:G65"/>
    <mergeCell ref="F66:G67"/>
    <mergeCell ref="H42:I43"/>
    <mergeCell ref="H44:I45"/>
    <mergeCell ref="H46:I47"/>
    <mergeCell ref="H48:I49"/>
    <mergeCell ref="H50:I51"/>
    <mergeCell ref="H52:I53"/>
    <mergeCell ref="H54:I55"/>
    <mergeCell ref="H56:I57"/>
    <mergeCell ref="H58:I59"/>
    <mergeCell ref="H60:I61"/>
    <mergeCell ref="D66:E67"/>
    <mergeCell ref="F46:G47"/>
    <mergeCell ref="F48:G49"/>
    <mergeCell ref="F50:G51"/>
    <mergeCell ref="F52:G53"/>
    <mergeCell ref="F54:G55"/>
    <mergeCell ref="F56:G57"/>
    <mergeCell ref="F58:G59"/>
    <mergeCell ref="F60:G61"/>
    <mergeCell ref="F62:G63"/>
    <mergeCell ref="D54:E55"/>
    <mergeCell ref="D56:E57"/>
    <mergeCell ref="D58:E59"/>
    <mergeCell ref="D60:E61"/>
    <mergeCell ref="D62:E63"/>
    <mergeCell ref="D64:E65"/>
    <mergeCell ref="B66:B67"/>
    <mergeCell ref="C66:C67"/>
    <mergeCell ref="D42:E43"/>
    <mergeCell ref="D44:E45"/>
    <mergeCell ref="F42:G43"/>
    <mergeCell ref="F44:G45"/>
    <mergeCell ref="D46:E47"/>
    <mergeCell ref="D48:E49"/>
    <mergeCell ref="D50:E51"/>
    <mergeCell ref="D52:E53"/>
    <mergeCell ref="B60:B61"/>
    <mergeCell ref="C60:C61"/>
    <mergeCell ref="B62:B63"/>
    <mergeCell ref="C62:C63"/>
    <mergeCell ref="B64:B65"/>
    <mergeCell ref="C64:C65"/>
    <mergeCell ref="B54:B55"/>
    <mergeCell ref="C54:C55"/>
    <mergeCell ref="B56:B57"/>
    <mergeCell ref="C56:C57"/>
    <mergeCell ref="B58:B59"/>
    <mergeCell ref="C58:C59"/>
    <mergeCell ref="B48:B49"/>
    <mergeCell ref="C48:C49"/>
    <mergeCell ref="N41:O41"/>
    <mergeCell ref="B50:B51"/>
    <mergeCell ref="C50:C51"/>
    <mergeCell ref="B52:B53"/>
    <mergeCell ref="C52:C53"/>
    <mergeCell ref="B42:B43"/>
    <mergeCell ref="C42:C43"/>
    <mergeCell ref="B44:B45"/>
    <mergeCell ref="C44:C45"/>
    <mergeCell ref="B46:B47"/>
    <mergeCell ref="C46:C47"/>
    <mergeCell ref="J42:K43"/>
    <mergeCell ref="L42:M43"/>
    <mergeCell ref="N42:O43"/>
    <mergeCell ref="J44:K45"/>
    <mergeCell ref="L44:M45"/>
    <mergeCell ref="N44:O45"/>
    <mergeCell ref="N50:O51"/>
    <mergeCell ref="J52:K53"/>
    <mergeCell ref="L52:M53"/>
    <mergeCell ref="N52:O53"/>
    <mergeCell ref="J46:K47"/>
    <mergeCell ref="L46:M47"/>
    <mergeCell ref="N46:O47"/>
    <mergeCell ref="B40:C41"/>
    <mergeCell ref="Q40:R40"/>
    <mergeCell ref="S40:T40"/>
    <mergeCell ref="U40:V40"/>
    <mergeCell ref="W40:X40"/>
    <mergeCell ref="Y40:Z40"/>
    <mergeCell ref="AA40:AB40"/>
    <mergeCell ref="D40:E40"/>
    <mergeCell ref="F40:G40"/>
    <mergeCell ref="H40:I40"/>
    <mergeCell ref="J40:K40"/>
    <mergeCell ref="L40:M40"/>
    <mergeCell ref="N40:O40"/>
    <mergeCell ref="Q41:R41"/>
    <mergeCell ref="S41:T41"/>
    <mergeCell ref="U41:V41"/>
    <mergeCell ref="W41:X41"/>
    <mergeCell ref="Y41:Z41"/>
    <mergeCell ref="AA41:AB41"/>
    <mergeCell ref="D41:E41"/>
    <mergeCell ref="F41:G41"/>
    <mergeCell ref="H41:I41"/>
    <mergeCell ref="J41:K41"/>
    <mergeCell ref="L41:M41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7"/>
  <sheetViews>
    <sheetView topLeftCell="A4" zoomScaleNormal="100" workbookViewId="0">
      <selection activeCell="C4" sqref="C4:O34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147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174800</v>
      </c>
      <c r="E6" s="75">
        <f>D6-((D16-E16)+(D17-E17)+(D18-E18))</f>
        <v>162760</v>
      </c>
      <c r="F6" s="76">
        <f t="shared" ref="F6:O6" si="0">E6-((E16-F16)+(E17-F17)+(E18-F18))</f>
        <v>151904</v>
      </c>
      <c r="G6" s="76">
        <f t="shared" si="0"/>
        <v>142113.60000000001</v>
      </c>
      <c r="H6" s="77">
        <f t="shared" si="0"/>
        <v>133282.23999999999</v>
      </c>
      <c r="I6" s="77">
        <f t="shared" si="0"/>
        <v>125314.01599999999</v>
      </c>
      <c r="J6" s="77">
        <f t="shared" si="0"/>
        <v>118122.61439999999</v>
      </c>
      <c r="K6" s="78">
        <f t="shared" si="0"/>
        <v>111630.35295999999</v>
      </c>
      <c r="L6" s="78">
        <f t="shared" si="0"/>
        <v>105767.31766399999</v>
      </c>
      <c r="M6" s="78">
        <f t="shared" si="0"/>
        <v>100470.58589759999</v>
      </c>
      <c r="N6" s="78">
        <f t="shared" si="0"/>
        <v>95683.527307839991</v>
      </c>
      <c r="O6" s="104">
        <f t="shared" si="0"/>
        <v>91355.174577055994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15190.400000000001</v>
      </c>
      <c r="G7" s="76">
        <f t="shared" ref="G7:O7" si="1">G6*0.1</f>
        <v>14211.36</v>
      </c>
      <c r="H7" s="77">
        <f t="shared" si="1"/>
        <v>13328.224</v>
      </c>
      <c r="I7" s="77">
        <f t="shared" si="1"/>
        <v>12531.401599999999</v>
      </c>
      <c r="J7" s="77">
        <f t="shared" si="1"/>
        <v>11812.26144</v>
      </c>
      <c r="K7" s="78">
        <f t="shared" si="1"/>
        <v>11163.035296</v>
      </c>
      <c r="L7" s="78">
        <f t="shared" si="1"/>
        <v>10576.7317664</v>
      </c>
      <c r="M7" s="78">
        <f t="shared" si="1"/>
        <v>10047.058589759999</v>
      </c>
      <c r="N7" s="78">
        <f t="shared" si="1"/>
        <v>9568.3527307839995</v>
      </c>
      <c r="O7" s="104">
        <f t="shared" si="1"/>
        <v>9135.5174577056005</v>
      </c>
    </row>
    <row r="8" spans="3:15" ht="15" thickBot="1" x14ac:dyDescent="0.3">
      <c r="C8" s="102" t="s">
        <v>48</v>
      </c>
      <c r="D8" s="79">
        <f>D6+D7</f>
        <v>174800</v>
      </c>
      <c r="E8" s="80">
        <f t="shared" ref="E8:O8" si="2">E6+E7</f>
        <v>162760</v>
      </c>
      <c r="F8" s="80">
        <f t="shared" si="2"/>
        <v>167094.39999999999</v>
      </c>
      <c r="G8" s="80">
        <f t="shared" si="2"/>
        <v>156324.96000000002</v>
      </c>
      <c r="H8" s="81">
        <f t="shared" si="2"/>
        <v>146610.46399999998</v>
      </c>
      <c r="I8" s="81">
        <f t="shared" si="2"/>
        <v>137845.41759999999</v>
      </c>
      <c r="J8" s="133">
        <f t="shared" si="2"/>
        <v>129934.87583999999</v>
      </c>
      <c r="K8" s="82">
        <f t="shared" si="2"/>
        <v>122793.38825599999</v>
      </c>
      <c r="L8" s="82">
        <f t="shared" si="2"/>
        <v>116344.04943039999</v>
      </c>
      <c r="M8" s="82">
        <f t="shared" si="2"/>
        <v>110517.64448735998</v>
      </c>
      <c r="N8" s="82">
        <f t="shared" si="2"/>
        <v>105251.88003862399</v>
      </c>
      <c r="O8" s="105">
        <f t="shared" si="2"/>
        <v>100490.6920347616</v>
      </c>
    </row>
    <row r="9" spans="3:15" x14ac:dyDescent="0.25">
      <c r="C9" s="102" t="s">
        <v>49</v>
      </c>
      <c r="D9" s="79">
        <f>D6*0.05</f>
        <v>8740</v>
      </c>
      <c r="E9" s="80">
        <f t="shared" ref="E9:O9" si="3">E6*0.05</f>
        <v>8138</v>
      </c>
      <c r="F9" s="80">
        <f t="shared" si="3"/>
        <v>7595.2000000000007</v>
      </c>
      <c r="G9" s="80">
        <f t="shared" si="3"/>
        <v>7105.68</v>
      </c>
      <c r="H9" s="81">
        <f t="shared" si="3"/>
        <v>6664.1120000000001</v>
      </c>
      <c r="I9" s="81">
        <f t="shared" si="3"/>
        <v>6265.7007999999996</v>
      </c>
      <c r="J9" s="81">
        <f t="shared" si="3"/>
        <v>5906.1307200000001</v>
      </c>
      <c r="K9" s="82">
        <f t="shared" si="3"/>
        <v>5581.517648</v>
      </c>
      <c r="L9" s="82">
        <f t="shared" si="3"/>
        <v>5288.3658832000001</v>
      </c>
      <c r="M9" s="82">
        <f t="shared" si="3"/>
        <v>5023.5292948799997</v>
      </c>
      <c r="N9" s="82">
        <f t="shared" si="3"/>
        <v>4784.1763653919998</v>
      </c>
      <c r="O9" s="105">
        <f t="shared" si="3"/>
        <v>4567.7587288528002</v>
      </c>
    </row>
    <row r="10" spans="3:15" x14ac:dyDescent="0.25">
      <c r="C10" s="102" t="s">
        <v>66</v>
      </c>
      <c r="D10" s="79">
        <v>420</v>
      </c>
      <c r="E10" s="80">
        <v>420</v>
      </c>
      <c r="F10" s="80">
        <v>420</v>
      </c>
      <c r="G10" s="80">
        <v>420</v>
      </c>
      <c r="H10" s="81">
        <v>420</v>
      </c>
      <c r="I10" s="81">
        <v>420</v>
      </c>
      <c r="J10" s="81">
        <v>420</v>
      </c>
      <c r="K10" s="82">
        <v>420</v>
      </c>
      <c r="L10" s="82">
        <v>420</v>
      </c>
      <c r="M10" s="82">
        <v>420</v>
      </c>
      <c r="N10" s="82">
        <v>420</v>
      </c>
      <c r="O10" s="105">
        <v>420</v>
      </c>
    </row>
    <row r="11" spans="3:15" x14ac:dyDescent="0.25">
      <c r="C11" s="102" t="s">
        <v>65</v>
      </c>
      <c r="D11" s="83">
        <v>69.5</v>
      </c>
      <c r="E11" s="80">
        <v>69.5</v>
      </c>
      <c r="F11" s="80">
        <v>69.5</v>
      </c>
      <c r="G11" s="80">
        <v>69.5</v>
      </c>
      <c r="H11" s="81">
        <v>69.5</v>
      </c>
      <c r="I11" s="81">
        <v>69.5</v>
      </c>
      <c r="J11" s="81">
        <v>69.5</v>
      </c>
      <c r="K11" s="82">
        <v>69.5</v>
      </c>
      <c r="L11" s="82">
        <v>69.5</v>
      </c>
      <c r="M11" s="82">
        <v>69.5</v>
      </c>
      <c r="N11" s="82">
        <v>69.5</v>
      </c>
      <c r="O11" s="105">
        <v>69.5</v>
      </c>
    </row>
    <row r="12" spans="3:15" x14ac:dyDescent="0.25">
      <c r="C12" s="102" t="s">
        <v>72</v>
      </c>
      <c r="D12" s="83">
        <v>1.2</v>
      </c>
      <c r="E12" s="301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 t="shared" si="4"/>
        <v>0.5739562800000001</v>
      </c>
      <c r="L12" s="89">
        <f t="shared" si="4"/>
        <v>0.51656065200000012</v>
      </c>
      <c r="M12" s="89">
        <f t="shared" si="4"/>
        <v>0.46490458680000013</v>
      </c>
      <c r="N12" s="89">
        <f t="shared" si="4"/>
        <v>0.41841412812000012</v>
      </c>
      <c r="O12" s="107">
        <f t="shared" si="4"/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201060</v>
      </c>
      <c r="E14" s="80">
        <f t="shared" si="5"/>
        <v>189622</v>
      </c>
      <c r="F14" s="80">
        <f t="shared" si="5"/>
        <v>144308.79999999999</v>
      </c>
      <c r="G14" s="80">
        <f t="shared" si="5"/>
        <v>135007.92000000001</v>
      </c>
      <c r="H14" s="81">
        <f t="shared" si="5"/>
        <v>126618.128</v>
      </c>
      <c r="I14" s="81">
        <f t="shared" si="5"/>
        <v>119048.31519999998</v>
      </c>
      <c r="J14" s="81">
        <f t="shared" si="5"/>
        <v>112216.48367999999</v>
      </c>
      <c r="K14" s="82">
        <f t="shared" si="5"/>
        <v>106048.835312</v>
      </c>
      <c r="L14" s="82">
        <f t="shared" si="5"/>
        <v>100478.95178079998</v>
      </c>
      <c r="M14" s="82">
        <f t="shared" si="5"/>
        <v>95447.056602719982</v>
      </c>
      <c r="N14" s="82">
        <f t="shared" si="5"/>
        <v>90899.350942447985</v>
      </c>
      <c r="O14" s="105">
        <f t="shared" si="5"/>
        <v>86787.415848203193</v>
      </c>
    </row>
    <row r="15" spans="3:15" x14ac:dyDescent="0.25">
      <c r="C15" s="102" t="s">
        <v>68</v>
      </c>
      <c r="D15" s="79">
        <f>D14*0.87</f>
        <v>174922.2</v>
      </c>
      <c r="E15" s="80">
        <f t="shared" ref="E15:O15" si="6">E14*0.87</f>
        <v>164971.13999999998</v>
      </c>
      <c r="F15" s="80">
        <f t="shared" si="6"/>
        <v>125548.65599999999</v>
      </c>
      <c r="G15" s="80">
        <f t="shared" si="6"/>
        <v>117456.8904</v>
      </c>
      <c r="H15" s="81">
        <f t="shared" si="6"/>
        <v>110157.77136</v>
      </c>
      <c r="I15" s="81">
        <f t="shared" si="6"/>
        <v>103572.03422399999</v>
      </c>
      <c r="J15" s="81">
        <f t="shared" si="6"/>
        <v>97628.340801599988</v>
      </c>
      <c r="K15" s="82">
        <f t="shared" si="6"/>
        <v>92262.48672144</v>
      </c>
      <c r="L15" s="82">
        <f t="shared" si="6"/>
        <v>87416.688049295975</v>
      </c>
      <c r="M15" s="82">
        <f t="shared" si="6"/>
        <v>83038.939244366382</v>
      </c>
      <c r="N15" s="82">
        <f t="shared" si="6"/>
        <v>79082.435319929747</v>
      </c>
      <c r="O15" s="105">
        <f t="shared" si="6"/>
        <v>75505.051787936784</v>
      </c>
    </row>
    <row r="16" spans="3:15" x14ac:dyDescent="0.25">
      <c r="C16" s="102" t="s">
        <v>52</v>
      </c>
      <c r="D16" s="93">
        <f t="shared" ref="D16:O16" si="7">D12*1000*D11</f>
        <v>83400</v>
      </c>
      <c r="E16" s="71">
        <f t="shared" si="7"/>
        <v>75060</v>
      </c>
      <c r="F16" s="71">
        <f t="shared" si="7"/>
        <v>67554.000000000015</v>
      </c>
      <c r="G16" s="71">
        <f t="shared" si="7"/>
        <v>60798.600000000013</v>
      </c>
      <c r="H16" s="72">
        <f t="shared" si="7"/>
        <v>54718.740000000013</v>
      </c>
      <c r="I16" s="72">
        <f t="shared" si="7"/>
        <v>49246.866000000009</v>
      </c>
      <c r="J16" s="72">
        <f t="shared" si="7"/>
        <v>44322.179400000008</v>
      </c>
      <c r="K16" s="73">
        <f t="shared" si="7"/>
        <v>39889.961460000006</v>
      </c>
      <c r="L16" s="73">
        <f t="shared" si="7"/>
        <v>35900.965314000008</v>
      </c>
      <c r="M16" s="73">
        <f t="shared" si="7"/>
        <v>32310.86878260001</v>
      </c>
      <c r="N16" s="73">
        <f t="shared" si="7"/>
        <v>29079.781904340009</v>
      </c>
      <c r="O16" s="103">
        <f t="shared" si="7"/>
        <v>26171.803713906007</v>
      </c>
    </row>
    <row r="17" spans="3:15" ht="28.8" x14ac:dyDescent="0.25">
      <c r="C17" s="109" t="s">
        <v>53</v>
      </c>
      <c r="D17" s="70">
        <v>15000</v>
      </c>
      <c r="E17" s="90">
        <f>D17-200</f>
        <v>14800</v>
      </c>
      <c r="F17" s="90">
        <f t="shared" ref="F17:O17" si="8">E17-200</f>
        <v>14600</v>
      </c>
      <c r="G17" s="90">
        <f t="shared" si="8"/>
        <v>14400</v>
      </c>
      <c r="H17" s="94">
        <f t="shared" si="8"/>
        <v>14200</v>
      </c>
      <c r="I17" s="94">
        <f t="shared" si="8"/>
        <v>14000</v>
      </c>
      <c r="J17" s="94">
        <f t="shared" si="8"/>
        <v>13800</v>
      </c>
      <c r="K17" s="95">
        <f t="shared" si="8"/>
        <v>13600</v>
      </c>
      <c r="L17" s="95">
        <f t="shared" si="8"/>
        <v>13400</v>
      </c>
      <c r="M17" s="95">
        <f t="shared" si="8"/>
        <v>13200</v>
      </c>
      <c r="N17" s="95">
        <f t="shared" si="8"/>
        <v>13000</v>
      </c>
      <c r="O17" s="110">
        <f t="shared" si="8"/>
        <v>12800</v>
      </c>
    </row>
    <row r="18" spans="3:15" x14ac:dyDescent="0.25">
      <c r="C18" s="102" t="s">
        <v>54</v>
      </c>
      <c r="D18" s="96">
        <v>35000</v>
      </c>
      <c r="E18" s="97">
        <f>D18*0.9</f>
        <v>31500</v>
      </c>
      <c r="F18" s="97">
        <f t="shared" ref="F18:O18" si="9">E18*0.9</f>
        <v>28350</v>
      </c>
      <c r="G18" s="97">
        <f t="shared" si="9"/>
        <v>25515</v>
      </c>
      <c r="H18" s="94">
        <f t="shared" si="9"/>
        <v>22963.5</v>
      </c>
      <c r="I18" s="94">
        <f t="shared" si="9"/>
        <v>20667.150000000001</v>
      </c>
      <c r="J18" s="94">
        <f t="shared" si="9"/>
        <v>18600.435000000001</v>
      </c>
      <c r="K18" s="95">
        <f t="shared" si="9"/>
        <v>16740.391500000002</v>
      </c>
      <c r="L18" s="95">
        <f t="shared" si="9"/>
        <v>15066.352350000001</v>
      </c>
      <c r="M18" s="95">
        <f t="shared" si="9"/>
        <v>13559.717115000001</v>
      </c>
      <c r="N18" s="95">
        <f t="shared" si="9"/>
        <v>12203.745403500001</v>
      </c>
      <c r="O18" s="110">
        <f t="shared" si="9"/>
        <v>10983.370863150001</v>
      </c>
    </row>
    <row r="19" spans="3:15" ht="15" thickBot="1" x14ac:dyDescent="0.3">
      <c r="C19" s="102" t="s">
        <v>71</v>
      </c>
      <c r="D19" s="79">
        <f>D15-D16-D17-D18</f>
        <v>41522.200000000012</v>
      </c>
      <c r="E19" s="80">
        <f t="shared" ref="E19:O19" si="10">E15-E16-E17-E18</f>
        <v>43611.139999999985</v>
      </c>
      <c r="F19" s="80">
        <f t="shared" si="10"/>
        <v>15044.655999999974</v>
      </c>
      <c r="G19" s="80">
        <f t="shared" si="10"/>
        <v>16743.290399999991</v>
      </c>
      <c r="H19" s="81">
        <f t="shared" si="10"/>
        <v>18275.531359999986</v>
      </c>
      <c r="I19" s="81">
        <f t="shared" si="10"/>
        <v>19658.018223999978</v>
      </c>
      <c r="J19" s="81">
        <f t="shared" si="10"/>
        <v>20905.726401599979</v>
      </c>
      <c r="K19" s="82">
        <f t="shared" si="10"/>
        <v>22032.133761439993</v>
      </c>
      <c r="L19" s="82">
        <f t="shared" si="10"/>
        <v>23049.370385295966</v>
      </c>
      <c r="M19" s="82">
        <f t="shared" si="10"/>
        <v>23968.353346766373</v>
      </c>
      <c r="N19" s="82">
        <f t="shared" si="10"/>
        <v>24798.908012089738</v>
      </c>
      <c r="O19" s="105">
        <f t="shared" si="10"/>
        <v>25549.877210880779</v>
      </c>
    </row>
    <row r="20" spans="3:15" ht="15" thickBot="1" x14ac:dyDescent="0.3">
      <c r="C20" s="111" t="s">
        <v>70</v>
      </c>
      <c r="D20" s="138">
        <f>D19/D14</f>
        <v>0.20651646274743862</v>
      </c>
      <c r="E20" s="137">
        <f t="shared" ref="E20:O20" si="11">E19/E14</f>
        <v>0.22998987459261047</v>
      </c>
      <c r="F20" s="113">
        <f t="shared" si="11"/>
        <v>0.1042532125552979</v>
      </c>
      <c r="G20" s="113">
        <f t="shared" si="11"/>
        <v>0.12401709766360365</v>
      </c>
      <c r="H20" s="114">
        <f t="shared" si="11"/>
        <v>0.1443358202231515</v>
      </c>
      <c r="I20" s="114">
        <f t="shared" si="11"/>
        <v>0.16512638747532632</v>
      </c>
      <c r="J20" s="176">
        <f t="shared" si="11"/>
        <v>0.18629817755843606</v>
      </c>
      <c r="K20" s="177">
        <f t="shared" si="11"/>
        <v>0.20775460377872662</v>
      </c>
      <c r="L20" s="177">
        <f t="shared" si="11"/>
        <v>0.22939501235621323</v>
      </c>
      <c r="M20" s="177">
        <f t="shared" si="11"/>
        <v>0.25111673633404991</v>
      </c>
      <c r="N20" s="177">
        <f t="shared" si="11"/>
        <v>0.272817217669584</v>
      </c>
      <c r="O20" s="178">
        <f t="shared" si="11"/>
        <v>0.29439610525527304</v>
      </c>
    </row>
    <row r="21" spans="3:15" x14ac:dyDescent="0.25">
      <c r="C21" s="131" t="s">
        <v>76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115800</v>
      </c>
      <c r="E23" s="87">
        <f>D23+(E29-D29)+(E30-D30)</f>
        <v>116400</v>
      </c>
      <c r="F23" s="87">
        <f t="shared" ref="F23:O23" si="12">E23+(F29-E29)+(F30-E30)</f>
        <v>117012</v>
      </c>
      <c r="G23" s="87">
        <f t="shared" si="12"/>
        <v>117636.24</v>
      </c>
      <c r="H23" s="88">
        <f t="shared" si="12"/>
        <v>118272.9648</v>
      </c>
      <c r="I23" s="88">
        <f t="shared" si="12"/>
        <v>118922.424096</v>
      </c>
      <c r="J23" s="88">
        <f t="shared" si="12"/>
        <v>119584.87257792</v>
      </c>
      <c r="K23" s="89">
        <f t="shared" si="12"/>
        <v>120260.5700294784</v>
      </c>
      <c r="L23" s="89">
        <f t="shared" si="12"/>
        <v>120949.78143006796</v>
      </c>
      <c r="M23" s="89">
        <f t="shared" si="12"/>
        <v>121652.77705866931</v>
      </c>
      <c r="N23" s="89">
        <f t="shared" si="12"/>
        <v>122369.83259984269</v>
      </c>
      <c r="O23" s="107">
        <f t="shared" si="12"/>
        <v>123101.22925183956</v>
      </c>
    </row>
    <row r="24" spans="3:15" ht="15" thickBot="1" x14ac:dyDescent="0.3">
      <c r="C24" s="102" t="s">
        <v>46</v>
      </c>
      <c r="D24" s="117">
        <f>D23*0.1</f>
        <v>11580</v>
      </c>
      <c r="E24" s="76">
        <f t="shared" ref="E24:O24" si="13">E23*0.1</f>
        <v>11640</v>
      </c>
      <c r="F24" s="76">
        <f t="shared" si="13"/>
        <v>11701.2</v>
      </c>
      <c r="G24" s="76">
        <f t="shared" si="13"/>
        <v>11763.624000000002</v>
      </c>
      <c r="H24" s="77">
        <f t="shared" si="13"/>
        <v>11827.296480000001</v>
      </c>
      <c r="I24" s="77">
        <f t="shared" si="13"/>
        <v>11892.242409600001</v>
      </c>
      <c r="J24" s="77">
        <f t="shared" si="13"/>
        <v>11958.487257792001</v>
      </c>
      <c r="K24" s="78">
        <f t="shared" si="13"/>
        <v>12026.05700294784</v>
      </c>
      <c r="L24" s="78">
        <f t="shared" si="13"/>
        <v>12094.978143006796</v>
      </c>
      <c r="M24" s="78">
        <f t="shared" si="13"/>
        <v>12165.277705866931</v>
      </c>
      <c r="N24" s="78">
        <f t="shared" si="13"/>
        <v>12236.98325998427</v>
      </c>
      <c r="O24" s="104">
        <f t="shared" si="13"/>
        <v>12310.122925183956</v>
      </c>
    </row>
    <row r="25" spans="3:15" ht="15" thickBot="1" x14ac:dyDescent="0.3">
      <c r="C25" s="102" t="s">
        <v>56</v>
      </c>
      <c r="D25" s="93">
        <f>D23+D24</f>
        <v>127380</v>
      </c>
      <c r="E25" s="71">
        <f t="shared" ref="E25:O25" si="14">E23+E24</f>
        <v>128040</v>
      </c>
      <c r="F25" s="71">
        <f t="shared" si="14"/>
        <v>128713.2</v>
      </c>
      <c r="G25" s="135">
        <f t="shared" si="14"/>
        <v>129399.864</v>
      </c>
      <c r="H25" s="72">
        <f t="shared" si="14"/>
        <v>130100.26128000001</v>
      </c>
      <c r="I25" s="72">
        <f t="shared" si="14"/>
        <v>130814.66650560001</v>
      </c>
      <c r="J25" s="134">
        <f t="shared" si="14"/>
        <v>131543.35983571201</v>
      </c>
      <c r="K25" s="73">
        <f t="shared" si="14"/>
        <v>132286.62703242624</v>
      </c>
      <c r="L25" s="73">
        <f t="shared" si="14"/>
        <v>133044.75957307476</v>
      </c>
      <c r="M25" s="73">
        <f t="shared" si="14"/>
        <v>133818.05476453624</v>
      </c>
      <c r="N25" s="73">
        <f t="shared" si="14"/>
        <v>134606.81585982695</v>
      </c>
      <c r="O25" s="103">
        <f t="shared" si="14"/>
        <v>135411.35217702351</v>
      </c>
    </row>
    <row r="26" spans="3:15" x14ac:dyDescent="0.25">
      <c r="C26" s="102" t="s">
        <v>57</v>
      </c>
      <c r="D26" s="79">
        <f>D23*0.05</f>
        <v>5790</v>
      </c>
      <c r="E26" s="80">
        <f t="shared" ref="E26:O26" si="15">E23*0.05</f>
        <v>5820</v>
      </c>
      <c r="F26" s="80">
        <f t="shared" si="15"/>
        <v>5850.6</v>
      </c>
      <c r="G26" s="80">
        <f t="shared" si="15"/>
        <v>5881.8120000000008</v>
      </c>
      <c r="H26" s="81">
        <f t="shared" si="15"/>
        <v>5913.6482400000004</v>
      </c>
      <c r="I26" s="81">
        <f t="shared" si="15"/>
        <v>5946.1212048000007</v>
      </c>
      <c r="J26" s="81">
        <f t="shared" si="15"/>
        <v>5979.2436288960007</v>
      </c>
      <c r="K26" s="82">
        <f t="shared" si="15"/>
        <v>6013.0285014739202</v>
      </c>
      <c r="L26" s="82">
        <f t="shared" si="15"/>
        <v>6047.489071503398</v>
      </c>
      <c r="M26" s="82">
        <f t="shared" si="15"/>
        <v>6082.6388529334654</v>
      </c>
      <c r="N26" s="82">
        <f t="shared" si="15"/>
        <v>6118.4916299921351</v>
      </c>
      <c r="O26" s="105">
        <f t="shared" si="15"/>
        <v>6155.0614625919779</v>
      </c>
    </row>
    <row r="27" spans="3:15" x14ac:dyDescent="0.25">
      <c r="C27" s="102" t="s">
        <v>58</v>
      </c>
      <c r="D27" s="79">
        <f>D23-D26</f>
        <v>110010</v>
      </c>
      <c r="E27" s="80">
        <f t="shared" ref="E27:O27" si="16">E23-E26</f>
        <v>110580</v>
      </c>
      <c r="F27" s="80">
        <f t="shared" si="16"/>
        <v>111161.4</v>
      </c>
      <c r="G27" s="80">
        <f t="shared" si="16"/>
        <v>111754.428</v>
      </c>
      <c r="H27" s="81">
        <f t="shared" si="16"/>
        <v>112359.31656000001</v>
      </c>
      <c r="I27" s="81">
        <f t="shared" si="16"/>
        <v>112976.3028912</v>
      </c>
      <c r="J27" s="81">
        <f t="shared" si="16"/>
        <v>113605.628949024</v>
      </c>
      <c r="K27" s="82">
        <f t="shared" si="16"/>
        <v>114247.54152800448</v>
      </c>
      <c r="L27" s="82">
        <f t="shared" si="16"/>
        <v>114902.29235856456</v>
      </c>
      <c r="M27" s="82">
        <f t="shared" si="16"/>
        <v>115570.13820573584</v>
      </c>
      <c r="N27" s="82">
        <f t="shared" si="16"/>
        <v>116251.34096985056</v>
      </c>
      <c r="O27" s="105">
        <f t="shared" si="16"/>
        <v>116946.16778924757</v>
      </c>
    </row>
    <row r="28" spans="3:15" x14ac:dyDescent="0.25">
      <c r="C28" s="102" t="s">
        <v>68</v>
      </c>
      <c r="D28" s="79">
        <f>D27*0.87</f>
        <v>95708.7</v>
      </c>
      <c r="E28" s="80">
        <f t="shared" ref="E28:O28" si="17">E27*0.87</f>
        <v>96204.6</v>
      </c>
      <c r="F28" s="80">
        <f t="shared" si="17"/>
        <v>96710.417999999991</v>
      </c>
      <c r="G28" s="80">
        <f t="shared" si="17"/>
        <v>97226.352360000004</v>
      </c>
      <c r="H28" s="81">
        <f t="shared" si="17"/>
        <v>97752.605407200012</v>
      </c>
      <c r="I28" s="81">
        <f t="shared" si="17"/>
        <v>98289.383515344001</v>
      </c>
      <c r="J28" s="81">
        <f t="shared" si="17"/>
        <v>98836.897185650887</v>
      </c>
      <c r="K28" s="82">
        <f t="shared" si="17"/>
        <v>99395.361129363897</v>
      </c>
      <c r="L28" s="82">
        <f t="shared" si="17"/>
        <v>99964.994351951173</v>
      </c>
      <c r="M28" s="82">
        <f t="shared" si="17"/>
        <v>100546.02023899018</v>
      </c>
      <c r="N28" s="82">
        <f t="shared" si="17"/>
        <v>101138.66664376999</v>
      </c>
      <c r="O28" s="105">
        <f t="shared" si="17"/>
        <v>101743.16597664538</v>
      </c>
    </row>
    <row r="29" spans="3:15" x14ac:dyDescent="0.25">
      <c r="C29" s="102" t="s">
        <v>59</v>
      </c>
      <c r="D29" s="70">
        <v>20000</v>
      </c>
      <c r="E29" s="80">
        <f>D29*1.02</f>
        <v>20400</v>
      </c>
      <c r="F29" s="80">
        <f t="shared" ref="F29:O30" si="18">E29*1.02</f>
        <v>20808</v>
      </c>
      <c r="G29" s="80">
        <f t="shared" si="18"/>
        <v>21224.16</v>
      </c>
      <c r="H29" s="81">
        <f t="shared" si="18"/>
        <v>21648.643199999999</v>
      </c>
      <c r="I29" s="81">
        <f t="shared" si="18"/>
        <v>22081.616063999998</v>
      </c>
      <c r="J29" s="81">
        <f t="shared" si="18"/>
        <v>22523.24838528</v>
      </c>
      <c r="K29" s="82">
        <f t="shared" si="18"/>
        <v>22973.7133529856</v>
      </c>
      <c r="L29" s="82">
        <f t="shared" si="18"/>
        <v>23433.187620045312</v>
      </c>
      <c r="M29" s="82">
        <f t="shared" si="18"/>
        <v>23901.851372446217</v>
      </c>
      <c r="N29" s="82">
        <f t="shared" si="18"/>
        <v>24379.888399895142</v>
      </c>
      <c r="O29" s="105">
        <f t="shared" si="18"/>
        <v>24867.486167893047</v>
      </c>
    </row>
    <row r="30" spans="3:15" x14ac:dyDescent="0.25">
      <c r="C30" s="102" t="s">
        <v>60</v>
      </c>
      <c r="D30" s="70">
        <v>10000</v>
      </c>
      <c r="E30" s="80">
        <f>D30*1.02</f>
        <v>10200</v>
      </c>
      <c r="F30" s="80">
        <f t="shared" si="18"/>
        <v>10404</v>
      </c>
      <c r="G30" s="80">
        <f t="shared" si="18"/>
        <v>10612.08</v>
      </c>
      <c r="H30" s="81">
        <f t="shared" si="18"/>
        <v>10824.321599999999</v>
      </c>
      <c r="I30" s="81">
        <f t="shared" si="18"/>
        <v>11040.808031999999</v>
      </c>
      <c r="J30" s="81">
        <f t="shared" si="18"/>
        <v>11261.62419264</v>
      </c>
      <c r="K30" s="82">
        <f t="shared" si="18"/>
        <v>11486.8566764928</v>
      </c>
      <c r="L30" s="82">
        <f t="shared" si="18"/>
        <v>11716.593810022656</v>
      </c>
      <c r="M30" s="82">
        <f t="shared" si="18"/>
        <v>11950.925686223109</v>
      </c>
      <c r="N30" s="82">
        <f t="shared" si="18"/>
        <v>12189.944199947571</v>
      </c>
      <c r="O30" s="105">
        <f t="shared" si="18"/>
        <v>12433.743083946523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40000</v>
      </c>
      <c r="E32" s="80">
        <v>40000</v>
      </c>
      <c r="F32" s="80">
        <v>40000</v>
      </c>
      <c r="G32" s="80">
        <v>40000</v>
      </c>
      <c r="H32" s="81">
        <v>40000</v>
      </c>
      <c r="I32" s="81">
        <v>40000</v>
      </c>
      <c r="J32" s="81">
        <v>40000</v>
      </c>
      <c r="K32" s="82">
        <v>40000</v>
      </c>
      <c r="L32" s="82">
        <v>40000</v>
      </c>
      <c r="M32" s="82">
        <v>40000</v>
      </c>
      <c r="N32" s="82">
        <v>40000</v>
      </c>
      <c r="O32" s="105">
        <v>40000</v>
      </c>
    </row>
    <row r="33" spans="3:15" ht="15" thickBot="1" x14ac:dyDescent="0.3">
      <c r="C33" s="102" t="s">
        <v>69</v>
      </c>
      <c r="D33" s="79">
        <f>D28-D29-D30-D31-D32</f>
        <v>21708.699999999997</v>
      </c>
      <c r="E33" s="80">
        <f t="shared" ref="E33:O33" si="19">E28-E29-E30-E31-E32</f>
        <v>21604.600000000006</v>
      </c>
      <c r="F33" s="80">
        <f t="shared" si="19"/>
        <v>21498.417999999991</v>
      </c>
      <c r="G33" s="80">
        <f t="shared" si="19"/>
        <v>21390.112359999999</v>
      </c>
      <c r="H33" s="81">
        <f t="shared" si="19"/>
        <v>21279.64060720001</v>
      </c>
      <c r="I33" s="81">
        <f t="shared" si="19"/>
        <v>21166.959419343999</v>
      </c>
      <c r="J33" s="81">
        <f t="shared" si="19"/>
        <v>21052.024607730898</v>
      </c>
      <c r="K33" s="82">
        <f t="shared" si="19"/>
        <v>20934.791099885493</v>
      </c>
      <c r="L33" s="82">
        <f t="shared" si="19"/>
        <v>20815.212921883205</v>
      </c>
      <c r="M33" s="82">
        <f t="shared" si="19"/>
        <v>20693.24318032086</v>
      </c>
      <c r="N33" s="82">
        <f t="shared" si="19"/>
        <v>20568.834043927272</v>
      </c>
      <c r="O33" s="105">
        <f t="shared" si="19"/>
        <v>20441.936724805812</v>
      </c>
    </row>
    <row r="34" spans="3:15" ht="15" thickBot="1" x14ac:dyDescent="0.3">
      <c r="C34" s="111" t="s">
        <v>70</v>
      </c>
      <c r="D34" s="138">
        <f>D33/D27</f>
        <v>0.1973338787382965</v>
      </c>
      <c r="E34" s="137">
        <f t="shared" ref="E34:O34" si="20">E33/E27</f>
        <v>0.1953752939048653</v>
      </c>
      <c r="F34" s="113">
        <f t="shared" si="20"/>
        <v>0.19339822996111952</v>
      </c>
      <c r="G34" s="113">
        <f t="shared" si="20"/>
        <v>0.1914028172557064</v>
      </c>
      <c r="H34" s="114">
        <f t="shared" si="20"/>
        <v>0.18938919582904953</v>
      </c>
      <c r="I34" s="114">
        <f t="shared" si="20"/>
        <v>0.18735751549356769</v>
      </c>
      <c r="J34" s="176">
        <f t="shared" si="20"/>
        <v>0.18530793590498193</v>
      </c>
      <c r="K34" s="177">
        <f t="shared" si="20"/>
        <v>0.18324062662437191</v>
      </c>
      <c r="L34" s="177">
        <f t="shared" si="20"/>
        <v>0.18115576717065981</v>
      </c>
      <c r="M34" s="177">
        <f t="shared" si="20"/>
        <v>0.17905354706319662</v>
      </c>
      <c r="N34" s="177">
        <f t="shared" si="20"/>
        <v>0.17693416585415336</v>
      </c>
      <c r="O34" s="178">
        <f t="shared" si="20"/>
        <v>0.17479783315041908</v>
      </c>
    </row>
    <row r="37" spans="3:15" x14ac:dyDescent="0.25"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81"/>
  <sheetViews>
    <sheetView topLeftCell="B45" zoomScale="90" zoomScaleNormal="90" workbookViewId="0">
      <selection activeCell="S38" sqref="B38:S55"/>
    </sheetView>
  </sheetViews>
  <sheetFormatPr defaultRowHeight="14.4" x14ac:dyDescent="0.25"/>
  <cols>
    <col min="1" max="1" width="13.33203125" customWidth="1"/>
    <col min="2" max="2" width="18" style="43" customWidth="1"/>
    <col min="3" max="3" width="12.44140625" customWidth="1"/>
    <col min="4" max="4" width="14.88671875" customWidth="1"/>
    <col min="5" max="15" width="12.44140625" customWidth="1"/>
    <col min="16" max="16" width="13.109375" customWidth="1"/>
    <col min="17" max="17" width="13.44140625" customWidth="1"/>
    <col min="18" max="20" width="12.44140625" customWidth="1"/>
  </cols>
  <sheetData>
    <row r="4" spans="3:15" x14ac:dyDescent="0.25">
      <c r="C4" s="131" t="s">
        <v>147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134900</v>
      </c>
      <c r="E6" s="71">
        <f>D6-((D16-E16)+(D17-E17)+(D18-E18))</f>
        <v>122860</v>
      </c>
      <c r="F6" s="71">
        <f t="shared" ref="F6:O6" si="0">E6-((E16-F16)+(E17-F17)+(E18-F18))</f>
        <v>112004.00000000001</v>
      </c>
      <c r="G6" s="71">
        <f t="shared" si="0"/>
        <v>102213.6</v>
      </c>
      <c r="H6" s="71">
        <f t="shared" si="0"/>
        <v>93382.24</v>
      </c>
      <c r="I6" s="71">
        <f t="shared" si="0"/>
        <v>85414.016000000003</v>
      </c>
      <c r="J6" s="71">
        <f t="shared" si="0"/>
        <v>78222.614400000006</v>
      </c>
      <c r="K6" s="71">
        <f t="shared" si="0"/>
        <v>71730.352960000004</v>
      </c>
      <c r="L6" s="71">
        <f t="shared" si="0"/>
        <v>65867.317664000002</v>
      </c>
      <c r="M6" s="71">
        <f t="shared" si="0"/>
        <v>60570.585897600002</v>
      </c>
      <c r="N6" s="71">
        <f t="shared" si="0"/>
        <v>55783.527307839999</v>
      </c>
      <c r="O6" s="71">
        <f t="shared" si="0"/>
        <v>51455.174577055994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11200.400000000001</v>
      </c>
      <c r="G7" s="76">
        <f t="shared" ref="G7:O7" si="1">G6*0.1</f>
        <v>10221.36</v>
      </c>
      <c r="H7" s="77">
        <f t="shared" si="1"/>
        <v>9338.2240000000002</v>
      </c>
      <c r="I7" s="77">
        <f t="shared" si="1"/>
        <v>8541.4016000000011</v>
      </c>
      <c r="J7" s="77">
        <f t="shared" si="1"/>
        <v>7822.2614400000011</v>
      </c>
      <c r="K7" s="78">
        <f t="shared" si="1"/>
        <v>7173.0352960000009</v>
      </c>
      <c r="L7" s="78">
        <f t="shared" si="1"/>
        <v>6586.7317664000002</v>
      </c>
      <c r="M7" s="78">
        <f t="shared" si="1"/>
        <v>6057.0585897600004</v>
      </c>
      <c r="N7" s="78">
        <f t="shared" si="1"/>
        <v>5578.3527307840004</v>
      </c>
      <c r="O7" s="104">
        <f t="shared" si="1"/>
        <v>5145.5174577055996</v>
      </c>
    </row>
    <row r="8" spans="3:15" ht="15" thickBot="1" x14ac:dyDescent="0.3">
      <c r="C8" s="102" t="s">
        <v>48</v>
      </c>
      <c r="D8" s="79">
        <f>D6+D7</f>
        <v>134900</v>
      </c>
      <c r="E8" s="80">
        <f t="shared" ref="E8:O8" si="2">E6+E7</f>
        <v>122860</v>
      </c>
      <c r="F8" s="80">
        <f t="shared" si="2"/>
        <v>123204.40000000002</v>
      </c>
      <c r="G8" s="80">
        <f t="shared" si="2"/>
        <v>112434.96</v>
      </c>
      <c r="H8" s="81">
        <f t="shared" si="2"/>
        <v>102720.46400000001</v>
      </c>
      <c r="I8" s="81">
        <f t="shared" si="2"/>
        <v>93955.417600000001</v>
      </c>
      <c r="J8" s="133">
        <f t="shared" si="2"/>
        <v>86044.875840000008</v>
      </c>
      <c r="K8" s="82">
        <f t="shared" si="2"/>
        <v>78903.388256000006</v>
      </c>
      <c r="L8" s="82">
        <f t="shared" si="2"/>
        <v>72454.049430400002</v>
      </c>
      <c r="M8" s="82">
        <f t="shared" si="2"/>
        <v>66627.644487359998</v>
      </c>
      <c r="N8" s="82">
        <f t="shared" si="2"/>
        <v>61361.880038623996</v>
      </c>
      <c r="O8" s="105">
        <f t="shared" si="2"/>
        <v>56600.692034761596</v>
      </c>
    </row>
    <row r="9" spans="3:15" x14ac:dyDescent="0.25">
      <c r="C9" s="102" t="s">
        <v>49</v>
      </c>
      <c r="D9" s="79">
        <f>D6*0.05</f>
        <v>6745</v>
      </c>
      <c r="E9" s="80">
        <f t="shared" ref="E9:O9" si="3">E6*0.05</f>
        <v>6143</v>
      </c>
      <c r="F9" s="80">
        <f t="shared" si="3"/>
        <v>5600.2000000000007</v>
      </c>
      <c r="G9" s="80">
        <f t="shared" si="3"/>
        <v>5110.68</v>
      </c>
      <c r="H9" s="81">
        <f t="shared" si="3"/>
        <v>4669.1120000000001</v>
      </c>
      <c r="I9" s="81">
        <f t="shared" si="3"/>
        <v>4270.7008000000005</v>
      </c>
      <c r="J9" s="81">
        <f t="shared" si="3"/>
        <v>3911.1307200000006</v>
      </c>
      <c r="K9" s="82">
        <f t="shared" si="3"/>
        <v>3586.5176480000005</v>
      </c>
      <c r="L9" s="82">
        <f t="shared" si="3"/>
        <v>3293.3658832000001</v>
      </c>
      <c r="M9" s="82">
        <f t="shared" si="3"/>
        <v>3028.5292948800002</v>
      </c>
      <c r="N9" s="82">
        <f t="shared" si="3"/>
        <v>2789.1763653920002</v>
      </c>
      <c r="O9" s="105">
        <f t="shared" si="3"/>
        <v>2572.7587288527998</v>
      </c>
    </row>
    <row r="10" spans="3:15" x14ac:dyDescent="0.25">
      <c r="C10" s="102" t="s">
        <v>66</v>
      </c>
      <c r="D10" s="79">
        <v>420</v>
      </c>
      <c r="E10" s="80">
        <v>420</v>
      </c>
      <c r="F10" s="80">
        <v>420</v>
      </c>
      <c r="G10" s="80">
        <v>420</v>
      </c>
      <c r="H10" s="81">
        <v>420</v>
      </c>
      <c r="I10" s="81">
        <v>420</v>
      </c>
      <c r="J10" s="81">
        <v>420</v>
      </c>
      <c r="K10" s="82">
        <v>420</v>
      </c>
      <c r="L10" s="82">
        <v>420</v>
      </c>
      <c r="M10" s="82">
        <v>420</v>
      </c>
      <c r="N10" s="82">
        <v>420</v>
      </c>
      <c r="O10" s="105">
        <v>420</v>
      </c>
    </row>
    <row r="11" spans="3:15" x14ac:dyDescent="0.25">
      <c r="C11" s="102" t="s">
        <v>65</v>
      </c>
      <c r="D11" s="83">
        <v>69.5</v>
      </c>
      <c r="E11" s="80">
        <v>69.5</v>
      </c>
      <c r="F11" s="80">
        <v>69.5</v>
      </c>
      <c r="G11" s="80">
        <v>69.5</v>
      </c>
      <c r="H11" s="81">
        <v>69.5</v>
      </c>
      <c r="I11" s="81">
        <v>69.5</v>
      </c>
      <c r="J11" s="81">
        <v>69.5</v>
      </c>
      <c r="K11" s="82">
        <v>69.5</v>
      </c>
      <c r="L11" s="82">
        <v>69.5</v>
      </c>
      <c r="M11" s="82">
        <v>69.5</v>
      </c>
      <c r="N11" s="82">
        <v>69.5</v>
      </c>
      <c r="O11" s="105">
        <v>69.5</v>
      </c>
    </row>
    <row r="12" spans="3:15" x14ac:dyDescent="0.25">
      <c r="C12" s="102" t="s">
        <v>72</v>
      </c>
      <c r="D12" s="83">
        <v>1.2</v>
      </c>
      <c r="E12" s="87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7">
        <f t="shared" si="4"/>
        <v>0.78732000000000013</v>
      </c>
      <c r="I12" s="87">
        <f t="shared" si="4"/>
        <v>0.70858800000000011</v>
      </c>
      <c r="J12" s="87">
        <f t="shared" si="4"/>
        <v>0.63772920000000011</v>
      </c>
      <c r="K12" s="87">
        <f t="shared" si="4"/>
        <v>0.5739562800000001</v>
      </c>
      <c r="L12" s="87">
        <f t="shared" si="4"/>
        <v>0.51656065200000012</v>
      </c>
      <c r="M12" s="87">
        <f t="shared" si="4"/>
        <v>0.46490458680000013</v>
      </c>
      <c r="N12" s="87">
        <f t="shared" si="4"/>
        <v>0.41841412812000012</v>
      </c>
      <c r="O12" s="87">
        <f t="shared" si="4"/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163155</v>
      </c>
      <c r="E14" s="80">
        <f t="shared" si="5"/>
        <v>151717</v>
      </c>
      <c r="F14" s="80">
        <f t="shared" si="5"/>
        <v>106403.80000000002</v>
      </c>
      <c r="G14" s="80">
        <f t="shared" si="5"/>
        <v>97102.920000000013</v>
      </c>
      <c r="H14" s="81">
        <f t="shared" si="5"/>
        <v>88713.128000000012</v>
      </c>
      <c r="I14" s="81">
        <f t="shared" si="5"/>
        <v>81143.315199999997</v>
      </c>
      <c r="J14" s="81">
        <f t="shared" si="5"/>
        <v>74311.483680000005</v>
      </c>
      <c r="K14" s="82">
        <f t="shared" si="5"/>
        <v>68143.83531200001</v>
      </c>
      <c r="L14" s="82">
        <f t="shared" si="5"/>
        <v>62573.951780800002</v>
      </c>
      <c r="M14" s="82">
        <f t="shared" si="5"/>
        <v>57542.056602720004</v>
      </c>
      <c r="N14" s="82">
        <f t="shared" si="5"/>
        <v>52994.350942448</v>
      </c>
      <c r="O14" s="105">
        <f t="shared" si="5"/>
        <v>48882.415848203193</v>
      </c>
    </row>
    <row r="15" spans="3:15" x14ac:dyDescent="0.25">
      <c r="C15" s="102" t="s">
        <v>68</v>
      </c>
      <c r="D15" s="79">
        <f>D14*0.87</f>
        <v>141944.85</v>
      </c>
      <c r="E15" s="80">
        <f t="shared" ref="E15:O15" si="6">E14*0.87</f>
        <v>131993.79</v>
      </c>
      <c r="F15" s="80">
        <f t="shared" si="6"/>
        <v>92571.306000000011</v>
      </c>
      <c r="G15" s="80">
        <f t="shared" si="6"/>
        <v>84479.540400000013</v>
      </c>
      <c r="H15" s="81">
        <f t="shared" si="6"/>
        <v>77180.421360000008</v>
      </c>
      <c r="I15" s="81">
        <f t="shared" si="6"/>
        <v>70594.684223999997</v>
      </c>
      <c r="J15" s="81">
        <f t="shared" si="6"/>
        <v>64650.990801600004</v>
      </c>
      <c r="K15" s="82">
        <f t="shared" si="6"/>
        <v>59285.136721440009</v>
      </c>
      <c r="L15" s="82">
        <f t="shared" si="6"/>
        <v>54439.338049295999</v>
      </c>
      <c r="M15" s="82">
        <f t="shared" si="6"/>
        <v>50061.589244366405</v>
      </c>
      <c r="N15" s="82">
        <f t="shared" si="6"/>
        <v>46105.085319929756</v>
      </c>
      <c r="O15" s="105">
        <f t="shared" si="6"/>
        <v>42527.701787936778</v>
      </c>
    </row>
    <row r="16" spans="3:15" x14ac:dyDescent="0.25">
      <c r="C16" s="102" t="s">
        <v>52</v>
      </c>
      <c r="D16" s="93">
        <f t="shared" ref="D16:O16" si="7">D12*1000*D11</f>
        <v>83400</v>
      </c>
      <c r="E16" s="71">
        <f t="shared" si="7"/>
        <v>75060</v>
      </c>
      <c r="F16" s="71">
        <f t="shared" si="7"/>
        <v>67554.000000000015</v>
      </c>
      <c r="G16" s="71">
        <f t="shared" si="7"/>
        <v>60798.600000000013</v>
      </c>
      <c r="H16" s="72">
        <f t="shared" si="7"/>
        <v>54718.740000000013</v>
      </c>
      <c r="I16" s="72">
        <f t="shared" si="7"/>
        <v>49246.866000000009</v>
      </c>
      <c r="J16" s="72">
        <f t="shared" si="7"/>
        <v>44322.179400000008</v>
      </c>
      <c r="K16" s="73">
        <f t="shared" si="7"/>
        <v>39889.961460000006</v>
      </c>
      <c r="L16" s="73">
        <f t="shared" si="7"/>
        <v>35900.965314000008</v>
      </c>
      <c r="M16" s="73">
        <f t="shared" si="7"/>
        <v>32310.86878260001</v>
      </c>
      <c r="N16" s="73">
        <f t="shared" si="7"/>
        <v>29079.781904340009</v>
      </c>
      <c r="O16" s="103">
        <f t="shared" si="7"/>
        <v>26171.803713906007</v>
      </c>
    </row>
    <row r="17" spans="3:15" ht="57.6" x14ac:dyDescent="0.25">
      <c r="C17" s="109" t="s">
        <v>53</v>
      </c>
      <c r="D17" s="70">
        <v>15000</v>
      </c>
      <c r="E17" s="90">
        <f>D17-200</f>
        <v>14800</v>
      </c>
      <c r="F17" s="90">
        <f t="shared" ref="F17:O17" si="8">E17-200</f>
        <v>14600</v>
      </c>
      <c r="G17" s="90">
        <f t="shared" si="8"/>
        <v>14400</v>
      </c>
      <c r="H17" s="94">
        <f t="shared" si="8"/>
        <v>14200</v>
      </c>
      <c r="I17" s="94">
        <f t="shared" si="8"/>
        <v>14000</v>
      </c>
      <c r="J17" s="94">
        <f t="shared" si="8"/>
        <v>13800</v>
      </c>
      <c r="K17" s="95">
        <f t="shared" si="8"/>
        <v>13600</v>
      </c>
      <c r="L17" s="95">
        <f t="shared" si="8"/>
        <v>13400</v>
      </c>
      <c r="M17" s="95">
        <f t="shared" si="8"/>
        <v>13200</v>
      </c>
      <c r="N17" s="95">
        <f t="shared" si="8"/>
        <v>13000</v>
      </c>
      <c r="O17" s="110">
        <f t="shared" si="8"/>
        <v>12800</v>
      </c>
    </row>
    <row r="18" spans="3:15" x14ac:dyDescent="0.25">
      <c r="C18" s="102" t="s">
        <v>54</v>
      </c>
      <c r="D18" s="96">
        <v>35000</v>
      </c>
      <c r="E18" s="97">
        <f>D18*0.9</f>
        <v>31500</v>
      </c>
      <c r="F18" s="97">
        <f t="shared" ref="F18:O18" si="9">E18*0.9</f>
        <v>28350</v>
      </c>
      <c r="G18" s="97">
        <f t="shared" si="9"/>
        <v>25515</v>
      </c>
      <c r="H18" s="94">
        <f t="shared" si="9"/>
        <v>22963.5</v>
      </c>
      <c r="I18" s="94">
        <f t="shared" si="9"/>
        <v>20667.150000000001</v>
      </c>
      <c r="J18" s="94">
        <f t="shared" si="9"/>
        <v>18600.435000000001</v>
      </c>
      <c r="K18" s="95">
        <f t="shared" si="9"/>
        <v>16740.391500000002</v>
      </c>
      <c r="L18" s="95">
        <f t="shared" si="9"/>
        <v>15066.352350000001</v>
      </c>
      <c r="M18" s="95">
        <f t="shared" si="9"/>
        <v>13559.717115000001</v>
      </c>
      <c r="N18" s="95">
        <f t="shared" si="9"/>
        <v>12203.745403500001</v>
      </c>
      <c r="O18" s="110">
        <f t="shared" si="9"/>
        <v>10983.370863150001</v>
      </c>
    </row>
    <row r="19" spans="3:15" ht="15" thickBot="1" x14ac:dyDescent="0.3">
      <c r="C19" s="102" t="s">
        <v>71</v>
      </c>
      <c r="D19" s="79">
        <f>D15-D16-D17-D18</f>
        <v>8544.8500000000058</v>
      </c>
      <c r="E19" s="80">
        <f t="shared" ref="E19:O19" si="10">E15-E16-E17-E18</f>
        <v>10633.790000000008</v>
      </c>
      <c r="F19" s="80">
        <f t="shared" si="10"/>
        <v>-17932.694000000003</v>
      </c>
      <c r="G19" s="80">
        <f t="shared" si="10"/>
        <v>-16234.059600000001</v>
      </c>
      <c r="H19" s="81">
        <f t="shared" si="10"/>
        <v>-14701.818640000005</v>
      </c>
      <c r="I19" s="81">
        <f t="shared" si="10"/>
        <v>-13319.331776000014</v>
      </c>
      <c r="J19" s="81">
        <f t="shared" si="10"/>
        <v>-12071.623598400005</v>
      </c>
      <c r="K19" s="82">
        <f t="shared" si="10"/>
        <v>-10945.216238559999</v>
      </c>
      <c r="L19" s="82">
        <f t="shared" si="10"/>
        <v>-9927.9796147040106</v>
      </c>
      <c r="M19" s="82">
        <f t="shared" si="10"/>
        <v>-9008.9966532336057</v>
      </c>
      <c r="N19" s="82">
        <f t="shared" si="10"/>
        <v>-8178.4419879102534</v>
      </c>
      <c r="O19" s="105">
        <f t="shared" si="10"/>
        <v>-7427.4727891192306</v>
      </c>
    </row>
    <row r="20" spans="3:15" ht="15" thickBot="1" x14ac:dyDescent="0.3">
      <c r="C20" s="111" t="s">
        <v>70</v>
      </c>
      <c r="D20" s="138">
        <f>D19/D14</f>
        <v>5.2372590481444062E-2</v>
      </c>
      <c r="E20" s="137">
        <f t="shared" ref="E20:O20" si="11">E19/E14</f>
        <v>7.0089640580818291E-2</v>
      </c>
      <c r="F20" s="113">
        <f t="shared" si="11"/>
        <v>-0.16853433805935503</v>
      </c>
      <c r="G20" s="113">
        <f t="shared" si="11"/>
        <v>-0.16718405172573594</v>
      </c>
      <c r="H20" s="114">
        <f t="shared" si="11"/>
        <v>-0.16572314573328992</v>
      </c>
      <c r="I20" s="114">
        <f t="shared" si="11"/>
        <v>-0.16414576780811654</v>
      </c>
      <c r="J20" s="176">
        <f t="shared" si="11"/>
        <v>-0.16244627345058554</v>
      </c>
      <c r="K20" s="177">
        <f t="shared" si="11"/>
        <v>-0.16061931631007809</v>
      </c>
      <c r="L20" s="177">
        <f t="shared" si="11"/>
        <v>-0.15865994287019414</v>
      </c>
      <c r="M20" s="177">
        <f t="shared" si="11"/>
        <v>-0.15656368898027451</v>
      </c>
      <c r="N20" s="177">
        <f t="shared" si="11"/>
        <v>-0.15432667524868948</v>
      </c>
      <c r="O20" s="178">
        <f t="shared" si="11"/>
        <v>-0.1519456978596169</v>
      </c>
    </row>
    <row r="21" spans="3:15" x14ac:dyDescent="0.25">
      <c r="C21" s="131" t="s">
        <v>76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137900</v>
      </c>
      <c r="E23" s="87">
        <f>D23+(E29-D29)+(E30-D30)</f>
        <v>138500</v>
      </c>
      <c r="F23" s="87">
        <f t="shared" ref="F23:O23" si="12">E23+(F29-E29)+(F30-E30)</f>
        <v>139112</v>
      </c>
      <c r="G23" s="87">
        <f t="shared" si="12"/>
        <v>139736.24</v>
      </c>
      <c r="H23" s="88">
        <f t="shared" si="12"/>
        <v>140372.96479999999</v>
      </c>
      <c r="I23" s="88">
        <f t="shared" si="12"/>
        <v>141022.424096</v>
      </c>
      <c r="J23" s="88">
        <f t="shared" si="12"/>
        <v>141684.87257792</v>
      </c>
      <c r="K23" s="89">
        <f t="shared" si="12"/>
        <v>142360.5700294784</v>
      </c>
      <c r="L23" s="89">
        <f t="shared" si="12"/>
        <v>143049.78143006796</v>
      </c>
      <c r="M23" s="89">
        <f t="shared" si="12"/>
        <v>143752.77705866931</v>
      </c>
      <c r="N23" s="89">
        <f t="shared" si="12"/>
        <v>144469.83259984272</v>
      </c>
      <c r="O23" s="107">
        <f t="shared" si="12"/>
        <v>145201.22925183957</v>
      </c>
    </row>
    <row r="24" spans="3:15" ht="15" thickBot="1" x14ac:dyDescent="0.3">
      <c r="C24" s="102" t="s">
        <v>46</v>
      </c>
      <c r="D24" s="117">
        <f>D23*0.1</f>
        <v>13790</v>
      </c>
      <c r="E24" s="76">
        <f t="shared" ref="E24:O24" si="13">E23*0.1</f>
        <v>13850</v>
      </c>
      <c r="F24" s="76">
        <f t="shared" si="13"/>
        <v>13911.2</v>
      </c>
      <c r="G24" s="76">
        <f t="shared" si="13"/>
        <v>13973.624</v>
      </c>
      <c r="H24" s="77">
        <f t="shared" si="13"/>
        <v>14037.296479999999</v>
      </c>
      <c r="I24" s="77">
        <f t="shared" si="13"/>
        <v>14102.242409600001</v>
      </c>
      <c r="J24" s="77">
        <f t="shared" si="13"/>
        <v>14168.487257792001</v>
      </c>
      <c r="K24" s="78">
        <f t="shared" si="13"/>
        <v>14236.05700294784</v>
      </c>
      <c r="L24" s="78">
        <f t="shared" si="13"/>
        <v>14304.978143006796</v>
      </c>
      <c r="M24" s="78">
        <f t="shared" si="13"/>
        <v>14375.277705866931</v>
      </c>
      <c r="N24" s="78">
        <f t="shared" si="13"/>
        <v>14446.983259984272</v>
      </c>
      <c r="O24" s="104">
        <f t="shared" si="13"/>
        <v>14520.122925183958</v>
      </c>
    </row>
    <row r="25" spans="3:15" ht="15" thickBot="1" x14ac:dyDescent="0.3">
      <c r="C25" s="102" t="s">
        <v>56</v>
      </c>
      <c r="D25" s="93">
        <f>D23+D24</f>
        <v>151690</v>
      </c>
      <c r="E25" s="71">
        <f t="shared" ref="E25:O25" si="14">E23+E24</f>
        <v>152350</v>
      </c>
      <c r="F25" s="71">
        <f t="shared" si="14"/>
        <v>153023.20000000001</v>
      </c>
      <c r="G25" s="135">
        <f t="shared" si="14"/>
        <v>153709.864</v>
      </c>
      <c r="H25" s="72">
        <f t="shared" si="14"/>
        <v>154410.26127999998</v>
      </c>
      <c r="I25" s="72">
        <f t="shared" si="14"/>
        <v>155124.66650560001</v>
      </c>
      <c r="J25" s="134">
        <f t="shared" si="14"/>
        <v>155853.35983571201</v>
      </c>
      <c r="K25" s="73">
        <f t="shared" si="14"/>
        <v>156596.62703242624</v>
      </c>
      <c r="L25" s="73">
        <f t="shared" si="14"/>
        <v>157354.75957307476</v>
      </c>
      <c r="M25" s="73">
        <f t="shared" si="14"/>
        <v>158128.05476453624</v>
      </c>
      <c r="N25" s="73">
        <f t="shared" si="14"/>
        <v>158916.81585982698</v>
      </c>
      <c r="O25" s="103">
        <f t="shared" si="14"/>
        <v>159721.35217702354</v>
      </c>
    </row>
    <row r="26" spans="3:15" x14ac:dyDescent="0.25">
      <c r="C26" s="102" t="s">
        <v>57</v>
      </c>
      <c r="D26" s="79">
        <f>D23*0.05</f>
        <v>6895</v>
      </c>
      <c r="E26" s="80">
        <f t="shared" ref="E26:O26" si="15">E23*0.05</f>
        <v>6925</v>
      </c>
      <c r="F26" s="80">
        <f t="shared" si="15"/>
        <v>6955.6</v>
      </c>
      <c r="G26" s="80">
        <f t="shared" si="15"/>
        <v>6986.8119999999999</v>
      </c>
      <c r="H26" s="81">
        <f t="shared" si="15"/>
        <v>7018.6482399999995</v>
      </c>
      <c r="I26" s="81">
        <f t="shared" si="15"/>
        <v>7051.1212048000007</v>
      </c>
      <c r="J26" s="81">
        <f t="shared" si="15"/>
        <v>7084.2436288960007</v>
      </c>
      <c r="K26" s="82">
        <f t="shared" si="15"/>
        <v>7118.0285014739202</v>
      </c>
      <c r="L26" s="82">
        <f t="shared" si="15"/>
        <v>7152.489071503398</v>
      </c>
      <c r="M26" s="82">
        <f t="shared" si="15"/>
        <v>7187.6388529334654</v>
      </c>
      <c r="N26" s="82">
        <f t="shared" si="15"/>
        <v>7223.491629992136</v>
      </c>
      <c r="O26" s="105">
        <f t="shared" si="15"/>
        <v>7260.0614625919789</v>
      </c>
    </row>
    <row r="27" spans="3:15" x14ac:dyDescent="0.25">
      <c r="C27" s="102" t="s">
        <v>58</v>
      </c>
      <c r="D27" s="79">
        <f>D23-D26</f>
        <v>131005</v>
      </c>
      <c r="E27" s="80">
        <f t="shared" ref="E27:O27" si="16">E23-E26</f>
        <v>131575</v>
      </c>
      <c r="F27" s="80">
        <f t="shared" si="16"/>
        <v>132156.4</v>
      </c>
      <c r="G27" s="80">
        <f t="shared" si="16"/>
        <v>132749.42799999999</v>
      </c>
      <c r="H27" s="81">
        <f t="shared" si="16"/>
        <v>133354.31655999998</v>
      </c>
      <c r="I27" s="81">
        <f t="shared" si="16"/>
        <v>133971.3028912</v>
      </c>
      <c r="J27" s="81">
        <f t="shared" si="16"/>
        <v>134600.62894902402</v>
      </c>
      <c r="K27" s="82">
        <f t="shared" si="16"/>
        <v>135242.54152800448</v>
      </c>
      <c r="L27" s="82">
        <f t="shared" si="16"/>
        <v>135897.29235856456</v>
      </c>
      <c r="M27" s="82">
        <f t="shared" si="16"/>
        <v>136565.13820573583</v>
      </c>
      <c r="N27" s="82">
        <f t="shared" si="16"/>
        <v>137246.34096985057</v>
      </c>
      <c r="O27" s="105">
        <f t="shared" si="16"/>
        <v>137941.16778924759</v>
      </c>
    </row>
    <row r="28" spans="3:15" x14ac:dyDescent="0.25">
      <c r="C28" s="102" t="s">
        <v>68</v>
      </c>
      <c r="D28" s="79">
        <f>D27*0.87</f>
        <v>113974.35</v>
      </c>
      <c r="E28" s="80">
        <f t="shared" ref="E28:O28" si="17">E27*0.87</f>
        <v>114470.25</v>
      </c>
      <c r="F28" s="80">
        <f t="shared" si="17"/>
        <v>114976.068</v>
      </c>
      <c r="G28" s="80">
        <f t="shared" si="17"/>
        <v>115492.00235999998</v>
      </c>
      <c r="H28" s="81">
        <f t="shared" si="17"/>
        <v>116018.25540719998</v>
      </c>
      <c r="I28" s="81">
        <f t="shared" si="17"/>
        <v>116555.033515344</v>
      </c>
      <c r="J28" s="81">
        <f t="shared" si="17"/>
        <v>117102.5471856509</v>
      </c>
      <c r="K28" s="82">
        <f t="shared" si="17"/>
        <v>117661.01112936391</v>
      </c>
      <c r="L28" s="82">
        <f t="shared" si="17"/>
        <v>118230.64435195117</v>
      </c>
      <c r="M28" s="82">
        <f t="shared" si="17"/>
        <v>118811.67023899018</v>
      </c>
      <c r="N28" s="82">
        <f t="shared" si="17"/>
        <v>119404.31664377</v>
      </c>
      <c r="O28" s="105">
        <f t="shared" si="17"/>
        <v>120008.8159766454</v>
      </c>
    </row>
    <row r="29" spans="3:15" x14ac:dyDescent="0.25">
      <c r="C29" s="102" t="s">
        <v>59</v>
      </c>
      <c r="D29" s="70">
        <v>20000</v>
      </c>
      <c r="E29" s="80">
        <f>D29*1.02</f>
        <v>20400</v>
      </c>
      <c r="F29" s="80">
        <f t="shared" ref="F29:O30" si="18">E29*1.02</f>
        <v>20808</v>
      </c>
      <c r="G29" s="80">
        <f t="shared" si="18"/>
        <v>21224.16</v>
      </c>
      <c r="H29" s="81">
        <f t="shared" si="18"/>
        <v>21648.643199999999</v>
      </c>
      <c r="I29" s="81">
        <f t="shared" si="18"/>
        <v>22081.616063999998</v>
      </c>
      <c r="J29" s="81">
        <f t="shared" si="18"/>
        <v>22523.24838528</v>
      </c>
      <c r="K29" s="82">
        <f t="shared" si="18"/>
        <v>22973.7133529856</v>
      </c>
      <c r="L29" s="82">
        <f t="shared" si="18"/>
        <v>23433.187620045312</v>
      </c>
      <c r="M29" s="82">
        <f t="shared" si="18"/>
        <v>23901.851372446217</v>
      </c>
      <c r="N29" s="82">
        <f t="shared" si="18"/>
        <v>24379.888399895142</v>
      </c>
      <c r="O29" s="105">
        <f t="shared" si="18"/>
        <v>24867.486167893047</v>
      </c>
    </row>
    <row r="30" spans="3:15" x14ac:dyDescent="0.25">
      <c r="C30" s="102" t="s">
        <v>60</v>
      </c>
      <c r="D30" s="70">
        <v>10000</v>
      </c>
      <c r="E30" s="80">
        <f>D30*1.02</f>
        <v>10200</v>
      </c>
      <c r="F30" s="80">
        <f t="shared" si="18"/>
        <v>10404</v>
      </c>
      <c r="G30" s="80">
        <f t="shared" si="18"/>
        <v>10612.08</v>
      </c>
      <c r="H30" s="81">
        <f t="shared" si="18"/>
        <v>10824.321599999999</v>
      </c>
      <c r="I30" s="81">
        <f t="shared" si="18"/>
        <v>11040.808031999999</v>
      </c>
      <c r="J30" s="81">
        <f t="shared" si="18"/>
        <v>11261.62419264</v>
      </c>
      <c r="K30" s="82">
        <f t="shared" si="18"/>
        <v>11486.8566764928</v>
      </c>
      <c r="L30" s="82">
        <f t="shared" si="18"/>
        <v>11716.593810022656</v>
      </c>
      <c r="M30" s="82">
        <f t="shared" si="18"/>
        <v>11950.925686223109</v>
      </c>
      <c r="N30" s="82">
        <f t="shared" si="18"/>
        <v>12189.944199947571</v>
      </c>
      <c r="O30" s="105">
        <f t="shared" si="18"/>
        <v>12433.743083946523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40000</v>
      </c>
      <c r="E32" s="80">
        <v>40000</v>
      </c>
      <c r="F32" s="80">
        <v>40000</v>
      </c>
      <c r="G32" s="80">
        <v>40000</v>
      </c>
      <c r="H32" s="81">
        <v>40000</v>
      </c>
      <c r="I32" s="81">
        <v>40000</v>
      </c>
      <c r="J32" s="81">
        <v>40000</v>
      </c>
      <c r="K32" s="82">
        <v>40000</v>
      </c>
      <c r="L32" s="82">
        <v>40000</v>
      </c>
      <c r="M32" s="82">
        <v>40000</v>
      </c>
      <c r="N32" s="82">
        <v>40000</v>
      </c>
      <c r="O32" s="105">
        <v>40000</v>
      </c>
    </row>
    <row r="33" spans="2:21" ht="15" thickBot="1" x14ac:dyDescent="0.3">
      <c r="C33" s="102" t="s">
        <v>69</v>
      </c>
      <c r="D33" s="79">
        <f>D28-D29-D30-D31-D32</f>
        <v>39974.350000000006</v>
      </c>
      <c r="E33" s="80">
        <f t="shared" ref="E33:O33" si="19">E28-E29-E30-E31-E32</f>
        <v>39870.25</v>
      </c>
      <c r="F33" s="80">
        <f t="shared" si="19"/>
        <v>39764.067999999999</v>
      </c>
      <c r="G33" s="80">
        <f t="shared" si="19"/>
        <v>39655.762359999979</v>
      </c>
      <c r="H33" s="81">
        <f t="shared" si="19"/>
        <v>39545.290607199975</v>
      </c>
      <c r="I33" s="81">
        <f t="shared" si="19"/>
        <v>39432.609419343993</v>
      </c>
      <c r="J33" s="81">
        <f t="shared" si="19"/>
        <v>39317.674607730893</v>
      </c>
      <c r="K33" s="82">
        <f t="shared" si="19"/>
        <v>39200.441099885516</v>
      </c>
      <c r="L33" s="82">
        <f t="shared" si="19"/>
        <v>39080.862921883207</v>
      </c>
      <c r="M33" s="82">
        <f t="shared" si="19"/>
        <v>38958.893180320854</v>
      </c>
      <c r="N33" s="82">
        <f t="shared" si="19"/>
        <v>38834.484043927296</v>
      </c>
      <c r="O33" s="105">
        <f t="shared" si="19"/>
        <v>38707.586724805835</v>
      </c>
    </row>
    <row r="34" spans="2:21" ht="15" thickBot="1" x14ac:dyDescent="0.3">
      <c r="C34" s="111" t="s">
        <v>70</v>
      </c>
      <c r="D34" s="138">
        <f>D33/D27</f>
        <v>0.30513606350902645</v>
      </c>
      <c r="E34" s="137">
        <f t="shared" ref="E34:O34" si="20">E33/E27</f>
        <v>0.30302299068972072</v>
      </c>
      <c r="F34" s="113">
        <f t="shared" si="20"/>
        <v>0.30088643455784209</v>
      </c>
      <c r="G34" s="113">
        <f t="shared" si="20"/>
        <v>0.29872642735605598</v>
      </c>
      <c r="H34" s="114">
        <f t="shared" si="20"/>
        <v>0.29654301133482547</v>
      </c>
      <c r="I34" s="114">
        <f t="shared" si="20"/>
        <v>0.29433623894340849</v>
      </c>
      <c r="J34" s="176">
        <f t="shared" si="20"/>
        <v>0.29210617301514463</v>
      </c>
      <c r="K34" s="177">
        <f t="shared" si="20"/>
        <v>0.28985288694658506</v>
      </c>
      <c r="L34" s="177">
        <f t="shared" si="20"/>
        <v>0.28757646487001726</v>
      </c>
      <c r="M34" s="177">
        <f t="shared" si="20"/>
        <v>0.28527700181893534</v>
      </c>
      <c r="N34" s="177">
        <f t="shared" si="20"/>
        <v>0.28295460388600241</v>
      </c>
      <c r="O34" s="178">
        <f t="shared" si="20"/>
        <v>0.28060938837305582</v>
      </c>
    </row>
    <row r="35" spans="2:21" x14ac:dyDescent="0.25">
      <c r="D35" s="30">
        <f>D8-D25</f>
        <v>-16790</v>
      </c>
      <c r="E35" s="30">
        <f t="shared" ref="E35:O35" si="21">E8-E25</f>
        <v>-29490</v>
      </c>
      <c r="F35" s="30">
        <f t="shared" si="21"/>
        <v>-29818.799999999988</v>
      </c>
      <c r="G35" s="30">
        <f t="shared" si="21"/>
        <v>-41274.903999999995</v>
      </c>
      <c r="H35" s="30">
        <f t="shared" si="21"/>
        <v>-51689.79727999997</v>
      </c>
      <c r="I35" s="30">
        <f t="shared" si="21"/>
        <v>-61169.248905600005</v>
      </c>
      <c r="J35" s="30">
        <f t="shared" si="21"/>
        <v>-69808.483995711998</v>
      </c>
      <c r="K35" s="30">
        <f t="shared" si="21"/>
        <v>-77693.238776426238</v>
      </c>
      <c r="L35" s="30">
        <f t="shared" si="21"/>
        <v>-84900.710142674754</v>
      </c>
      <c r="M35" s="30">
        <f t="shared" si="21"/>
        <v>-91500.410277176241</v>
      </c>
      <c r="N35" s="30">
        <f t="shared" si="21"/>
        <v>-97554.935821202991</v>
      </c>
      <c r="O35" s="30">
        <f t="shared" si="21"/>
        <v>-103120.66014226194</v>
      </c>
    </row>
    <row r="36" spans="2:21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2:21" ht="16.2" customHeight="1" x14ac:dyDescent="0.25"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</row>
    <row r="38" spans="2:21" ht="63" customHeight="1" x14ac:dyDescent="0.25">
      <c r="B38" s="350" t="s">
        <v>285</v>
      </c>
      <c r="C38" s="350"/>
      <c r="D38" s="182" t="s">
        <v>202</v>
      </c>
      <c r="E38" s="182" t="s">
        <v>218</v>
      </c>
      <c r="F38" s="182" t="s">
        <v>219</v>
      </c>
      <c r="G38" s="182" t="s">
        <v>220</v>
      </c>
      <c r="H38" s="182" t="s">
        <v>221</v>
      </c>
      <c r="I38" s="182" t="s">
        <v>222</v>
      </c>
      <c r="J38" s="182" t="s">
        <v>203</v>
      </c>
      <c r="K38" s="182" t="s">
        <v>464</v>
      </c>
      <c r="L38" s="182" t="s">
        <v>223</v>
      </c>
      <c r="M38" s="182" t="s">
        <v>462</v>
      </c>
      <c r="N38" s="182" t="s">
        <v>565</v>
      </c>
      <c r="O38" s="182" t="s">
        <v>224</v>
      </c>
      <c r="P38" s="182" t="s">
        <v>225</v>
      </c>
      <c r="Q38" s="182" t="s">
        <v>226</v>
      </c>
      <c r="R38" s="182" t="s">
        <v>227</v>
      </c>
      <c r="S38" s="182" t="s">
        <v>204</v>
      </c>
    </row>
    <row r="39" spans="2:21" ht="40.200000000000003" customHeight="1" x14ac:dyDescent="0.25">
      <c r="B39" s="350"/>
      <c r="C39" s="350"/>
      <c r="D39" s="43">
        <v>199900</v>
      </c>
      <c r="E39" s="43">
        <v>164850</v>
      </c>
      <c r="F39" s="43">
        <v>184900</v>
      </c>
      <c r="G39" s="43">
        <v>167900</v>
      </c>
      <c r="H39" s="43">
        <v>167500</v>
      </c>
      <c r="I39" s="43">
        <v>142500</v>
      </c>
      <c r="J39" s="43">
        <v>169500</v>
      </c>
      <c r="K39" s="43">
        <v>163300</v>
      </c>
      <c r="L39" s="43">
        <v>404475</v>
      </c>
      <c r="M39" s="43">
        <v>186300</v>
      </c>
      <c r="N39" s="43">
        <v>174800</v>
      </c>
      <c r="O39" s="43">
        <v>202900</v>
      </c>
      <c r="P39" s="43">
        <v>214900</v>
      </c>
      <c r="Q39" s="43">
        <v>164800</v>
      </c>
      <c r="R39" s="43">
        <v>215800</v>
      </c>
      <c r="S39" s="43">
        <v>134900</v>
      </c>
      <c r="U39">
        <f>_xlfn.STDEV.P(Q39,P39,O39,N39,M39,K39,J39,H39,G39,F39,E39,D39)</f>
        <v>16786.235163735262</v>
      </c>
    </row>
    <row r="40" spans="2:21" ht="40.200000000000003" customHeight="1" x14ac:dyDescent="0.25">
      <c r="B40" s="182" t="s">
        <v>205</v>
      </c>
      <c r="C40" s="43">
        <v>97800</v>
      </c>
      <c r="D40" s="212" t="s">
        <v>168</v>
      </c>
      <c r="E40" s="185">
        <v>2026</v>
      </c>
      <c r="F40" s="185">
        <v>2030</v>
      </c>
      <c r="G40" s="185">
        <v>2027</v>
      </c>
      <c r="H40" s="185">
        <v>2027</v>
      </c>
      <c r="I40" s="186">
        <v>2024</v>
      </c>
      <c r="J40" s="185">
        <v>2027</v>
      </c>
      <c r="K40" s="185">
        <v>2026</v>
      </c>
      <c r="L40" s="212" t="s">
        <v>168</v>
      </c>
      <c r="M40" s="185">
        <v>2030</v>
      </c>
      <c r="N40" s="185">
        <v>2029</v>
      </c>
      <c r="O40" s="212" t="s">
        <v>194</v>
      </c>
      <c r="P40" s="213" t="s">
        <v>169</v>
      </c>
      <c r="Q40" s="185">
        <v>2026</v>
      </c>
      <c r="R40" s="212" t="s">
        <v>171</v>
      </c>
      <c r="S40" s="186">
        <v>2023</v>
      </c>
    </row>
    <row r="41" spans="2:21" ht="40.200000000000003" customHeight="1" x14ac:dyDescent="0.25">
      <c r="B41" s="182" t="s">
        <v>206</v>
      </c>
      <c r="C41" s="43">
        <v>73400</v>
      </c>
      <c r="D41" s="213" t="s">
        <v>194</v>
      </c>
      <c r="E41" s="212" t="s">
        <v>168</v>
      </c>
      <c r="F41" s="213" t="s">
        <v>168</v>
      </c>
      <c r="G41" s="213" t="s">
        <v>168</v>
      </c>
      <c r="H41" s="213" t="s">
        <v>168</v>
      </c>
      <c r="I41" s="185">
        <v>2028</v>
      </c>
      <c r="J41" s="212" t="s">
        <v>168</v>
      </c>
      <c r="K41" s="185">
        <v>2030</v>
      </c>
      <c r="L41" s="213" t="s">
        <v>168</v>
      </c>
      <c r="M41" s="212" t="s">
        <v>194</v>
      </c>
      <c r="N41" s="213" t="s">
        <v>228</v>
      </c>
      <c r="O41" s="213" t="s">
        <v>194</v>
      </c>
      <c r="P41" s="213" t="s">
        <v>194</v>
      </c>
      <c r="Q41" s="213" t="s">
        <v>169</v>
      </c>
      <c r="R41" s="213" t="s">
        <v>169</v>
      </c>
      <c r="S41" s="185">
        <v>2026</v>
      </c>
    </row>
    <row r="42" spans="2:21" ht="40.200000000000003" customHeight="1" x14ac:dyDescent="0.25">
      <c r="B42" s="182" t="s">
        <v>207</v>
      </c>
      <c r="C42" s="43">
        <v>100300</v>
      </c>
      <c r="D42" s="213" t="s">
        <v>168</v>
      </c>
      <c r="E42" s="185">
        <v>2026</v>
      </c>
      <c r="F42" s="185">
        <v>2029</v>
      </c>
      <c r="G42" s="185">
        <v>2026</v>
      </c>
      <c r="H42" s="185">
        <v>2026</v>
      </c>
      <c r="I42" s="186">
        <v>2023</v>
      </c>
      <c r="J42" s="185">
        <v>2027</v>
      </c>
      <c r="K42" s="185">
        <v>2026</v>
      </c>
      <c r="L42" s="213" t="s">
        <v>168</v>
      </c>
      <c r="M42" s="185">
        <v>2030</v>
      </c>
      <c r="N42" s="185">
        <v>2029</v>
      </c>
      <c r="O42" s="213" t="s">
        <v>169</v>
      </c>
      <c r="P42" s="213" t="s">
        <v>169</v>
      </c>
      <c r="Q42" s="185">
        <v>2026</v>
      </c>
      <c r="R42" s="213" t="s">
        <v>169</v>
      </c>
      <c r="S42" s="186">
        <v>2023</v>
      </c>
    </row>
    <row r="43" spans="2:21" ht="40.200000000000003" customHeight="1" x14ac:dyDescent="0.25">
      <c r="B43" s="182" t="s">
        <v>208</v>
      </c>
      <c r="C43" s="43">
        <v>124800</v>
      </c>
      <c r="D43" s="185">
        <v>2028</v>
      </c>
      <c r="E43" s="186">
        <v>2023</v>
      </c>
      <c r="F43" s="186">
        <v>2025</v>
      </c>
      <c r="G43" s="186">
        <v>2023</v>
      </c>
      <c r="H43" s="186">
        <v>2023</v>
      </c>
      <c r="I43" s="184">
        <v>2020</v>
      </c>
      <c r="J43" s="186">
        <v>2024</v>
      </c>
      <c r="K43" s="186">
        <v>2023</v>
      </c>
      <c r="L43" s="213" t="s">
        <v>168</v>
      </c>
      <c r="M43" s="185">
        <v>2026</v>
      </c>
      <c r="N43" s="186">
        <v>2025</v>
      </c>
      <c r="O43" s="185">
        <v>2028</v>
      </c>
      <c r="P43" s="185">
        <v>2030</v>
      </c>
      <c r="Q43" s="186">
        <v>2023</v>
      </c>
      <c r="R43" s="213" t="s">
        <v>171</v>
      </c>
      <c r="S43" s="184">
        <v>2019</v>
      </c>
    </row>
    <row r="44" spans="2:21" ht="40.200000000000003" customHeight="1" x14ac:dyDescent="0.25">
      <c r="B44" s="182" t="s">
        <v>176</v>
      </c>
      <c r="C44" s="43">
        <v>175800</v>
      </c>
      <c r="D44" s="184">
        <v>2020</v>
      </c>
      <c r="E44" s="184">
        <v>2019</v>
      </c>
      <c r="F44" s="184">
        <v>2019</v>
      </c>
      <c r="G44" s="184">
        <v>2019</v>
      </c>
      <c r="H44" s="184">
        <v>2019</v>
      </c>
      <c r="I44" s="184">
        <v>2019</v>
      </c>
      <c r="J44" s="184">
        <v>2019</v>
      </c>
      <c r="K44" s="184">
        <v>2019</v>
      </c>
      <c r="L44" s="213" t="s">
        <v>168</v>
      </c>
      <c r="M44" s="184">
        <v>2019</v>
      </c>
      <c r="N44" s="184">
        <v>2019</v>
      </c>
      <c r="O44" s="184">
        <v>2020</v>
      </c>
      <c r="P44" s="186">
        <v>2023</v>
      </c>
      <c r="Q44" s="184">
        <v>2019</v>
      </c>
      <c r="R44" s="186">
        <v>2023</v>
      </c>
      <c r="S44" s="184">
        <v>2019</v>
      </c>
    </row>
    <row r="45" spans="2:21" ht="40.200000000000003" customHeight="1" x14ac:dyDescent="0.25">
      <c r="B45" s="182" t="s">
        <v>209</v>
      </c>
      <c r="C45" s="43">
        <v>126000</v>
      </c>
      <c r="D45" s="185">
        <v>2027</v>
      </c>
      <c r="E45" s="186">
        <v>2023</v>
      </c>
      <c r="F45" s="186">
        <v>2025</v>
      </c>
      <c r="G45" s="186">
        <v>2023</v>
      </c>
      <c r="H45" s="186">
        <v>2023</v>
      </c>
      <c r="I45" s="184">
        <v>2020</v>
      </c>
      <c r="J45" s="186">
        <v>2023</v>
      </c>
      <c r="K45" s="186">
        <v>2023</v>
      </c>
      <c r="L45" s="213" t="s">
        <v>168</v>
      </c>
      <c r="M45" s="186">
        <v>2025</v>
      </c>
      <c r="N45" s="186">
        <v>2025</v>
      </c>
      <c r="O45" s="185">
        <v>2028</v>
      </c>
      <c r="P45" s="185">
        <v>2030</v>
      </c>
      <c r="Q45" s="186">
        <v>2023</v>
      </c>
      <c r="R45" s="185">
        <v>2030</v>
      </c>
      <c r="S45" s="184">
        <v>2019</v>
      </c>
    </row>
    <row r="46" spans="2:21" ht="40.200000000000003" customHeight="1" x14ac:dyDescent="0.25">
      <c r="B46" s="182" t="s">
        <v>201</v>
      </c>
      <c r="C46" s="43">
        <v>224800</v>
      </c>
      <c r="D46" s="184">
        <v>2019</v>
      </c>
      <c r="E46" s="184">
        <v>2019</v>
      </c>
      <c r="F46" s="184">
        <v>2019</v>
      </c>
      <c r="G46" s="184">
        <v>2019</v>
      </c>
      <c r="H46" s="184">
        <v>2019</v>
      </c>
      <c r="I46" s="184">
        <v>2019</v>
      </c>
      <c r="J46" s="184">
        <v>2019</v>
      </c>
      <c r="K46" s="184">
        <v>2019</v>
      </c>
      <c r="L46" s="213" t="s">
        <v>168</v>
      </c>
      <c r="M46" s="184">
        <v>2019</v>
      </c>
      <c r="N46" s="184">
        <v>2019</v>
      </c>
      <c r="O46" s="184">
        <v>2019</v>
      </c>
      <c r="P46" s="184">
        <v>2019</v>
      </c>
      <c r="Q46" s="184">
        <v>2019</v>
      </c>
      <c r="R46" s="184">
        <v>2019</v>
      </c>
      <c r="S46" s="184">
        <v>2019</v>
      </c>
    </row>
    <row r="47" spans="2:21" ht="40.200000000000003" customHeight="1" x14ac:dyDescent="0.25">
      <c r="B47" s="182" t="s">
        <v>177</v>
      </c>
      <c r="C47" s="43">
        <v>129800</v>
      </c>
      <c r="D47" s="185">
        <v>2027</v>
      </c>
      <c r="E47" s="186">
        <v>2023</v>
      </c>
      <c r="F47" s="186">
        <v>2025</v>
      </c>
      <c r="G47" s="186">
        <v>2023</v>
      </c>
      <c r="H47" s="186">
        <v>2023</v>
      </c>
      <c r="I47" s="184">
        <v>2019</v>
      </c>
      <c r="J47" s="186">
        <v>2023</v>
      </c>
      <c r="K47" s="184">
        <v>2022</v>
      </c>
      <c r="L47" s="213" t="s">
        <v>168</v>
      </c>
      <c r="M47" s="186">
        <v>2025</v>
      </c>
      <c r="N47" s="186">
        <v>2024</v>
      </c>
      <c r="O47" s="185">
        <v>2027</v>
      </c>
      <c r="P47" s="185">
        <v>2029</v>
      </c>
      <c r="Q47" s="186">
        <v>2023</v>
      </c>
      <c r="R47" s="185">
        <v>2030</v>
      </c>
      <c r="S47" s="184">
        <v>2019</v>
      </c>
    </row>
    <row r="48" spans="2:21" ht="40.200000000000003" customHeight="1" x14ac:dyDescent="0.25">
      <c r="B48" s="182" t="s">
        <v>210</v>
      </c>
      <c r="C48" s="43">
        <v>137300</v>
      </c>
      <c r="D48" s="185">
        <v>2026</v>
      </c>
      <c r="E48" s="184">
        <v>2022</v>
      </c>
      <c r="F48" s="186">
        <v>2024</v>
      </c>
      <c r="G48" s="184">
        <v>2022</v>
      </c>
      <c r="H48" s="184">
        <v>2022</v>
      </c>
      <c r="I48" s="184">
        <v>2019</v>
      </c>
      <c r="J48" s="184">
        <v>2022</v>
      </c>
      <c r="K48" s="184">
        <v>2020</v>
      </c>
      <c r="L48" s="213" t="s">
        <v>168</v>
      </c>
      <c r="M48" s="186">
        <v>2024</v>
      </c>
      <c r="N48" s="186">
        <v>2024</v>
      </c>
      <c r="O48" s="185">
        <v>2026</v>
      </c>
      <c r="P48" s="185">
        <v>2028</v>
      </c>
      <c r="Q48" s="184">
        <v>2022</v>
      </c>
      <c r="R48" s="185">
        <v>2028</v>
      </c>
      <c r="S48" s="184">
        <v>2019</v>
      </c>
    </row>
    <row r="49" spans="1:19" ht="40.200000000000003" customHeight="1" x14ac:dyDescent="0.25">
      <c r="B49" s="182" t="s">
        <v>211</v>
      </c>
      <c r="C49" s="43">
        <v>211300</v>
      </c>
      <c r="D49" s="184">
        <v>2019</v>
      </c>
      <c r="E49" s="184">
        <v>2019</v>
      </c>
      <c r="F49" s="184">
        <v>2019</v>
      </c>
      <c r="G49" s="184">
        <v>2019</v>
      </c>
      <c r="H49" s="184">
        <v>2019</v>
      </c>
      <c r="I49" s="184">
        <v>2019</v>
      </c>
      <c r="J49" s="184">
        <v>2019</v>
      </c>
      <c r="K49" s="184">
        <v>2019</v>
      </c>
      <c r="L49" s="213" t="s">
        <v>168</v>
      </c>
      <c r="M49" s="184">
        <v>2019</v>
      </c>
      <c r="N49" s="184">
        <v>2019</v>
      </c>
      <c r="O49" s="184">
        <v>2019</v>
      </c>
      <c r="P49" s="184">
        <v>2019</v>
      </c>
      <c r="Q49" s="184">
        <v>2019</v>
      </c>
      <c r="R49" s="184">
        <v>2019</v>
      </c>
      <c r="S49" s="184">
        <v>2019</v>
      </c>
    </row>
    <row r="50" spans="1:19" ht="40.200000000000003" customHeight="1" x14ac:dyDescent="0.25">
      <c r="B50" s="182" t="s">
        <v>212</v>
      </c>
      <c r="C50" s="43">
        <v>139300</v>
      </c>
      <c r="D50" s="185">
        <v>2026</v>
      </c>
      <c r="E50" s="184">
        <v>2020</v>
      </c>
      <c r="F50" s="186">
        <v>2024</v>
      </c>
      <c r="G50" s="184">
        <v>2022</v>
      </c>
      <c r="H50" s="184">
        <v>2022</v>
      </c>
      <c r="I50" s="184">
        <v>2019</v>
      </c>
      <c r="J50" s="184">
        <v>2022</v>
      </c>
      <c r="K50" s="184">
        <v>2020</v>
      </c>
      <c r="L50" s="213" t="s">
        <v>168</v>
      </c>
      <c r="M50" s="186">
        <v>2024</v>
      </c>
      <c r="N50" s="186">
        <v>2023</v>
      </c>
      <c r="O50" s="185">
        <v>2026</v>
      </c>
      <c r="P50" s="185">
        <v>2028</v>
      </c>
      <c r="Q50" s="184">
        <v>2020</v>
      </c>
      <c r="R50" s="185">
        <v>2028</v>
      </c>
      <c r="S50" s="184">
        <v>2019</v>
      </c>
    </row>
    <row r="51" spans="1:19" ht="40.200000000000003" customHeight="1" x14ac:dyDescent="0.25">
      <c r="B51" s="182" t="s">
        <v>213</v>
      </c>
      <c r="C51" s="43">
        <v>142300</v>
      </c>
      <c r="D51" s="186">
        <v>2025</v>
      </c>
      <c r="E51" s="184">
        <v>2020</v>
      </c>
      <c r="F51" s="186">
        <v>2023</v>
      </c>
      <c r="G51" s="184">
        <v>2020</v>
      </c>
      <c r="H51" s="184">
        <v>2020</v>
      </c>
      <c r="I51" s="184">
        <v>2019</v>
      </c>
      <c r="J51" s="184">
        <v>2022</v>
      </c>
      <c r="K51" s="184">
        <v>2020</v>
      </c>
      <c r="L51" s="213" t="s">
        <v>168</v>
      </c>
      <c r="M51" s="186">
        <v>2024</v>
      </c>
      <c r="N51" s="186">
        <v>2023</v>
      </c>
      <c r="O51" s="185">
        <v>2026</v>
      </c>
      <c r="P51" s="185">
        <v>2027</v>
      </c>
      <c r="Q51" s="184">
        <v>2020</v>
      </c>
      <c r="R51" s="185">
        <v>2027</v>
      </c>
      <c r="S51" s="184">
        <v>2019</v>
      </c>
    </row>
    <row r="52" spans="1:19" ht="40.200000000000003" customHeight="1" x14ac:dyDescent="0.25">
      <c r="B52" s="182" t="s">
        <v>214</v>
      </c>
      <c r="C52" s="43">
        <v>95900</v>
      </c>
      <c r="D52" s="212" t="s">
        <v>168</v>
      </c>
      <c r="E52" s="185">
        <v>2027</v>
      </c>
      <c r="F52" s="185">
        <v>2030</v>
      </c>
      <c r="G52" s="185">
        <v>2027</v>
      </c>
      <c r="H52" s="185">
        <v>2027</v>
      </c>
      <c r="I52" s="186">
        <v>2024</v>
      </c>
      <c r="J52" s="185">
        <v>2027</v>
      </c>
      <c r="K52" s="185">
        <v>2026</v>
      </c>
      <c r="L52" s="213" t="s">
        <v>168</v>
      </c>
      <c r="M52" s="185">
        <v>2030</v>
      </c>
      <c r="N52" s="185">
        <v>2029</v>
      </c>
      <c r="O52" s="212" t="s">
        <v>169</v>
      </c>
      <c r="P52" s="213" t="s">
        <v>169</v>
      </c>
      <c r="Q52" s="185">
        <v>2027</v>
      </c>
      <c r="R52" s="212" t="s">
        <v>169</v>
      </c>
      <c r="S52" s="186">
        <v>2023</v>
      </c>
    </row>
    <row r="53" spans="1:19" ht="40.200000000000003" customHeight="1" x14ac:dyDescent="0.25">
      <c r="B53" s="182" t="s">
        <v>215</v>
      </c>
      <c r="C53" s="43">
        <v>137900</v>
      </c>
      <c r="D53" s="185">
        <v>2026</v>
      </c>
      <c r="E53" s="184">
        <v>2022</v>
      </c>
      <c r="F53" s="186">
        <v>2024</v>
      </c>
      <c r="G53" s="184">
        <v>2022</v>
      </c>
      <c r="H53" s="184">
        <v>2022</v>
      </c>
      <c r="I53" s="184">
        <v>2019</v>
      </c>
      <c r="J53" s="184">
        <v>2022</v>
      </c>
      <c r="K53" s="184">
        <v>2020</v>
      </c>
      <c r="L53" s="213" t="s">
        <v>169</v>
      </c>
      <c r="M53" s="186">
        <v>2024</v>
      </c>
      <c r="N53" s="186">
        <v>2023</v>
      </c>
      <c r="O53" s="185">
        <v>2026</v>
      </c>
      <c r="P53" s="185">
        <v>2028</v>
      </c>
      <c r="Q53" s="184">
        <v>2022</v>
      </c>
      <c r="R53" s="185">
        <v>2028</v>
      </c>
      <c r="S53" s="184">
        <v>2019</v>
      </c>
    </row>
    <row r="54" spans="1:19" ht="43.2" x14ac:dyDescent="0.25">
      <c r="B54" s="182" t="s">
        <v>216</v>
      </c>
      <c r="C54" s="43">
        <v>212800</v>
      </c>
      <c r="D54" s="184">
        <v>2019</v>
      </c>
      <c r="E54" s="184">
        <v>2019</v>
      </c>
      <c r="F54" s="184">
        <v>2019</v>
      </c>
      <c r="G54" s="184">
        <v>2019</v>
      </c>
      <c r="H54" s="184">
        <v>2019</v>
      </c>
      <c r="I54" s="184">
        <v>2019</v>
      </c>
      <c r="J54" s="184">
        <v>2019</v>
      </c>
      <c r="K54" s="184">
        <v>2019</v>
      </c>
      <c r="L54" s="213" t="s">
        <v>169</v>
      </c>
      <c r="M54" s="184">
        <v>2019</v>
      </c>
      <c r="N54" s="184">
        <v>2019</v>
      </c>
      <c r="O54" s="184">
        <v>2019</v>
      </c>
      <c r="P54" s="184">
        <v>2019</v>
      </c>
      <c r="Q54" s="184">
        <v>2019</v>
      </c>
      <c r="R54" s="184">
        <v>2019</v>
      </c>
      <c r="S54" s="184">
        <v>2019</v>
      </c>
    </row>
    <row r="55" spans="1:19" ht="28.8" x14ac:dyDescent="0.25">
      <c r="B55" s="182" t="s">
        <v>217</v>
      </c>
      <c r="C55" s="43">
        <v>351300</v>
      </c>
      <c r="D55" s="184">
        <v>2019</v>
      </c>
      <c r="E55" s="184">
        <v>2019</v>
      </c>
      <c r="F55" s="184">
        <v>2019</v>
      </c>
      <c r="G55" s="184">
        <v>2019</v>
      </c>
      <c r="H55" s="184">
        <v>2019</v>
      </c>
      <c r="I55" s="184">
        <v>2019</v>
      </c>
      <c r="J55" s="184">
        <v>2019</v>
      </c>
      <c r="K55" s="184">
        <v>2019</v>
      </c>
      <c r="L55" s="186">
        <v>2025</v>
      </c>
      <c r="M55" s="184">
        <v>2019</v>
      </c>
      <c r="N55" s="184">
        <v>2019</v>
      </c>
      <c r="O55" s="184">
        <v>2019</v>
      </c>
      <c r="P55" s="184">
        <v>2019</v>
      </c>
      <c r="Q55" s="184">
        <v>2019</v>
      </c>
      <c r="R55" s="184">
        <v>2019</v>
      </c>
      <c r="S55" s="184">
        <v>2019</v>
      </c>
    </row>
    <row r="57" spans="1:19" x14ac:dyDescent="0.25">
      <c r="B57" s="193"/>
      <c r="C57">
        <f>_xlfn.STDEV.P(C40,C42,C43,C44,C45,C47,C48,C49,C50,C51,C53,C54)</f>
        <v>35724.520834979565</v>
      </c>
    </row>
    <row r="58" spans="1:19" x14ac:dyDescent="0.25">
      <c r="B58" s="193"/>
    </row>
    <row r="59" spans="1:19" x14ac:dyDescent="0.25">
      <c r="A59" t="s">
        <v>242</v>
      </c>
      <c r="B59" s="43">
        <v>112</v>
      </c>
      <c r="C59">
        <f>B59/256</f>
        <v>0.4375</v>
      </c>
    </row>
    <row r="60" spans="1:19" x14ac:dyDescent="0.25">
      <c r="A60" t="s">
        <v>243</v>
      </c>
      <c r="B60" s="43">
        <v>47</v>
      </c>
      <c r="C60">
        <f>B60/256</f>
        <v>0.18359375</v>
      </c>
    </row>
    <row r="61" spans="1:19" x14ac:dyDescent="0.25">
      <c r="A61" t="s">
        <v>244</v>
      </c>
      <c r="B61" s="43">
        <v>97</v>
      </c>
      <c r="C61">
        <f>B61/256</f>
        <v>0.37890625</v>
      </c>
    </row>
    <row r="62" spans="1:19" x14ac:dyDescent="0.25">
      <c r="F62">
        <f>F64-2*C57</f>
        <v>73167.624996707527</v>
      </c>
      <c r="J62">
        <f>J64-2*U39</f>
        <v>146556.69633919612</v>
      </c>
    </row>
    <row r="64" spans="1:19" x14ac:dyDescent="0.25">
      <c r="A64" t="s">
        <v>245</v>
      </c>
      <c r="F64">
        <f>AVERAGE(C40,C42,C43,C44,C45,C47,C48,C49,C50,C51,C53,C54)</f>
        <v>144616.66666666666</v>
      </c>
      <c r="J64">
        <f>AVERAGE(D39,E39,F39,G39,H39,J39,K39,M39,N39,O39,P39,Q39)</f>
        <v>180129.16666666666</v>
      </c>
    </row>
    <row r="65" spans="1:10" x14ac:dyDescent="0.25">
      <c r="A65" t="s">
        <v>353</v>
      </c>
    </row>
    <row r="66" spans="1:10" x14ac:dyDescent="0.25">
      <c r="A66" t="s">
        <v>246</v>
      </c>
      <c r="F66">
        <f>F64+2*C57</f>
        <v>216065.70833662577</v>
      </c>
      <c r="J66">
        <f>J64+2*U39</f>
        <v>213701.6369941372</v>
      </c>
    </row>
    <row r="67" spans="1:10" x14ac:dyDescent="0.25">
      <c r="A67" t="s">
        <v>354</v>
      </c>
    </row>
    <row r="68" spans="1:10" x14ac:dyDescent="0.25">
      <c r="B68" s="193"/>
    </row>
    <row r="69" spans="1:10" x14ac:dyDescent="0.25">
      <c r="B69" s="193"/>
    </row>
    <row r="71" spans="1:10" x14ac:dyDescent="0.25">
      <c r="A71" t="s">
        <v>247</v>
      </c>
    </row>
    <row r="72" spans="1:10" x14ac:dyDescent="0.25">
      <c r="A72" t="s">
        <v>248</v>
      </c>
    </row>
    <row r="73" spans="1:10" x14ac:dyDescent="0.25">
      <c r="A73" t="s">
        <v>249</v>
      </c>
    </row>
    <row r="74" spans="1:10" x14ac:dyDescent="0.25">
      <c r="A74" t="s">
        <v>251</v>
      </c>
    </row>
    <row r="75" spans="1:10" x14ac:dyDescent="0.25">
      <c r="B75" s="193"/>
    </row>
    <row r="76" spans="1:10" x14ac:dyDescent="0.25">
      <c r="B76" s="193"/>
    </row>
    <row r="78" spans="1:10" x14ac:dyDescent="0.25">
      <c r="A78" t="s">
        <v>250</v>
      </c>
      <c r="B78" s="43">
        <v>60</v>
      </c>
      <c r="C78" s="183">
        <f>B78/144</f>
        <v>0.41666666666666669</v>
      </c>
    </row>
    <row r="79" spans="1:10" x14ac:dyDescent="0.25">
      <c r="A79" t="s">
        <v>243</v>
      </c>
      <c r="B79" s="43">
        <v>39</v>
      </c>
      <c r="C79" s="67">
        <f>B79/144</f>
        <v>0.27083333333333331</v>
      </c>
    </row>
    <row r="80" spans="1:10" x14ac:dyDescent="0.25">
      <c r="A80" t="s">
        <v>244</v>
      </c>
      <c r="B80" s="43">
        <v>39</v>
      </c>
      <c r="C80" s="68">
        <f>B80/144</f>
        <v>0.27083333333333331</v>
      </c>
    </row>
    <row r="81" spans="1:3" x14ac:dyDescent="0.25">
      <c r="A81" t="s">
        <v>171</v>
      </c>
      <c r="B81" s="43">
        <v>6</v>
      </c>
      <c r="C81" s="69">
        <f>B81/144</f>
        <v>4.1666666666666664E-2</v>
      </c>
    </row>
  </sheetData>
  <mergeCells count="1">
    <mergeCell ref="B38:C39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4"/>
  <sheetViews>
    <sheetView topLeftCell="B7" zoomScaleNormal="100" workbookViewId="0">
      <selection activeCell="C4" sqref="C4:O34"/>
    </sheetView>
  </sheetViews>
  <sheetFormatPr defaultRowHeight="14.4" x14ac:dyDescent="0.25"/>
  <cols>
    <col min="3" max="3" width="26" bestFit="1" customWidth="1"/>
    <col min="4" max="4" width="12.77734375" bestFit="1" customWidth="1"/>
    <col min="5" max="9" width="13.88671875" bestFit="1" customWidth="1"/>
    <col min="10" max="10" width="12.77734375" customWidth="1"/>
    <col min="11" max="15" width="13.88671875" bestFit="1" customWidth="1"/>
  </cols>
  <sheetData>
    <row r="4" spans="3:15" x14ac:dyDescent="0.25">
      <c r="C4" s="131" t="s">
        <v>77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658800</v>
      </c>
      <c r="E6" s="90">
        <f>D6-((D16-E16)+(D17-E17)+(D18-E18))</f>
        <v>642200</v>
      </c>
      <c r="F6" s="90">
        <f t="shared" ref="F6:O6" si="0">E6-((E16-F16)+(E17-F17)+(E18-F18))</f>
        <v>627240</v>
      </c>
      <c r="G6" s="90">
        <f t="shared" si="0"/>
        <v>613756</v>
      </c>
      <c r="H6" s="94">
        <f t="shared" si="0"/>
        <v>601600.4</v>
      </c>
      <c r="I6" s="94">
        <f t="shared" si="0"/>
        <v>590640.36</v>
      </c>
      <c r="J6" s="94">
        <f t="shared" si="0"/>
        <v>580756.32400000002</v>
      </c>
      <c r="K6" s="95">
        <f t="shared" si="0"/>
        <v>571840.69160000002</v>
      </c>
      <c r="L6" s="95">
        <f t="shared" si="0"/>
        <v>563796.62244000006</v>
      </c>
      <c r="M6" s="95">
        <f t="shared" si="0"/>
        <v>556536.96019600006</v>
      </c>
      <c r="N6" s="95">
        <f t="shared" si="0"/>
        <v>549983.26417640003</v>
      </c>
      <c r="O6" s="110">
        <f t="shared" si="0"/>
        <v>544064.93775876006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62724</v>
      </c>
      <c r="G7" s="76">
        <f t="shared" ref="G7:O7" si="1">G6*0.1</f>
        <v>61375.600000000006</v>
      </c>
      <c r="H7" s="77">
        <f t="shared" si="1"/>
        <v>60160.040000000008</v>
      </c>
      <c r="I7" s="77">
        <f t="shared" si="1"/>
        <v>59064.036</v>
      </c>
      <c r="J7" s="77">
        <f t="shared" si="1"/>
        <v>58075.632400000002</v>
      </c>
      <c r="K7" s="78">
        <f t="shared" si="1"/>
        <v>57184.069160000006</v>
      </c>
      <c r="L7" s="78">
        <f t="shared" si="1"/>
        <v>56379.662244000006</v>
      </c>
      <c r="M7" s="78">
        <f t="shared" si="1"/>
        <v>55653.696019600007</v>
      </c>
      <c r="N7" s="78">
        <f t="shared" si="1"/>
        <v>54998.326417640004</v>
      </c>
      <c r="O7" s="104">
        <f t="shared" si="1"/>
        <v>54406.493775876006</v>
      </c>
    </row>
    <row r="8" spans="3:15" ht="15" thickBot="1" x14ac:dyDescent="0.3">
      <c r="C8" s="102" t="s">
        <v>48</v>
      </c>
      <c r="D8" s="79">
        <f>D6+D7</f>
        <v>658800</v>
      </c>
      <c r="E8" s="80">
        <f t="shared" ref="E8:O8" si="2">E6+E7</f>
        <v>642200</v>
      </c>
      <c r="F8" s="80">
        <f t="shared" si="2"/>
        <v>689964</v>
      </c>
      <c r="G8" s="80">
        <f t="shared" si="2"/>
        <v>675131.6</v>
      </c>
      <c r="H8" s="81">
        <f t="shared" si="2"/>
        <v>661760.44000000006</v>
      </c>
      <c r="I8" s="81">
        <f t="shared" si="2"/>
        <v>649704.39599999995</v>
      </c>
      <c r="J8" s="81">
        <f t="shared" si="2"/>
        <v>638831.95640000002</v>
      </c>
      <c r="K8" s="82">
        <f t="shared" si="2"/>
        <v>629024.76075999998</v>
      </c>
      <c r="L8" s="143">
        <f t="shared" si="2"/>
        <v>620176.28468400007</v>
      </c>
      <c r="M8" s="82">
        <f t="shared" si="2"/>
        <v>612190.65621560009</v>
      </c>
      <c r="N8" s="82">
        <f t="shared" si="2"/>
        <v>604981.59059404</v>
      </c>
      <c r="O8" s="105">
        <f t="shared" si="2"/>
        <v>598471.43153463607</v>
      </c>
    </row>
    <row r="9" spans="3:15" x14ac:dyDescent="0.25">
      <c r="C9" s="102" t="s">
        <v>49</v>
      </c>
      <c r="D9" s="79">
        <f>D6*0.05</f>
        <v>32940</v>
      </c>
      <c r="E9" s="80">
        <f t="shared" ref="E9:O9" si="3">E6*0.05</f>
        <v>32110</v>
      </c>
      <c r="F9" s="80">
        <f t="shared" si="3"/>
        <v>31362</v>
      </c>
      <c r="G9" s="80">
        <f t="shared" si="3"/>
        <v>30687.800000000003</v>
      </c>
      <c r="H9" s="81">
        <f t="shared" si="3"/>
        <v>30080.020000000004</v>
      </c>
      <c r="I9" s="81">
        <f t="shared" si="3"/>
        <v>29532.018</v>
      </c>
      <c r="J9" s="81">
        <f t="shared" si="3"/>
        <v>29037.816200000001</v>
      </c>
      <c r="K9" s="82">
        <f t="shared" si="3"/>
        <v>28592.034580000003</v>
      </c>
      <c r="L9" s="82">
        <f t="shared" si="3"/>
        <v>28189.831122000003</v>
      </c>
      <c r="M9" s="82">
        <f t="shared" si="3"/>
        <v>27826.848009800004</v>
      </c>
      <c r="N9" s="82">
        <f t="shared" si="3"/>
        <v>27499.163208820002</v>
      </c>
      <c r="O9" s="105">
        <f t="shared" si="3"/>
        <v>27203.246887938003</v>
      </c>
    </row>
    <row r="10" spans="3:15" x14ac:dyDescent="0.25">
      <c r="C10" s="102" t="s">
        <v>66</v>
      </c>
      <c r="D10" s="79">
        <v>470</v>
      </c>
      <c r="E10" s="80">
        <v>470</v>
      </c>
      <c r="F10" s="80">
        <v>470</v>
      </c>
      <c r="G10" s="80">
        <v>470</v>
      </c>
      <c r="H10" s="81">
        <v>470</v>
      </c>
      <c r="I10" s="81">
        <v>470</v>
      </c>
      <c r="J10" s="81">
        <v>470</v>
      </c>
      <c r="K10" s="82">
        <v>470</v>
      </c>
      <c r="L10" s="82">
        <v>470</v>
      </c>
      <c r="M10" s="82">
        <v>470</v>
      </c>
      <c r="N10" s="82">
        <v>470</v>
      </c>
      <c r="O10" s="105">
        <v>470</v>
      </c>
    </row>
    <row r="11" spans="3:15" x14ac:dyDescent="0.25">
      <c r="C11" s="102" t="s">
        <v>65</v>
      </c>
      <c r="D11" s="83">
        <v>95</v>
      </c>
      <c r="E11" s="84">
        <v>95</v>
      </c>
      <c r="F11" s="84">
        <v>95</v>
      </c>
      <c r="G11" s="84">
        <v>95</v>
      </c>
      <c r="H11" s="85">
        <v>95</v>
      </c>
      <c r="I11" s="85">
        <v>95</v>
      </c>
      <c r="J11" s="85">
        <v>95</v>
      </c>
      <c r="K11" s="86">
        <v>95</v>
      </c>
      <c r="L11" s="86">
        <v>95</v>
      </c>
      <c r="M11" s="86">
        <v>95</v>
      </c>
      <c r="N11" s="86">
        <v>95</v>
      </c>
      <c r="O11" s="106">
        <v>95</v>
      </c>
    </row>
    <row r="12" spans="3:15" x14ac:dyDescent="0.25">
      <c r="C12" s="102" t="s">
        <v>72</v>
      </c>
      <c r="D12" s="83">
        <v>1.2</v>
      </c>
      <c r="E12" s="87">
        <f t="shared" ref="E12:J12" si="4">D12*0.9</f>
        <v>1.08</v>
      </c>
      <c r="F12" s="87">
        <f t="shared" si="4"/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>J12*0.9</f>
        <v>0.5739562800000001</v>
      </c>
      <c r="L12" s="89">
        <f>K12*0.9</f>
        <v>0.51656065200000012</v>
      </c>
      <c r="M12" s="89">
        <f>L12*0.9</f>
        <v>0.46490458680000013</v>
      </c>
      <c r="N12" s="89">
        <f>M12*0.9</f>
        <v>0.41841412812000012</v>
      </c>
      <c r="O12" s="107">
        <f>N12*0.9</f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660860</v>
      </c>
      <c r="E14" s="80">
        <f t="shared" si="5"/>
        <v>645090</v>
      </c>
      <c r="F14" s="80">
        <f t="shared" si="5"/>
        <v>595878</v>
      </c>
      <c r="G14" s="80">
        <f t="shared" si="5"/>
        <v>583068.19999999995</v>
      </c>
      <c r="H14" s="81">
        <f t="shared" si="5"/>
        <v>571520.38</v>
      </c>
      <c r="I14" s="81">
        <f t="shared" si="5"/>
        <v>561108.34199999995</v>
      </c>
      <c r="J14" s="81">
        <f t="shared" si="5"/>
        <v>551718.50780000002</v>
      </c>
      <c r="K14" s="82">
        <f t="shared" si="5"/>
        <v>543248.65702000004</v>
      </c>
      <c r="L14" s="82">
        <f t="shared" si="5"/>
        <v>535606.79131800006</v>
      </c>
      <c r="M14" s="82">
        <f t="shared" si="5"/>
        <v>528710.1121862001</v>
      </c>
      <c r="N14" s="82">
        <f t="shared" si="5"/>
        <v>522484.10096758005</v>
      </c>
      <c r="O14" s="105">
        <f t="shared" si="5"/>
        <v>516861.69087082206</v>
      </c>
    </row>
    <row r="15" spans="3:15" x14ac:dyDescent="0.25">
      <c r="C15" s="102" t="s">
        <v>68</v>
      </c>
      <c r="D15" s="79">
        <f>D14*0.87</f>
        <v>574948.19999999995</v>
      </c>
      <c r="E15" s="80">
        <f t="shared" ref="E15:O15" si="6">E14*0.87</f>
        <v>561228.30000000005</v>
      </c>
      <c r="F15" s="80">
        <f t="shared" si="6"/>
        <v>518413.86</v>
      </c>
      <c r="G15" s="80">
        <f t="shared" si="6"/>
        <v>507269.33399999997</v>
      </c>
      <c r="H15" s="81">
        <f t="shared" si="6"/>
        <v>497222.73060000001</v>
      </c>
      <c r="I15" s="81">
        <f t="shared" si="6"/>
        <v>488164.25753999996</v>
      </c>
      <c r="J15" s="81">
        <f t="shared" si="6"/>
        <v>479995.10178600001</v>
      </c>
      <c r="K15" s="82">
        <f t="shared" si="6"/>
        <v>472626.33160740003</v>
      </c>
      <c r="L15" s="82">
        <f t="shared" si="6"/>
        <v>465977.90844666003</v>
      </c>
      <c r="M15" s="82">
        <f t="shared" si="6"/>
        <v>459977.79760199407</v>
      </c>
      <c r="N15" s="82">
        <f t="shared" si="6"/>
        <v>454561.16784179461</v>
      </c>
      <c r="O15" s="105">
        <f t="shared" si="6"/>
        <v>449669.6710576152</v>
      </c>
    </row>
    <row r="16" spans="3:15" x14ac:dyDescent="0.25">
      <c r="C16" s="102" t="s">
        <v>52</v>
      </c>
      <c r="D16" s="93">
        <f t="shared" ref="D16:O16" si="7">D12*1000*D11</f>
        <v>114000</v>
      </c>
      <c r="E16" s="71">
        <f t="shared" si="7"/>
        <v>102600</v>
      </c>
      <c r="F16" s="71">
        <f t="shared" si="7"/>
        <v>92340.000000000015</v>
      </c>
      <c r="G16" s="71">
        <f t="shared" si="7"/>
        <v>83106.000000000015</v>
      </c>
      <c r="H16" s="72">
        <f t="shared" si="7"/>
        <v>74795.400000000009</v>
      </c>
      <c r="I16" s="72">
        <f t="shared" si="7"/>
        <v>67315.86</v>
      </c>
      <c r="J16" s="72">
        <f t="shared" si="7"/>
        <v>60584.274000000012</v>
      </c>
      <c r="K16" s="73">
        <f t="shared" si="7"/>
        <v>54525.846600000012</v>
      </c>
      <c r="L16" s="73">
        <f t="shared" si="7"/>
        <v>49073.261940000011</v>
      </c>
      <c r="M16" s="73">
        <f t="shared" si="7"/>
        <v>44165.93574600001</v>
      </c>
      <c r="N16" s="73">
        <f t="shared" si="7"/>
        <v>39749.342171400007</v>
      </c>
      <c r="O16" s="103">
        <f t="shared" si="7"/>
        <v>35774.407954260008</v>
      </c>
    </row>
    <row r="17" spans="3:15" ht="28.8" x14ac:dyDescent="0.25">
      <c r="C17" s="109" t="s">
        <v>53</v>
      </c>
      <c r="D17" s="49">
        <v>30000</v>
      </c>
      <c r="E17" s="139">
        <f>D17-200</f>
        <v>29800</v>
      </c>
      <c r="F17" s="139">
        <f t="shared" ref="F17:O17" si="8">E17-200</f>
        <v>29600</v>
      </c>
      <c r="G17" s="139">
        <f t="shared" si="8"/>
        <v>29400</v>
      </c>
      <c r="H17" s="140">
        <f t="shared" si="8"/>
        <v>29200</v>
      </c>
      <c r="I17" s="140">
        <f t="shared" si="8"/>
        <v>29000</v>
      </c>
      <c r="J17" s="140">
        <f t="shared" si="8"/>
        <v>28800</v>
      </c>
      <c r="K17" s="141">
        <f t="shared" si="8"/>
        <v>28600</v>
      </c>
      <c r="L17" s="141">
        <f t="shared" si="8"/>
        <v>28400</v>
      </c>
      <c r="M17" s="141">
        <f t="shared" si="8"/>
        <v>28200</v>
      </c>
      <c r="N17" s="141">
        <f t="shared" si="8"/>
        <v>28000</v>
      </c>
      <c r="O17" s="142">
        <f t="shared" si="8"/>
        <v>27800</v>
      </c>
    </row>
    <row r="18" spans="3:15" x14ac:dyDescent="0.25">
      <c r="C18" s="102" t="s">
        <v>54</v>
      </c>
      <c r="D18" s="96">
        <v>50000</v>
      </c>
      <c r="E18" s="97">
        <f>D18*0.9</f>
        <v>45000</v>
      </c>
      <c r="F18" s="97">
        <f t="shared" ref="F18:O18" si="9">E18*0.9</f>
        <v>40500</v>
      </c>
      <c r="G18" s="97">
        <f t="shared" si="9"/>
        <v>36450</v>
      </c>
      <c r="H18" s="94">
        <f t="shared" si="9"/>
        <v>32805</v>
      </c>
      <c r="I18" s="94">
        <f t="shared" si="9"/>
        <v>29524.5</v>
      </c>
      <c r="J18" s="94">
        <f t="shared" si="9"/>
        <v>26572.05</v>
      </c>
      <c r="K18" s="95">
        <f t="shared" si="9"/>
        <v>23914.845000000001</v>
      </c>
      <c r="L18" s="95">
        <f t="shared" si="9"/>
        <v>21523.360500000003</v>
      </c>
      <c r="M18" s="95">
        <f t="shared" si="9"/>
        <v>19371.024450000004</v>
      </c>
      <c r="N18" s="95">
        <f t="shared" si="9"/>
        <v>17433.922005000004</v>
      </c>
      <c r="O18" s="110">
        <f t="shared" si="9"/>
        <v>15690.529804500004</v>
      </c>
    </row>
    <row r="19" spans="3:15" ht="15" thickBot="1" x14ac:dyDescent="0.3">
      <c r="C19" s="102" t="s">
        <v>71</v>
      </c>
      <c r="D19" s="79">
        <f>D15-D16-D17-D18</f>
        <v>380948.19999999995</v>
      </c>
      <c r="E19" s="80">
        <f t="shared" ref="E19:O19" si="10">E15-E16-E17-E18</f>
        <v>383828.30000000005</v>
      </c>
      <c r="F19" s="80">
        <f t="shared" si="10"/>
        <v>355973.86</v>
      </c>
      <c r="G19" s="80">
        <f t="shared" si="10"/>
        <v>358313.33399999997</v>
      </c>
      <c r="H19" s="81">
        <f t="shared" si="10"/>
        <v>360422.33059999999</v>
      </c>
      <c r="I19" s="81">
        <f t="shared" si="10"/>
        <v>362323.89753999998</v>
      </c>
      <c r="J19" s="81">
        <f t="shared" si="10"/>
        <v>364038.77778599999</v>
      </c>
      <c r="K19" s="82">
        <f t="shared" si="10"/>
        <v>365585.64000740007</v>
      </c>
      <c r="L19" s="82">
        <f t="shared" si="10"/>
        <v>366981.28600666003</v>
      </c>
      <c r="M19" s="82">
        <f t="shared" si="10"/>
        <v>368240.83740599401</v>
      </c>
      <c r="N19" s="82">
        <f t="shared" si="10"/>
        <v>369377.90366539458</v>
      </c>
      <c r="O19" s="105">
        <f t="shared" si="10"/>
        <v>370404.73329885519</v>
      </c>
    </row>
    <row r="20" spans="3:15" ht="15" thickBot="1" x14ac:dyDescent="0.3">
      <c r="C20" s="111" t="s">
        <v>70</v>
      </c>
      <c r="D20" s="138">
        <f>D19/D14</f>
        <v>0.57644311957146743</v>
      </c>
      <c r="E20" s="179">
        <f t="shared" ref="E20:O20" si="11">E19/E14</f>
        <v>0.59499961245717659</v>
      </c>
      <c r="F20" s="180">
        <f t="shared" si="11"/>
        <v>0.59739386250205573</v>
      </c>
      <c r="G20" s="180">
        <f t="shared" si="11"/>
        <v>0.61453074271586072</v>
      </c>
      <c r="H20" s="181">
        <f t="shared" si="11"/>
        <v>0.6306377571347499</v>
      </c>
      <c r="I20" s="181">
        <f t="shared" si="11"/>
        <v>0.64572894469638809</v>
      </c>
      <c r="J20" s="181">
        <f t="shared" si="11"/>
        <v>0.65982701801616084</v>
      </c>
      <c r="K20" s="177">
        <f t="shared" si="11"/>
        <v>0.67296188454993422</v>
      </c>
      <c r="L20" s="177">
        <f t="shared" si="11"/>
        <v>0.68516921733499114</v>
      </c>
      <c r="M20" s="177">
        <f t="shared" si="11"/>
        <v>0.69648911363417931</v>
      </c>
      <c r="N20" s="177">
        <f t="shared" si="11"/>
        <v>0.70696486836891204</v>
      </c>
      <c r="O20" s="178">
        <f t="shared" si="11"/>
        <v>0.71664187894209697</v>
      </c>
    </row>
    <row r="21" spans="3:15" x14ac:dyDescent="0.25">
      <c r="C21" s="131" t="s">
        <v>78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546800</v>
      </c>
      <c r="E23" s="87">
        <f>D23+(E29-D29)+(E30-D30)</f>
        <v>549400</v>
      </c>
      <c r="F23" s="87">
        <f t="shared" ref="F23:O23" si="12">E23+(F29-E29)+(F30-E30)</f>
        <v>552052</v>
      </c>
      <c r="G23" s="87">
        <f t="shared" si="12"/>
        <v>554757.04</v>
      </c>
      <c r="H23" s="88">
        <f t="shared" si="12"/>
        <v>557516.18079999997</v>
      </c>
      <c r="I23" s="88">
        <f t="shared" si="12"/>
        <v>560330.50441599998</v>
      </c>
      <c r="J23" s="88">
        <f t="shared" si="12"/>
        <v>563201.11450431996</v>
      </c>
      <c r="K23" s="89">
        <f t="shared" si="12"/>
        <v>566129.13679440634</v>
      </c>
      <c r="L23" s="89">
        <f t="shared" si="12"/>
        <v>569115.71953029442</v>
      </c>
      <c r="M23" s="89">
        <f t="shared" si="12"/>
        <v>572162.03392090031</v>
      </c>
      <c r="N23" s="89">
        <f t="shared" si="12"/>
        <v>575269.27459931828</v>
      </c>
      <c r="O23" s="107">
        <f t="shared" si="12"/>
        <v>578438.66009130469</v>
      </c>
    </row>
    <row r="24" spans="3:15" ht="15" thickBot="1" x14ac:dyDescent="0.3">
      <c r="C24" s="102" t="s">
        <v>46</v>
      </c>
      <c r="D24" s="117">
        <f>D23*0.1</f>
        <v>54680</v>
      </c>
      <c r="E24" s="76">
        <f t="shared" ref="E24:O24" si="13">E23*0.1</f>
        <v>54940</v>
      </c>
      <c r="F24" s="76">
        <f t="shared" si="13"/>
        <v>55205.200000000004</v>
      </c>
      <c r="G24" s="76">
        <f t="shared" si="13"/>
        <v>55475.704000000005</v>
      </c>
      <c r="H24" s="77">
        <f t="shared" si="13"/>
        <v>55751.61808</v>
      </c>
      <c r="I24" s="77">
        <f t="shared" si="13"/>
        <v>56033.050441600004</v>
      </c>
      <c r="J24" s="77">
        <f t="shared" si="13"/>
        <v>56320.111450431999</v>
      </c>
      <c r="K24" s="78">
        <f t="shared" si="13"/>
        <v>56612.913679440637</v>
      </c>
      <c r="L24" s="78">
        <f t="shared" si="13"/>
        <v>56911.571953029445</v>
      </c>
      <c r="M24" s="78">
        <f t="shared" si="13"/>
        <v>57216.203392090036</v>
      </c>
      <c r="N24" s="78">
        <f t="shared" si="13"/>
        <v>57526.927459931831</v>
      </c>
      <c r="O24" s="104">
        <f t="shared" si="13"/>
        <v>57843.86600913047</v>
      </c>
    </row>
    <row r="25" spans="3:15" ht="15" thickBot="1" x14ac:dyDescent="0.3">
      <c r="C25" s="102" t="s">
        <v>56</v>
      </c>
      <c r="D25" s="93">
        <f>D23+D24</f>
        <v>601480</v>
      </c>
      <c r="E25" s="71">
        <f t="shared" ref="E25:O25" si="14">E23+E24</f>
        <v>604340</v>
      </c>
      <c r="F25" s="71">
        <f t="shared" si="14"/>
        <v>607257.19999999995</v>
      </c>
      <c r="G25" s="135">
        <f t="shared" si="14"/>
        <v>610232.74400000006</v>
      </c>
      <c r="H25" s="72">
        <f t="shared" si="14"/>
        <v>613267.79888000002</v>
      </c>
      <c r="I25" s="72">
        <f t="shared" si="14"/>
        <v>616363.55485760001</v>
      </c>
      <c r="J25" s="72">
        <f t="shared" si="14"/>
        <v>619521.22595475195</v>
      </c>
      <c r="K25" s="73">
        <f t="shared" si="14"/>
        <v>622742.05047384696</v>
      </c>
      <c r="L25" s="144">
        <f t="shared" si="14"/>
        <v>626027.2914833239</v>
      </c>
      <c r="M25" s="73">
        <f t="shared" si="14"/>
        <v>629378.23731299036</v>
      </c>
      <c r="N25" s="73">
        <f t="shared" si="14"/>
        <v>632796.20205925009</v>
      </c>
      <c r="O25" s="103">
        <f t="shared" si="14"/>
        <v>636282.52610043518</v>
      </c>
    </row>
    <row r="26" spans="3:15" x14ac:dyDescent="0.25">
      <c r="C26" s="102" t="s">
        <v>57</v>
      </c>
      <c r="D26" s="79">
        <f>D23*0.05</f>
        <v>27340</v>
      </c>
      <c r="E26" s="80">
        <f t="shared" ref="E26:O26" si="15">E23*0.05</f>
        <v>27470</v>
      </c>
      <c r="F26" s="80">
        <f t="shared" si="15"/>
        <v>27602.600000000002</v>
      </c>
      <c r="G26" s="80">
        <f t="shared" si="15"/>
        <v>27737.852000000003</v>
      </c>
      <c r="H26" s="81">
        <f t="shared" si="15"/>
        <v>27875.80904</v>
      </c>
      <c r="I26" s="81">
        <f t="shared" si="15"/>
        <v>28016.525220800002</v>
      </c>
      <c r="J26" s="81">
        <f t="shared" si="15"/>
        <v>28160.055725216</v>
      </c>
      <c r="K26" s="82">
        <f t="shared" si="15"/>
        <v>28306.456839720318</v>
      </c>
      <c r="L26" s="82">
        <f t="shared" si="15"/>
        <v>28455.785976514722</v>
      </c>
      <c r="M26" s="82">
        <f t="shared" si="15"/>
        <v>28608.101696045018</v>
      </c>
      <c r="N26" s="82">
        <f t="shared" si="15"/>
        <v>28763.463729965915</v>
      </c>
      <c r="O26" s="105">
        <f t="shared" si="15"/>
        <v>28921.933004565235</v>
      </c>
    </row>
    <row r="27" spans="3:15" x14ac:dyDescent="0.25">
      <c r="C27" s="102" t="s">
        <v>58</v>
      </c>
      <c r="D27" s="79">
        <f>D23-D26</f>
        <v>519460</v>
      </c>
      <c r="E27" s="80">
        <f t="shared" ref="E27:O27" si="16">E23-E26</f>
        <v>521930</v>
      </c>
      <c r="F27" s="80">
        <f t="shared" si="16"/>
        <v>524449.4</v>
      </c>
      <c r="G27" s="80">
        <f t="shared" si="16"/>
        <v>527019.18800000008</v>
      </c>
      <c r="H27" s="81">
        <f t="shared" si="16"/>
        <v>529640.37176000001</v>
      </c>
      <c r="I27" s="81">
        <f t="shared" si="16"/>
        <v>532313.97919520002</v>
      </c>
      <c r="J27" s="81">
        <f t="shared" si="16"/>
        <v>535041.05877910391</v>
      </c>
      <c r="K27" s="82">
        <f t="shared" si="16"/>
        <v>537822.67995468597</v>
      </c>
      <c r="L27" s="82">
        <f t="shared" si="16"/>
        <v>540659.93355377973</v>
      </c>
      <c r="M27" s="82">
        <f t="shared" si="16"/>
        <v>543553.93222485529</v>
      </c>
      <c r="N27" s="82">
        <f t="shared" si="16"/>
        <v>546505.81086935231</v>
      </c>
      <c r="O27" s="105">
        <f t="shared" si="16"/>
        <v>549516.7270867395</v>
      </c>
    </row>
    <row r="28" spans="3:15" x14ac:dyDescent="0.25">
      <c r="C28" s="102" t="s">
        <v>68</v>
      </c>
      <c r="D28" s="79">
        <f>D27*0.87</f>
        <v>451930.2</v>
      </c>
      <c r="E28" s="80">
        <f t="shared" ref="E28:O28" si="17">E27*0.87</f>
        <v>454079.1</v>
      </c>
      <c r="F28" s="80">
        <f t="shared" si="17"/>
        <v>456270.978</v>
      </c>
      <c r="G28" s="80">
        <f t="shared" si="17"/>
        <v>458506.69356000004</v>
      </c>
      <c r="H28" s="81">
        <f t="shared" si="17"/>
        <v>460787.12343119999</v>
      </c>
      <c r="I28" s="81">
        <f t="shared" si="17"/>
        <v>463113.16189982404</v>
      </c>
      <c r="J28" s="81">
        <f t="shared" si="17"/>
        <v>465485.72113782039</v>
      </c>
      <c r="K28" s="82">
        <f t="shared" si="17"/>
        <v>467905.73156057677</v>
      </c>
      <c r="L28" s="82">
        <f t="shared" si="17"/>
        <v>470374.14219178836</v>
      </c>
      <c r="M28" s="82">
        <f t="shared" si="17"/>
        <v>472891.92103562411</v>
      </c>
      <c r="N28" s="82">
        <f t="shared" si="17"/>
        <v>475460.05545633653</v>
      </c>
      <c r="O28" s="105">
        <f t="shared" si="17"/>
        <v>478079.55256546335</v>
      </c>
    </row>
    <row r="29" spans="3:15" x14ac:dyDescent="0.25">
      <c r="C29" s="102" t="s">
        <v>59</v>
      </c>
      <c r="D29" s="70">
        <v>80000</v>
      </c>
      <c r="E29" s="80">
        <f>D29*1.02</f>
        <v>81600</v>
      </c>
      <c r="F29" s="80">
        <f t="shared" ref="F29:O30" si="18">E29*1.02</f>
        <v>83232</v>
      </c>
      <c r="G29" s="80">
        <f t="shared" si="18"/>
        <v>84896.639999999999</v>
      </c>
      <c r="H29" s="81">
        <f t="shared" si="18"/>
        <v>86594.572799999994</v>
      </c>
      <c r="I29" s="81">
        <f t="shared" si="18"/>
        <v>88326.464255999992</v>
      </c>
      <c r="J29" s="81">
        <f t="shared" si="18"/>
        <v>90092.993541119999</v>
      </c>
      <c r="K29" s="82">
        <f t="shared" si="18"/>
        <v>91894.8534119424</v>
      </c>
      <c r="L29" s="82">
        <f t="shared" si="18"/>
        <v>93732.750480181247</v>
      </c>
      <c r="M29" s="82">
        <f t="shared" si="18"/>
        <v>95607.405489784869</v>
      </c>
      <c r="N29" s="82">
        <f t="shared" si="18"/>
        <v>97519.553599580569</v>
      </c>
      <c r="O29" s="105">
        <f t="shared" si="18"/>
        <v>99469.944671572186</v>
      </c>
    </row>
    <row r="30" spans="3:15" x14ac:dyDescent="0.25">
      <c r="C30" s="102" t="s">
        <v>60</v>
      </c>
      <c r="D30" s="70">
        <v>50000</v>
      </c>
      <c r="E30" s="80">
        <f>D30*1.02</f>
        <v>51000</v>
      </c>
      <c r="F30" s="80">
        <f t="shared" si="18"/>
        <v>52020</v>
      </c>
      <c r="G30" s="80">
        <f t="shared" si="18"/>
        <v>53060.4</v>
      </c>
      <c r="H30" s="81">
        <f t="shared" si="18"/>
        <v>54121.608</v>
      </c>
      <c r="I30" s="81">
        <f t="shared" si="18"/>
        <v>55204.040160000004</v>
      </c>
      <c r="J30" s="81">
        <f t="shared" si="18"/>
        <v>56308.120963200003</v>
      </c>
      <c r="K30" s="82">
        <f t="shared" si="18"/>
        <v>57434.283382464004</v>
      </c>
      <c r="L30" s="82">
        <f t="shared" si="18"/>
        <v>58582.969050113286</v>
      </c>
      <c r="M30" s="82">
        <f t="shared" si="18"/>
        <v>59754.628431115554</v>
      </c>
      <c r="N30" s="82">
        <f t="shared" si="18"/>
        <v>60949.720999737867</v>
      </c>
      <c r="O30" s="105">
        <f t="shared" si="18"/>
        <v>62168.715419732624</v>
      </c>
    </row>
    <row r="31" spans="3:15" x14ac:dyDescent="0.25">
      <c r="C31" s="102" t="s">
        <v>61</v>
      </c>
      <c r="D31" s="118">
        <v>10000</v>
      </c>
      <c r="E31" s="80">
        <v>10000</v>
      </c>
      <c r="F31" s="80">
        <v>10000</v>
      </c>
      <c r="G31" s="80">
        <v>10000</v>
      </c>
      <c r="H31" s="81">
        <v>10000</v>
      </c>
      <c r="I31" s="81">
        <v>10000</v>
      </c>
      <c r="J31" s="81">
        <v>10000</v>
      </c>
      <c r="K31" s="82">
        <v>10000</v>
      </c>
      <c r="L31" s="82">
        <v>10000</v>
      </c>
      <c r="M31" s="82">
        <v>10000</v>
      </c>
      <c r="N31" s="82">
        <v>10000</v>
      </c>
      <c r="O31" s="105">
        <v>10000</v>
      </c>
    </row>
    <row r="32" spans="3:15" x14ac:dyDescent="0.25">
      <c r="C32" s="102" t="s">
        <v>67</v>
      </c>
      <c r="D32" s="70">
        <v>80000</v>
      </c>
      <c r="E32" s="80">
        <v>80000</v>
      </c>
      <c r="F32" s="80">
        <v>80000</v>
      </c>
      <c r="G32" s="80">
        <v>80000</v>
      </c>
      <c r="H32" s="81">
        <v>80000</v>
      </c>
      <c r="I32" s="81">
        <v>80000</v>
      </c>
      <c r="J32" s="81">
        <v>80000</v>
      </c>
      <c r="K32" s="82">
        <v>80000</v>
      </c>
      <c r="L32" s="82">
        <v>80000</v>
      </c>
      <c r="M32" s="82">
        <v>80000</v>
      </c>
      <c r="N32" s="82">
        <v>80000</v>
      </c>
      <c r="O32" s="105">
        <v>80000</v>
      </c>
    </row>
    <row r="33" spans="3:15" ht="15" thickBot="1" x14ac:dyDescent="0.3">
      <c r="C33" s="102" t="s">
        <v>69</v>
      </c>
      <c r="D33" s="79">
        <f>D28-D29-D30-D31-D32</f>
        <v>231930.2</v>
      </c>
      <c r="E33" s="80">
        <f t="shared" ref="E33:O33" si="19">E28-E29-E30-E31-E32</f>
        <v>231479.09999999998</v>
      </c>
      <c r="F33" s="80">
        <f t="shared" si="19"/>
        <v>231018.978</v>
      </c>
      <c r="G33" s="80">
        <f t="shared" si="19"/>
        <v>230549.65356000001</v>
      </c>
      <c r="H33" s="81">
        <f t="shared" si="19"/>
        <v>230070.94263119996</v>
      </c>
      <c r="I33" s="81">
        <f t="shared" si="19"/>
        <v>229582.65748382406</v>
      </c>
      <c r="J33" s="81">
        <f t="shared" si="19"/>
        <v>229084.60663350043</v>
      </c>
      <c r="K33" s="82">
        <f t="shared" si="19"/>
        <v>228576.59476617031</v>
      </c>
      <c r="L33" s="82">
        <f t="shared" si="19"/>
        <v>228058.42266149382</v>
      </c>
      <c r="M33" s="82">
        <f t="shared" si="19"/>
        <v>227529.88711472368</v>
      </c>
      <c r="N33" s="82">
        <f t="shared" si="19"/>
        <v>226990.78085701808</v>
      </c>
      <c r="O33" s="105">
        <f t="shared" si="19"/>
        <v>226440.89247415855</v>
      </c>
    </row>
    <row r="34" spans="3:15" ht="15" thickBot="1" x14ac:dyDescent="0.3">
      <c r="C34" s="111" t="s">
        <v>70</v>
      </c>
      <c r="D34" s="138">
        <f>D33/D27</f>
        <v>0.44648327108920804</v>
      </c>
      <c r="E34" s="179">
        <f t="shared" ref="E34:O34" si="20">E33/E27</f>
        <v>0.44350602571226022</v>
      </c>
      <c r="F34" s="180">
        <f t="shared" si="20"/>
        <v>0.44049812622533269</v>
      </c>
      <c r="G34" s="180">
        <f t="shared" si="20"/>
        <v>0.43745969560410003</v>
      </c>
      <c r="H34" s="181">
        <f t="shared" si="20"/>
        <v>0.43439087142596783</v>
      </c>
      <c r="I34" s="181">
        <f t="shared" si="20"/>
        <v>0.43129180607078493</v>
      </c>
      <c r="J34" s="181">
        <f t="shared" si="20"/>
        <v>0.42816266691054056</v>
      </c>
      <c r="K34" s="177">
        <f t="shared" si="20"/>
        <v>0.42500363648745521</v>
      </c>
      <c r="L34" s="177">
        <f t="shared" si="20"/>
        <v>0.42181491267987353</v>
      </c>
      <c r="M34" s="177">
        <f t="shared" si="20"/>
        <v>0.41859670885537814</v>
      </c>
      <c r="N34" s="177">
        <f t="shared" si="20"/>
        <v>0.41534925401055339</v>
      </c>
      <c r="O34" s="178">
        <f t="shared" si="20"/>
        <v>0.41207279289683124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68"/>
  <sheetViews>
    <sheetView topLeftCell="A43" zoomScaleNormal="100" workbookViewId="0">
      <selection activeCell="P42" sqref="P42"/>
    </sheetView>
  </sheetViews>
  <sheetFormatPr defaultRowHeight="14.4" x14ac:dyDescent="0.25"/>
  <cols>
    <col min="2" max="2" width="18.21875" customWidth="1"/>
    <col min="3" max="3" width="9.77734375" customWidth="1"/>
    <col min="4" max="4" width="14.77734375" customWidth="1"/>
    <col min="5" max="5" width="15.5546875" customWidth="1"/>
    <col min="6" max="6" width="14.33203125" customWidth="1"/>
    <col min="7" max="7" width="10.6640625" customWidth="1"/>
    <col min="8" max="8" width="11.21875" customWidth="1"/>
    <col min="9" max="9" width="12.33203125" customWidth="1"/>
    <col min="10" max="10" width="11.77734375" customWidth="1"/>
    <col min="11" max="11" width="13.33203125" customWidth="1"/>
    <col min="12" max="12" width="11.5546875" customWidth="1"/>
    <col min="13" max="13" width="12.33203125" customWidth="1"/>
    <col min="14" max="14" width="14.77734375" customWidth="1"/>
    <col min="15" max="15" width="12.77734375" bestFit="1" customWidth="1"/>
  </cols>
  <sheetData>
    <row r="4" spans="3:15" x14ac:dyDescent="0.25">
      <c r="C4" s="131" t="s">
        <v>77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288800</v>
      </c>
      <c r="E6" s="71">
        <f>D6-((D16-E16)+(D17-E17)+(D18-E18))</f>
        <v>272200</v>
      </c>
      <c r="F6" s="71">
        <f t="shared" ref="F6:O6" si="0">E6-((E16-F16)+(E17-F17)+(E18-F18))</f>
        <v>257240</v>
      </c>
      <c r="G6" s="71">
        <f t="shared" si="0"/>
        <v>243756</v>
      </c>
      <c r="H6" s="71">
        <f t="shared" si="0"/>
        <v>231600.4</v>
      </c>
      <c r="I6" s="71">
        <f t="shared" si="0"/>
        <v>220640.36</v>
      </c>
      <c r="J6" s="71">
        <f t="shared" si="0"/>
        <v>210756.32399999999</v>
      </c>
      <c r="K6" s="71">
        <f t="shared" si="0"/>
        <v>201840.69159999999</v>
      </c>
      <c r="L6" s="71">
        <f t="shared" si="0"/>
        <v>193796.62244000001</v>
      </c>
      <c r="M6" s="71">
        <f t="shared" si="0"/>
        <v>186536.960196</v>
      </c>
      <c r="N6" s="71">
        <f t="shared" si="0"/>
        <v>179983.2641764</v>
      </c>
      <c r="O6" s="71">
        <f t="shared" si="0"/>
        <v>174064.93775876</v>
      </c>
    </row>
    <row r="7" spans="3:15" ht="15" thickBot="1" x14ac:dyDescent="0.3">
      <c r="C7" s="102" t="s">
        <v>46</v>
      </c>
      <c r="D7" s="74">
        <v>0</v>
      </c>
      <c r="E7" s="75">
        <v>0</v>
      </c>
      <c r="F7" s="76">
        <f>F6*0.1</f>
        <v>25724</v>
      </c>
      <c r="G7" s="76">
        <f t="shared" ref="G7:O7" si="1">G6*0.1</f>
        <v>24375.600000000002</v>
      </c>
      <c r="H7" s="77">
        <f t="shared" si="1"/>
        <v>23160.04</v>
      </c>
      <c r="I7" s="77">
        <f t="shared" si="1"/>
        <v>22064.036</v>
      </c>
      <c r="J7" s="77">
        <f t="shared" si="1"/>
        <v>21075.632400000002</v>
      </c>
      <c r="K7" s="78">
        <f t="shared" si="1"/>
        <v>20184.069159999999</v>
      </c>
      <c r="L7" s="78">
        <f t="shared" si="1"/>
        <v>19379.662244000003</v>
      </c>
      <c r="M7" s="78">
        <f t="shared" si="1"/>
        <v>18653.6960196</v>
      </c>
      <c r="N7" s="78">
        <f t="shared" si="1"/>
        <v>17998.326417640001</v>
      </c>
      <c r="O7" s="104">
        <f t="shared" si="1"/>
        <v>17406.493775876002</v>
      </c>
    </row>
    <row r="8" spans="3:15" ht="15" thickBot="1" x14ac:dyDescent="0.3">
      <c r="C8" s="102" t="s">
        <v>48</v>
      </c>
      <c r="D8" s="79">
        <f>D6+D7</f>
        <v>288800</v>
      </c>
      <c r="E8" s="80">
        <f t="shared" ref="E8:O8" si="2">E6+E7</f>
        <v>272200</v>
      </c>
      <c r="F8" s="80">
        <f t="shared" si="2"/>
        <v>282964</v>
      </c>
      <c r="G8" s="80">
        <f t="shared" si="2"/>
        <v>268131.59999999998</v>
      </c>
      <c r="H8" s="81">
        <f t="shared" si="2"/>
        <v>254760.44</v>
      </c>
      <c r="I8" s="81">
        <f t="shared" si="2"/>
        <v>242704.39599999998</v>
      </c>
      <c r="J8" s="81">
        <f t="shared" si="2"/>
        <v>231831.9564</v>
      </c>
      <c r="K8" s="82">
        <f t="shared" si="2"/>
        <v>222024.76075999998</v>
      </c>
      <c r="L8" s="143">
        <f t="shared" si="2"/>
        <v>213176.28468400001</v>
      </c>
      <c r="M8" s="82">
        <f t="shared" si="2"/>
        <v>205190.6562156</v>
      </c>
      <c r="N8" s="82">
        <f t="shared" si="2"/>
        <v>197981.59059404</v>
      </c>
      <c r="O8" s="105">
        <f t="shared" si="2"/>
        <v>191471.43153463601</v>
      </c>
    </row>
    <row r="9" spans="3:15" x14ac:dyDescent="0.25">
      <c r="C9" s="102" t="s">
        <v>49</v>
      </c>
      <c r="D9" s="79">
        <f>D6*0.05</f>
        <v>14440</v>
      </c>
      <c r="E9" s="80">
        <f t="shared" ref="E9:O9" si="3">E6*0.05</f>
        <v>13610</v>
      </c>
      <c r="F9" s="80">
        <f t="shared" si="3"/>
        <v>12862</v>
      </c>
      <c r="G9" s="80">
        <f t="shared" si="3"/>
        <v>12187.800000000001</v>
      </c>
      <c r="H9" s="81">
        <f t="shared" si="3"/>
        <v>11580.02</v>
      </c>
      <c r="I9" s="81">
        <f t="shared" si="3"/>
        <v>11032.018</v>
      </c>
      <c r="J9" s="81">
        <f t="shared" si="3"/>
        <v>10537.816200000001</v>
      </c>
      <c r="K9" s="82">
        <f t="shared" si="3"/>
        <v>10092.03458</v>
      </c>
      <c r="L9" s="82">
        <f t="shared" si="3"/>
        <v>9689.8311220000014</v>
      </c>
      <c r="M9" s="82">
        <f t="shared" si="3"/>
        <v>9326.8480098</v>
      </c>
      <c r="N9" s="82">
        <f t="shared" si="3"/>
        <v>8999.1632088200004</v>
      </c>
      <c r="O9" s="105">
        <f t="shared" si="3"/>
        <v>8703.2468879380012</v>
      </c>
    </row>
    <row r="10" spans="3:15" x14ac:dyDescent="0.25">
      <c r="C10" s="102" t="s">
        <v>66</v>
      </c>
      <c r="D10" s="79">
        <v>470</v>
      </c>
      <c r="E10" s="80">
        <v>470</v>
      </c>
      <c r="F10" s="80">
        <v>470</v>
      </c>
      <c r="G10" s="80">
        <v>470</v>
      </c>
      <c r="H10" s="81">
        <v>470</v>
      </c>
      <c r="I10" s="81">
        <v>470</v>
      </c>
      <c r="J10" s="81">
        <v>470</v>
      </c>
      <c r="K10" s="82">
        <v>470</v>
      </c>
      <c r="L10" s="82">
        <v>470</v>
      </c>
      <c r="M10" s="82">
        <v>470</v>
      </c>
      <c r="N10" s="82">
        <v>470</v>
      </c>
      <c r="O10" s="105">
        <v>470</v>
      </c>
    </row>
    <row r="11" spans="3:15" x14ac:dyDescent="0.25">
      <c r="C11" s="102" t="s">
        <v>65</v>
      </c>
      <c r="D11" s="83">
        <v>95</v>
      </c>
      <c r="E11" s="84">
        <v>95</v>
      </c>
      <c r="F11" s="84">
        <v>95</v>
      </c>
      <c r="G11" s="84">
        <v>95</v>
      </c>
      <c r="H11" s="85">
        <v>95</v>
      </c>
      <c r="I11" s="85">
        <v>95</v>
      </c>
      <c r="J11" s="85">
        <v>95</v>
      </c>
      <c r="K11" s="86">
        <v>95</v>
      </c>
      <c r="L11" s="86">
        <v>95</v>
      </c>
      <c r="M11" s="86">
        <v>95</v>
      </c>
      <c r="N11" s="86">
        <v>95</v>
      </c>
      <c r="O11" s="106">
        <v>95</v>
      </c>
    </row>
    <row r="12" spans="3:15" x14ac:dyDescent="0.25">
      <c r="C12" s="102" t="s">
        <v>72</v>
      </c>
      <c r="D12" s="83">
        <v>1.2</v>
      </c>
      <c r="E12" s="87">
        <f t="shared" ref="E12:J12" si="4">D12*0.9</f>
        <v>1.08</v>
      </c>
      <c r="F12" s="87">
        <f t="shared" si="4"/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>J12*0.9</f>
        <v>0.5739562800000001</v>
      </c>
      <c r="L12" s="89">
        <f>K12*0.9</f>
        <v>0.51656065200000012</v>
      </c>
      <c r="M12" s="89">
        <f>L12*0.9</f>
        <v>0.46490458680000013</v>
      </c>
      <c r="N12" s="89">
        <f>M12*0.9</f>
        <v>0.41841412812000012</v>
      </c>
      <c r="O12" s="107">
        <f>N12*0.9</f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309360</v>
      </c>
      <c r="E14" s="80">
        <f t="shared" si="5"/>
        <v>293590</v>
      </c>
      <c r="F14" s="80">
        <f t="shared" si="5"/>
        <v>244378</v>
      </c>
      <c r="G14" s="80">
        <f t="shared" si="5"/>
        <v>231568.2</v>
      </c>
      <c r="H14" s="81">
        <f t="shared" si="5"/>
        <v>220020.38</v>
      </c>
      <c r="I14" s="81">
        <f t="shared" si="5"/>
        <v>209608.34199999998</v>
      </c>
      <c r="J14" s="81">
        <f t="shared" si="5"/>
        <v>200218.50779999999</v>
      </c>
      <c r="K14" s="82">
        <f t="shared" si="5"/>
        <v>191748.65701999998</v>
      </c>
      <c r="L14" s="82">
        <f t="shared" si="5"/>
        <v>184106.791318</v>
      </c>
      <c r="M14" s="82">
        <f t="shared" si="5"/>
        <v>177210.11218619999</v>
      </c>
      <c r="N14" s="82">
        <f t="shared" si="5"/>
        <v>170984.10096757999</v>
      </c>
      <c r="O14" s="105">
        <f t="shared" si="5"/>
        <v>165361.690870822</v>
      </c>
    </row>
    <row r="15" spans="3:15" x14ac:dyDescent="0.25">
      <c r="C15" s="102" t="s">
        <v>68</v>
      </c>
      <c r="D15" s="79">
        <f>D14*0.87</f>
        <v>269143.2</v>
      </c>
      <c r="E15" s="80">
        <f t="shared" ref="E15:O15" si="6">E14*0.87</f>
        <v>255423.3</v>
      </c>
      <c r="F15" s="80">
        <f t="shared" si="6"/>
        <v>212608.86</v>
      </c>
      <c r="G15" s="80">
        <f t="shared" si="6"/>
        <v>201464.334</v>
      </c>
      <c r="H15" s="81">
        <f t="shared" si="6"/>
        <v>191417.73060000001</v>
      </c>
      <c r="I15" s="81">
        <f t="shared" si="6"/>
        <v>182359.25753999999</v>
      </c>
      <c r="J15" s="81">
        <f t="shared" si="6"/>
        <v>174190.10178599998</v>
      </c>
      <c r="K15" s="82">
        <f t="shared" si="6"/>
        <v>166821.33160739997</v>
      </c>
      <c r="L15" s="82">
        <f t="shared" si="6"/>
        <v>160172.90844666</v>
      </c>
      <c r="M15" s="82">
        <f t="shared" si="6"/>
        <v>154172.79760199398</v>
      </c>
      <c r="N15" s="82">
        <f t="shared" si="6"/>
        <v>148756.16784179458</v>
      </c>
      <c r="O15" s="105">
        <f t="shared" si="6"/>
        <v>143864.67105761514</v>
      </c>
    </row>
    <row r="16" spans="3:15" x14ac:dyDescent="0.25">
      <c r="C16" s="102" t="s">
        <v>52</v>
      </c>
      <c r="D16" s="93">
        <f t="shared" ref="D16:O16" si="7">D12*1000*D11</f>
        <v>114000</v>
      </c>
      <c r="E16" s="71">
        <f t="shared" si="7"/>
        <v>102600</v>
      </c>
      <c r="F16" s="71">
        <f t="shared" si="7"/>
        <v>92340.000000000015</v>
      </c>
      <c r="G16" s="71">
        <f t="shared" si="7"/>
        <v>83106.000000000015</v>
      </c>
      <c r="H16" s="72">
        <f t="shared" si="7"/>
        <v>74795.400000000009</v>
      </c>
      <c r="I16" s="72">
        <f t="shared" si="7"/>
        <v>67315.86</v>
      </c>
      <c r="J16" s="72">
        <f t="shared" si="7"/>
        <v>60584.274000000012</v>
      </c>
      <c r="K16" s="73">
        <f t="shared" si="7"/>
        <v>54525.846600000012</v>
      </c>
      <c r="L16" s="73">
        <f t="shared" si="7"/>
        <v>49073.261940000011</v>
      </c>
      <c r="M16" s="73">
        <f t="shared" si="7"/>
        <v>44165.93574600001</v>
      </c>
      <c r="N16" s="73">
        <f t="shared" si="7"/>
        <v>39749.342171400007</v>
      </c>
      <c r="O16" s="103">
        <f t="shared" si="7"/>
        <v>35774.407954260008</v>
      </c>
    </row>
    <row r="17" spans="3:15" ht="72" x14ac:dyDescent="0.25">
      <c r="C17" s="109" t="s">
        <v>53</v>
      </c>
      <c r="D17" s="49">
        <v>30000</v>
      </c>
      <c r="E17" s="139">
        <f>D17-200</f>
        <v>29800</v>
      </c>
      <c r="F17" s="139">
        <f t="shared" ref="F17:O17" si="8">E17-200</f>
        <v>29600</v>
      </c>
      <c r="G17" s="139">
        <f t="shared" si="8"/>
        <v>29400</v>
      </c>
      <c r="H17" s="140">
        <f t="shared" si="8"/>
        <v>29200</v>
      </c>
      <c r="I17" s="140">
        <f t="shared" si="8"/>
        <v>29000</v>
      </c>
      <c r="J17" s="140">
        <f t="shared" si="8"/>
        <v>28800</v>
      </c>
      <c r="K17" s="141">
        <f t="shared" si="8"/>
        <v>28600</v>
      </c>
      <c r="L17" s="141">
        <f t="shared" si="8"/>
        <v>28400</v>
      </c>
      <c r="M17" s="141">
        <f t="shared" si="8"/>
        <v>28200</v>
      </c>
      <c r="N17" s="141">
        <f t="shared" si="8"/>
        <v>28000</v>
      </c>
      <c r="O17" s="142">
        <f t="shared" si="8"/>
        <v>27800</v>
      </c>
    </row>
    <row r="18" spans="3:15" x14ac:dyDescent="0.25">
      <c r="C18" s="102" t="s">
        <v>54</v>
      </c>
      <c r="D18" s="96">
        <v>50000</v>
      </c>
      <c r="E18" s="97">
        <f>D18*0.9</f>
        <v>45000</v>
      </c>
      <c r="F18" s="97">
        <f t="shared" ref="F18:O18" si="9">E18*0.9</f>
        <v>40500</v>
      </c>
      <c r="G18" s="97">
        <f t="shared" si="9"/>
        <v>36450</v>
      </c>
      <c r="H18" s="94">
        <f t="shared" si="9"/>
        <v>32805</v>
      </c>
      <c r="I18" s="94">
        <f t="shared" si="9"/>
        <v>29524.5</v>
      </c>
      <c r="J18" s="94">
        <f t="shared" si="9"/>
        <v>26572.05</v>
      </c>
      <c r="K18" s="95">
        <f t="shared" si="9"/>
        <v>23914.845000000001</v>
      </c>
      <c r="L18" s="95">
        <f t="shared" si="9"/>
        <v>21523.360500000003</v>
      </c>
      <c r="M18" s="95">
        <f t="shared" si="9"/>
        <v>19371.024450000004</v>
      </c>
      <c r="N18" s="95">
        <f t="shared" si="9"/>
        <v>17433.922005000004</v>
      </c>
      <c r="O18" s="110">
        <f t="shared" si="9"/>
        <v>15690.529804500004</v>
      </c>
    </row>
    <row r="19" spans="3:15" ht="15" thickBot="1" x14ac:dyDescent="0.3">
      <c r="C19" s="102" t="s">
        <v>71</v>
      </c>
      <c r="D19" s="79">
        <f>D15-D16-D17-D18</f>
        <v>75143.200000000012</v>
      </c>
      <c r="E19" s="80">
        <f t="shared" ref="E19:O19" si="10">E15-E16-E17-E18</f>
        <v>78023.299999999988</v>
      </c>
      <c r="F19" s="80">
        <f t="shared" si="10"/>
        <v>50168.859999999971</v>
      </c>
      <c r="G19" s="80">
        <f t="shared" si="10"/>
        <v>52508.333999999988</v>
      </c>
      <c r="H19" s="81">
        <f t="shared" si="10"/>
        <v>54617.330600000001</v>
      </c>
      <c r="I19" s="81">
        <f t="shared" si="10"/>
        <v>56518.897539999991</v>
      </c>
      <c r="J19" s="81">
        <f t="shared" si="10"/>
        <v>58233.777785999977</v>
      </c>
      <c r="K19" s="82">
        <f t="shared" si="10"/>
        <v>59780.640007399954</v>
      </c>
      <c r="L19" s="82">
        <f t="shared" si="10"/>
        <v>61176.28600665999</v>
      </c>
      <c r="M19" s="82">
        <f t="shared" si="10"/>
        <v>62435.837405993974</v>
      </c>
      <c r="N19" s="82">
        <f t="shared" si="10"/>
        <v>63572.90366539458</v>
      </c>
      <c r="O19" s="105">
        <f t="shared" si="10"/>
        <v>64599.733298855128</v>
      </c>
    </row>
    <row r="20" spans="3:15" ht="15" thickBot="1" x14ac:dyDescent="0.3">
      <c r="C20" s="111" t="s">
        <v>70</v>
      </c>
      <c r="D20" s="138">
        <f>D19/D14</f>
        <v>0.24289888802689427</v>
      </c>
      <c r="E20" s="179">
        <f t="shared" ref="E20:O20" si="11">E19/E14</f>
        <v>0.26575598623931329</v>
      </c>
      <c r="F20" s="180">
        <f t="shared" si="11"/>
        <v>0.20529204756565636</v>
      </c>
      <c r="G20" s="180">
        <f t="shared" si="11"/>
        <v>0.22675105649221261</v>
      </c>
      <c r="H20" s="181">
        <f t="shared" si="11"/>
        <v>0.24823759780798488</v>
      </c>
      <c r="I20" s="181">
        <f t="shared" si="11"/>
        <v>0.26964049713250438</v>
      </c>
      <c r="J20" s="181">
        <f t="shared" si="11"/>
        <v>0.2908511227352179</v>
      </c>
      <c r="K20" s="177">
        <f t="shared" si="11"/>
        <v>0.31176562556662207</v>
      </c>
      <c r="L20" s="177">
        <f t="shared" si="11"/>
        <v>0.33228696002307018</v>
      </c>
      <c r="M20" s="177">
        <f t="shared" si="11"/>
        <v>0.35232660617239925</v>
      </c>
      <c r="N20" s="177">
        <f t="shared" si="11"/>
        <v>0.37180593578960031</v>
      </c>
      <c r="O20" s="178">
        <f t="shared" si="11"/>
        <v>0.39065718884865203</v>
      </c>
    </row>
    <row r="21" spans="3:15" x14ac:dyDescent="0.25">
      <c r="C21" s="131" t="s">
        <v>78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282800</v>
      </c>
      <c r="E23" s="87">
        <f>D23+(E29-D29)+(E30-D30)</f>
        <v>285400</v>
      </c>
      <c r="F23" s="87">
        <f t="shared" ref="F23:O23" si="12">E23+(F29-E29)+(F30-E30)</f>
        <v>288052</v>
      </c>
      <c r="G23" s="87">
        <f t="shared" si="12"/>
        <v>290757.04000000004</v>
      </c>
      <c r="H23" s="88">
        <f t="shared" si="12"/>
        <v>293516.18080000003</v>
      </c>
      <c r="I23" s="88">
        <f t="shared" si="12"/>
        <v>296330.50441600004</v>
      </c>
      <c r="J23" s="88">
        <f t="shared" si="12"/>
        <v>299201.11450432008</v>
      </c>
      <c r="K23" s="89">
        <f t="shared" si="12"/>
        <v>302129.13679440646</v>
      </c>
      <c r="L23" s="89">
        <f t="shared" si="12"/>
        <v>305115.71953029453</v>
      </c>
      <c r="M23" s="89">
        <f t="shared" si="12"/>
        <v>308162.03392090037</v>
      </c>
      <c r="N23" s="89">
        <f t="shared" si="12"/>
        <v>311269.27459931839</v>
      </c>
      <c r="O23" s="107">
        <f t="shared" si="12"/>
        <v>314438.6600913048</v>
      </c>
    </row>
    <row r="24" spans="3:15" ht="15" thickBot="1" x14ac:dyDescent="0.3">
      <c r="C24" s="102" t="s">
        <v>46</v>
      </c>
      <c r="D24" s="117">
        <f>D23*0.1</f>
        <v>28280</v>
      </c>
      <c r="E24" s="76">
        <f t="shared" ref="E24:O24" si="13">E23*0.1</f>
        <v>28540</v>
      </c>
      <c r="F24" s="76">
        <f t="shared" si="13"/>
        <v>28805.200000000001</v>
      </c>
      <c r="G24" s="76">
        <f t="shared" si="13"/>
        <v>29075.704000000005</v>
      </c>
      <c r="H24" s="77">
        <f t="shared" si="13"/>
        <v>29351.618080000004</v>
      </c>
      <c r="I24" s="77">
        <f t="shared" si="13"/>
        <v>29633.050441600004</v>
      </c>
      <c r="J24" s="77">
        <f t="shared" si="13"/>
        <v>29920.11145043201</v>
      </c>
      <c r="K24" s="78">
        <f t="shared" si="13"/>
        <v>30212.913679440648</v>
      </c>
      <c r="L24" s="78">
        <f t="shared" si="13"/>
        <v>30511.571953029455</v>
      </c>
      <c r="M24" s="78">
        <f t="shared" si="13"/>
        <v>30816.203392090039</v>
      </c>
      <c r="N24" s="78">
        <f t="shared" si="13"/>
        <v>31126.927459931841</v>
      </c>
      <c r="O24" s="104">
        <f t="shared" si="13"/>
        <v>31443.866009130481</v>
      </c>
    </row>
    <row r="25" spans="3:15" ht="15" thickBot="1" x14ac:dyDescent="0.3">
      <c r="C25" s="102" t="s">
        <v>56</v>
      </c>
      <c r="D25" s="93">
        <f>D23+D24</f>
        <v>311080</v>
      </c>
      <c r="E25" s="71">
        <f t="shared" ref="E25:O25" si="14">E23+E24</f>
        <v>313940</v>
      </c>
      <c r="F25" s="71">
        <f t="shared" si="14"/>
        <v>316857.2</v>
      </c>
      <c r="G25" s="135">
        <f t="shared" si="14"/>
        <v>319832.74400000006</v>
      </c>
      <c r="H25" s="72">
        <f t="shared" si="14"/>
        <v>322867.79888000002</v>
      </c>
      <c r="I25" s="72">
        <f t="shared" si="14"/>
        <v>325963.55485760001</v>
      </c>
      <c r="J25" s="72">
        <f t="shared" si="14"/>
        <v>329121.22595475207</v>
      </c>
      <c r="K25" s="73">
        <f t="shared" si="14"/>
        <v>332342.05047384708</v>
      </c>
      <c r="L25" s="144">
        <f t="shared" si="14"/>
        <v>335627.29148332396</v>
      </c>
      <c r="M25" s="73">
        <f t="shared" si="14"/>
        <v>338978.23731299042</v>
      </c>
      <c r="N25" s="73">
        <f t="shared" si="14"/>
        <v>342396.20205925021</v>
      </c>
      <c r="O25" s="103">
        <f t="shared" si="14"/>
        <v>345882.52610043529</v>
      </c>
    </row>
    <row r="26" spans="3:15" x14ac:dyDescent="0.25">
      <c r="C26" s="102" t="s">
        <v>57</v>
      </c>
      <c r="D26" s="79">
        <f>D23*0.05</f>
        <v>14140</v>
      </c>
      <c r="E26" s="80">
        <f t="shared" ref="E26:O26" si="15">E23*0.05</f>
        <v>14270</v>
      </c>
      <c r="F26" s="80">
        <f t="shared" si="15"/>
        <v>14402.6</v>
      </c>
      <c r="G26" s="80">
        <f t="shared" si="15"/>
        <v>14537.852000000003</v>
      </c>
      <c r="H26" s="81">
        <f t="shared" si="15"/>
        <v>14675.809040000002</v>
      </c>
      <c r="I26" s="81">
        <f t="shared" si="15"/>
        <v>14816.525220800002</v>
      </c>
      <c r="J26" s="81">
        <f t="shared" si="15"/>
        <v>14960.055725216005</v>
      </c>
      <c r="K26" s="82">
        <f t="shared" si="15"/>
        <v>15106.456839720324</v>
      </c>
      <c r="L26" s="82">
        <f t="shared" si="15"/>
        <v>15255.785976514728</v>
      </c>
      <c r="M26" s="82">
        <f t="shared" si="15"/>
        <v>15408.10169604502</v>
      </c>
      <c r="N26" s="82">
        <f t="shared" si="15"/>
        <v>15563.463729965921</v>
      </c>
      <c r="O26" s="105">
        <f t="shared" si="15"/>
        <v>15721.93300456524</v>
      </c>
    </row>
    <row r="27" spans="3:15" x14ac:dyDescent="0.25">
      <c r="C27" s="102" t="s">
        <v>58</v>
      </c>
      <c r="D27" s="79">
        <f>D23-D26</f>
        <v>268660</v>
      </c>
      <c r="E27" s="80">
        <f t="shared" ref="E27:O27" si="16">E23-E26</f>
        <v>271130</v>
      </c>
      <c r="F27" s="80">
        <f t="shared" si="16"/>
        <v>273649.40000000002</v>
      </c>
      <c r="G27" s="80">
        <f t="shared" si="16"/>
        <v>276219.18800000002</v>
      </c>
      <c r="H27" s="81">
        <f t="shared" si="16"/>
        <v>278840.37176000001</v>
      </c>
      <c r="I27" s="81">
        <f t="shared" si="16"/>
        <v>281513.97919520002</v>
      </c>
      <c r="J27" s="81">
        <f t="shared" si="16"/>
        <v>284241.05877910409</v>
      </c>
      <c r="K27" s="82">
        <f t="shared" si="16"/>
        <v>287022.67995468614</v>
      </c>
      <c r="L27" s="82">
        <f t="shared" si="16"/>
        <v>289859.93355377979</v>
      </c>
      <c r="M27" s="82">
        <f t="shared" si="16"/>
        <v>292753.93222485535</v>
      </c>
      <c r="N27" s="82">
        <f t="shared" si="16"/>
        <v>295705.81086935248</v>
      </c>
      <c r="O27" s="105">
        <f t="shared" si="16"/>
        <v>298716.72708673956</v>
      </c>
    </row>
    <row r="28" spans="3:15" x14ac:dyDescent="0.25">
      <c r="C28" s="102" t="s">
        <v>68</v>
      </c>
      <c r="D28" s="79">
        <f>D27*0.87</f>
        <v>233734.2</v>
      </c>
      <c r="E28" s="80">
        <f t="shared" ref="E28:O28" si="17">E27*0.87</f>
        <v>235883.1</v>
      </c>
      <c r="F28" s="80">
        <f t="shared" si="17"/>
        <v>238074.97800000003</v>
      </c>
      <c r="G28" s="80">
        <f t="shared" si="17"/>
        <v>240310.69356000001</v>
      </c>
      <c r="H28" s="81">
        <f t="shared" si="17"/>
        <v>242591.12343120002</v>
      </c>
      <c r="I28" s="81">
        <f t="shared" si="17"/>
        <v>244917.16189982402</v>
      </c>
      <c r="J28" s="81">
        <f t="shared" si="17"/>
        <v>247289.72113782057</v>
      </c>
      <c r="K28" s="82">
        <f t="shared" si="17"/>
        <v>249709.73156057694</v>
      </c>
      <c r="L28" s="82">
        <f t="shared" si="17"/>
        <v>252178.14219178841</v>
      </c>
      <c r="M28" s="82">
        <f t="shared" si="17"/>
        <v>254695.92103562417</v>
      </c>
      <c r="N28" s="82">
        <f t="shared" si="17"/>
        <v>257264.05545633665</v>
      </c>
      <c r="O28" s="105">
        <f t="shared" si="17"/>
        <v>259883.55256546341</v>
      </c>
    </row>
    <row r="29" spans="3:15" x14ac:dyDescent="0.25">
      <c r="C29" s="102" t="s">
        <v>59</v>
      </c>
      <c r="D29" s="70">
        <v>80000</v>
      </c>
      <c r="E29" s="80">
        <f>D29*1.02</f>
        <v>81600</v>
      </c>
      <c r="F29" s="80">
        <f t="shared" ref="F29:O30" si="18">E29*1.02</f>
        <v>83232</v>
      </c>
      <c r="G29" s="80">
        <f t="shared" si="18"/>
        <v>84896.639999999999</v>
      </c>
      <c r="H29" s="81">
        <f t="shared" si="18"/>
        <v>86594.572799999994</v>
      </c>
      <c r="I29" s="81">
        <f t="shared" si="18"/>
        <v>88326.464255999992</v>
      </c>
      <c r="J29" s="81">
        <f t="shared" si="18"/>
        <v>90092.993541119999</v>
      </c>
      <c r="K29" s="82">
        <f t="shared" si="18"/>
        <v>91894.8534119424</v>
      </c>
      <c r="L29" s="82">
        <f t="shared" si="18"/>
        <v>93732.750480181247</v>
      </c>
      <c r="M29" s="82">
        <f t="shared" si="18"/>
        <v>95607.405489784869</v>
      </c>
      <c r="N29" s="82">
        <f t="shared" si="18"/>
        <v>97519.553599580569</v>
      </c>
      <c r="O29" s="105">
        <f t="shared" si="18"/>
        <v>99469.944671572186</v>
      </c>
    </row>
    <row r="30" spans="3:15" x14ac:dyDescent="0.25">
      <c r="C30" s="102" t="s">
        <v>60</v>
      </c>
      <c r="D30" s="70">
        <v>50000</v>
      </c>
      <c r="E30" s="80">
        <f>D30*1.02</f>
        <v>51000</v>
      </c>
      <c r="F30" s="80">
        <f t="shared" si="18"/>
        <v>52020</v>
      </c>
      <c r="G30" s="80">
        <f t="shared" si="18"/>
        <v>53060.4</v>
      </c>
      <c r="H30" s="81">
        <f t="shared" si="18"/>
        <v>54121.608</v>
      </c>
      <c r="I30" s="81">
        <f t="shared" si="18"/>
        <v>55204.040160000004</v>
      </c>
      <c r="J30" s="81">
        <f t="shared" si="18"/>
        <v>56308.120963200003</v>
      </c>
      <c r="K30" s="82">
        <f t="shared" si="18"/>
        <v>57434.283382464004</v>
      </c>
      <c r="L30" s="82">
        <f t="shared" si="18"/>
        <v>58582.969050113286</v>
      </c>
      <c r="M30" s="82">
        <f t="shared" si="18"/>
        <v>59754.628431115554</v>
      </c>
      <c r="N30" s="82">
        <f t="shared" si="18"/>
        <v>60949.720999737867</v>
      </c>
      <c r="O30" s="105">
        <f t="shared" si="18"/>
        <v>62168.715419732624</v>
      </c>
    </row>
    <row r="31" spans="3:15" x14ac:dyDescent="0.25">
      <c r="C31" s="102" t="s">
        <v>61</v>
      </c>
      <c r="D31" s="118">
        <v>10000</v>
      </c>
      <c r="E31" s="80">
        <v>10000</v>
      </c>
      <c r="F31" s="80">
        <v>10000</v>
      </c>
      <c r="G31" s="80">
        <v>10000</v>
      </c>
      <c r="H31" s="81">
        <v>10000</v>
      </c>
      <c r="I31" s="81">
        <v>10000</v>
      </c>
      <c r="J31" s="81">
        <v>10000</v>
      </c>
      <c r="K31" s="82">
        <v>10000</v>
      </c>
      <c r="L31" s="82">
        <v>10000</v>
      </c>
      <c r="M31" s="82">
        <v>10000</v>
      </c>
      <c r="N31" s="82">
        <v>10000</v>
      </c>
      <c r="O31" s="105">
        <v>10000</v>
      </c>
    </row>
    <row r="32" spans="3:15" x14ac:dyDescent="0.25">
      <c r="C32" s="102" t="s">
        <v>67</v>
      </c>
      <c r="D32" s="70">
        <v>80000</v>
      </c>
      <c r="E32" s="80">
        <v>80000</v>
      </c>
      <c r="F32" s="80">
        <v>80000</v>
      </c>
      <c r="G32" s="80">
        <v>80000</v>
      </c>
      <c r="H32" s="81">
        <v>80000</v>
      </c>
      <c r="I32" s="81">
        <v>80000</v>
      </c>
      <c r="J32" s="81">
        <v>80000</v>
      </c>
      <c r="K32" s="82">
        <v>80000</v>
      </c>
      <c r="L32" s="82">
        <v>80000</v>
      </c>
      <c r="M32" s="82">
        <v>80000</v>
      </c>
      <c r="N32" s="82">
        <v>80000</v>
      </c>
      <c r="O32" s="105">
        <v>80000</v>
      </c>
    </row>
    <row r="33" spans="1:15" ht="15" thickBot="1" x14ac:dyDescent="0.3">
      <c r="C33" s="102" t="s">
        <v>69</v>
      </c>
      <c r="D33" s="79">
        <f>D28-D29-D30-D31-D32</f>
        <v>13734.200000000012</v>
      </c>
      <c r="E33" s="80">
        <f t="shared" ref="E33:O33" si="19">E28-E29-E30-E31-E32</f>
        <v>13283.100000000006</v>
      </c>
      <c r="F33" s="80">
        <f t="shared" si="19"/>
        <v>12822.978000000032</v>
      </c>
      <c r="G33" s="80">
        <f t="shared" si="19"/>
        <v>12353.653560000035</v>
      </c>
      <c r="H33" s="81">
        <f t="shared" si="19"/>
        <v>11874.942631200014</v>
      </c>
      <c r="I33" s="81">
        <f t="shared" si="19"/>
        <v>11386.657483824034</v>
      </c>
      <c r="J33" s="81">
        <f t="shared" si="19"/>
        <v>10888.606633500574</v>
      </c>
      <c r="K33" s="82">
        <f t="shared" si="19"/>
        <v>10380.594766170543</v>
      </c>
      <c r="L33" s="82">
        <f t="shared" si="19"/>
        <v>9862.4226614938816</v>
      </c>
      <c r="M33" s="82">
        <f t="shared" si="19"/>
        <v>9333.8871147237369</v>
      </c>
      <c r="N33" s="82">
        <f t="shared" si="19"/>
        <v>8794.7808570182096</v>
      </c>
      <c r="O33" s="105">
        <f t="shared" si="19"/>
        <v>8244.8924741586088</v>
      </c>
    </row>
    <row r="34" spans="1:15" ht="15" thickBot="1" x14ac:dyDescent="0.3">
      <c r="C34" s="111" t="s">
        <v>70</v>
      </c>
      <c r="D34" s="138">
        <f>D33/D27</f>
        <v>5.112111963076011E-2</v>
      </c>
      <c r="E34" s="179">
        <f t="shared" ref="E34:O34" si="20">E33/E27</f>
        <v>4.8991627632501034E-2</v>
      </c>
      <c r="F34" s="180">
        <f t="shared" si="20"/>
        <v>4.6859148969447879E-2</v>
      </c>
      <c r="G34" s="180">
        <f t="shared" si="20"/>
        <v>4.4724096285447171E-2</v>
      </c>
      <c r="H34" s="181">
        <f t="shared" si="20"/>
        <v>4.2586884231458656E-2</v>
      </c>
      <c r="I34" s="181">
        <f t="shared" si="20"/>
        <v>4.0447929145034027E-2</v>
      </c>
      <c r="J34" s="181">
        <f t="shared" si="20"/>
        <v>3.8307648727000335E-2</v>
      </c>
      <c r="K34" s="177">
        <f t="shared" si="20"/>
        <v>3.616646171588038E-2</v>
      </c>
      <c r="L34" s="177">
        <f t="shared" si="20"/>
        <v>3.4024787560589277E-2</v>
      </c>
      <c r="M34" s="177">
        <f t="shared" si="20"/>
        <v>3.1883046091946816E-2</v>
      </c>
      <c r="N34" s="177">
        <f t="shared" si="20"/>
        <v>2.9741657193554046E-2</v>
      </c>
      <c r="O34" s="178">
        <f t="shared" si="20"/>
        <v>2.7601040472582931E-2</v>
      </c>
    </row>
    <row r="35" spans="1:15" x14ac:dyDescent="0.25">
      <c r="D35" s="188">
        <v>2019</v>
      </c>
      <c r="E35">
        <v>2020</v>
      </c>
      <c r="F35" s="188">
        <v>2021</v>
      </c>
      <c r="G35">
        <v>2022</v>
      </c>
      <c r="H35" s="188">
        <v>2023</v>
      </c>
      <c r="I35">
        <v>2024</v>
      </c>
      <c r="J35" s="188">
        <v>2025</v>
      </c>
      <c r="K35">
        <v>2026</v>
      </c>
      <c r="L35" s="188">
        <v>2027</v>
      </c>
      <c r="M35">
        <v>2028</v>
      </c>
      <c r="N35" s="188">
        <v>2029</v>
      </c>
      <c r="O35">
        <v>2030</v>
      </c>
    </row>
    <row r="36" spans="1:15" ht="24" customHeight="1" x14ac:dyDescent="0.25">
      <c r="D36" s="30">
        <f>D8-D25</f>
        <v>-22280</v>
      </c>
      <c r="E36" s="30">
        <f t="shared" ref="E36:O36" si="21">E8-E25</f>
        <v>-41740</v>
      </c>
      <c r="F36" s="30">
        <f t="shared" si="21"/>
        <v>-33893.200000000012</v>
      </c>
      <c r="G36" s="30">
        <f t="shared" si="21"/>
        <v>-51701.144000000088</v>
      </c>
      <c r="H36" s="30">
        <f t="shared" si="21"/>
        <v>-68107.358880000014</v>
      </c>
      <c r="I36" s="30">
        <f t="shared" si="21"/>
        <v>-83259.158857600036</v>
      </c>
      <c r="J36" s="30">
        <f t="shared" si="21"/>
        <v>-97289.269554752071</v>
      </c>
      <c r="K36" s="30">
        <f t="shared" si="21"/>
        <v>-110317.2897138471</v>
      </c>
      <c r="L36" s="30">
        <f t="shared" si="21"/>
        <v>-122451.00679932395</v>
      </c>
      <c r="M36" s="30">
        <f t="shared" si="21"/>
        <v>-133787.58109739042</v>
      </c>
      <c r="N36" s="30">
        <f t="shared" si="21"/>
        <v>-144414.61146521021</v>
      </c>
      <c r="O36" s="30">
        <f t="shared" si="21"/>
        <v>-154411.09456579929</v>
      </c>
    </row>
    <row r="37" spans="1:15" ht="27" customHeight="1" x14ac:dyDescent="0.25">
      <c r="B37" s="317" t="s">
        <v>286</v>
      </c>
      <c r="C37" s="351"/>
      <c r="D37" s="305" t="s">
        <v>542</v>
      </c>
      <c r="E37" s="305" t="s">
        <v>543</v>
      </c>
      <c r="F37" s="305" t="s">
        <v>544</v>
      </c>
      <c r="G37" s="305" t="s">
        <v>545</v>
      </c>
      <c r="H37" s="305" t="s">
        <v>546</v>
      </c>
      <c r="I37" s="305" t="s">
        <v>547</v>
      </c>
      <c r="J37" s="305" t="s">
        <v>548</v>
      </c>
      <c r="K37" s="305" t="s">
        <v>549</v>
      </c>
      <c r="L37" s="305" t="s">
        <v>550</v>
      </c>
      <c r="M37" s="305" t="s">
        <v>551</v>
      </c>
      <c r="N37" s="306" t="s">
        <v>552</v>
      </c>
      <c r="O37" s="43"/>
    </row>
    <row r="38" spans="1:15" x14ac:dyDescent="0.25">
      <c r="B38" s="352"/>
      <c r="C38" s="353"/>
      <c r="D38" s="48">
        <v>843900</v>
      </c>
      <c r="E38" s="48">
        <v>859900</v>
      </c>
      <c r="F38" s="48">
        <v>601300</v>
      </c>
      <c r="G38" s="48">
        <v>428000</v>
      </c>
      <c r="H38" s="48">
        <v>517000</v>
      </c>
      <c r="I38" s="48">
        <v>673800</v>
      </c>
      <c r="J38" s="48">
        <v>723000</v>
      </c>
      <c r="K38" s="48">
        <v>334900</v>
      </c>
      <c r="L38" s="48">
        <v>245000</v>
      </c>
      <c r="M38" s="48">
        <v>338800</v>
      </c>
      <c r="N38" s="198">
        <v>288800</v>
      </c>
      <c r="O38" s="43"/>
    </row>
    <row r="39" spans="1:15" ht="31.2" customHeight="1" x14ac:dyDescent="0.25">
      <c r="A39" s="302" t="s">
        <v>564</v>
      </c>
      <c r="B39" s="303" t="s">
        <v>553</v>
      </c>
      <c r="C39" s="48">
        <v>184500</v>
      </c>
      <c r="D39" s="208" t="s">
        <v>287</v>
      </c>
      <c r="E39" s="209" t="s">
        <v>169</v>
      </c>
      <c r="F39" s="208" t="s">
        <v>231</v>
      </c>
      <c r="G39" s="209" t="s">
        <v>232</v>
      </c>
      <c r="H39" s="209" t="s">
        <v>169</v>
      </c>
      <c r="I39" s="209" t="s">
        <v>169</v>
      </c>
      <c r="J39" s="209" t="s">
        <v>172</v>
      </c>
      <c r="K39" s="209" t="s">
        <v>171</v>
      </c>
      <c r="L39" s="200">
        <v>2023</v>
      </c>
      <c r="M39" s="208" t="s">
        <v>169</v>
      </c>
      <c r="N39" s="201">
        <v>2026</v>
      </c>
      <c r="O39" s="43"/>
    </row>
    <row r="40" spans="1:15" ht="31.2" customHeight="1" x14ac:dyDescent="0.25">
      <c r="B40" s="303" t="s">
        <v>554</v>
      </c>
      <c r="C40" s="48">
        <v>694800</v>
      </c>
      <c r="D40" s="209" t="s">
        <v>195</v>
      </c>
      <c r="E40" s="209" t="s">
        <v>169</v>
      </c>
      <c r="F40" s="202">
        <v>2019</v>
      </c>
      <c r="G40" s="202">
        <v>2019</v>
      </c>
      <c r="H40" s="202">
        <v>2019</v>
      </c>
      <c r="I40" s="202">
        <v>2019</v>
      </c>
      <c r="J40" s="202">
        <v>2019</v>
      </c>
      <c r="K40" s="202">
        <v>2019</v>
      </c>
      <c r="L40" s="202">
        <v>2019</v>
      </c>
      <c r="M40" s="202">
        <v>2019</v>
      </c>
      <c r="N40" s="203">
        <v>2019</v>
      </c>
      <c r="O40" s="43"/>
    </row>
    <row r="41" spans="1:15" ht="31.2" customHeight="1" x14ac:dyDescent="0.25">
      <c r="B41" s="303" t="s">
        <v>555</v>
      </c>
      <c r="C41" s="48">
        <v>615300</v>
      </c>
      <c r="D41" s="209" t="s">
        <v>195</v>
      </c>
      <c r="E41" s="209" t="s">
        <v>171</v>
      </c>
      <c r="F41" s="202">
        <v>2019</v>
      </c>
      <c r="G41" s="202">
        <v>2019</v>
      </c>
      <c r="H41" s="202">
        <v>2019</v>
      </c>
      <c r="I41" s="202">
        <v>2019</v>
      </c>
      <c r="J41" s="199">
        <v>2027</v>
      </c>
      <c r="K41" s="202">
        <v>2019</v>
      </c>
      <c r="L41" s="202">
        <v>2019</v>
      </c>
      <c r="M41" s="202">
        <v>2019</v>
      </c>
      <c r="N41" s="203">
        <v>2019</v>
      </c>
      <c r="O41" s="43"/>
    </row>
    <row r="42" spans="1:15" ht="31.2" customHeight="1" x14ac:dyDescent="0.25">
      <c r="B42" s="303" t="s">
        <v>556</v>
      </c>
      <c r="C42" s="48">
        <v>434800</v>
      </c>
      <c r="D42" s="209" t="s">
        <v>169</v>
      </c>
      <c r="E42" s="209" t="s">
        <v>169</v>
      </c>
      <c r="F42" s="208" t="s">
        <v>171</v>
      </c>
      <c r="G42" s="202">
        <v>2019</v>
      </c>
      <c r="H42" s="200">
        <v>2025</v>
      </c>
      <c r="I42" s="208" t="s">
        <v>169</v>
      </c>
      <c r="J42" s="209" t="s">
        <v>172</v>
      </c>
      <c r="K42" s="202">
        <v>2019</v>
      </c>
      <c r="L42" s="202">
        <v>2019</v>
      </c>
      <c r="M42" s="202">
        <v>2019</v>
      </c>
      <c r="N42" s="203">
        <v>2019</v>
      </c>
      <c r="O42" s="43"/>
    </row>
    <row r="43" spans="1:15" ht="31.2" customHeight="1" x14ac:dyDescent="0.25">
      <c r="B43" s="303" t="s">
        <v>557</v>
      </c>
      <c r="C43" s="48">
        <v>729900</v>
      </c>
      <c r="D43" s="199">
        <v>2027</v>
      </c>
      <c r="E43" s="199">
        <v>2029</v>
      </c>
      <c r="F43" s="202">
        <v>2019</v>
      </c>
      <c r="G43" s="202">
        <v>2019</v>
      </c>
      <c r="H43" s="202">
        <v>2019</v>
      </c>
      <c r="I43" s="202">
        <v>2019</v>
      </c>
      <c r="J43" s="202">
        <v>2019</v>
      </c>
      <c r="K43" s="202">
        <v>2019</v>
      </c>
      <c r="L43" s="202">
        <v>2019</v>
      </c>
      <c r="M43" s="202">
        <v>2019</v>
      </c>
      <c r="N43" s="203">
        <v>2019</v>
      </c>
      <c r="O43" s="43"/>
    </row>
    <row r="44" spans="1:15" ht="31.2" customHeight="1" x14ac:dyDescent="0.25">
      <c r="B44" s="303" t="s">
        <v>558</v>
      </c>
      <c r="C44" s="48">
        <v>613900</v>
      </c>
      <c r="D44" s="208" t="s">
        <v>171</v>
      </c>
      <c r="E44" s="209" t="s">
        <v>171</v>
      </c>
      <c r="F44" s="202">
        <v>2019</v>
      </c>
      <c r="G44" s="202">
        <v>2019</v>
      </c>
      <c r="H44" s="202">
        <v>2019</v>
      </c>
      <c r="I44" s="202">
        <v>2019</v>
      </c>
      <c r="J44" s="199">
        <v>2027</v>
      </c>
      <c r="K44" s="202">
        <v>2019</v>
      </c>
      <c r="L44" s="202">
        <v>2019</v>
      </c>
      <c r="M44" s="202">
        <v>2019</v>
      </c>
      <c r="N44" s="203">
        <v>2019</v>
      </c>
      <c r="O44" s="43"/>
    </row>
    <row r="45" spans="1:15" ht="31.2" customHeight="1" x14ac:dyDescent="0.25">
      <c r="B45" s="303" t="s">
        <v>559</v>
      </c>
      <c r="C45" s="48">
        <v>668000</v>
      </c>
      <c r="D45" s="209" t="s">
        <v>229</v>
      </c>
      <c r="E45" s="209" t="s">
        <v>169</v>
      </c>
      <c r="F45" s="202">
        <v>2019</v>
      </c>
      <c r="G45" s="202">
        <v>2019</v>
      </c>
      <c r="H45" s="202">
        <v>2019</v>
      </c>
      <c r="I45" s="202">
        <v>2019</v>
      </c>
      <c r="J45" s="200">
        <v>2023</v>
      </c>
      <c r="K45" s="202">
        <v>2019</v>
      </c>
      <c r="L45" s="202">
        <v>2019</v>
      </c>
      <c r="M45" s="202">
        <v>2019</v>
      </c>
      <c r="N45" s="203">
        <v>2019</v>
      </c>
      <c r="O45" s="43"/>
    </row>
    <row r="46" spans="1:15" ht="31.2" customHeight="1" x14ac:dyDescent="0.25">
      <c r="B46" s="303" t="s">
        <v>560</v>
      </c>
      <c r="C46" s="48">
        <v>149900</v>
      </c>
      <c r="D46" s="209" t="s">
        <v>169</v>
      </c>
      <c r="E46" s="209" t="s">
        <v>169</v>
      </c>
      <c r="F46" s="208" t="s">
        <v>169</v>
      </c>
      <c r="G46" s="209" t="s">
        <v>233</v>
      </c>
      <c r="H46" s="209" t="s">
        <v>234</v>
      </c>
      <c r="I46" s="209" t="s">
        <v>232</v>
      </c>
      <c r="J46" s="209" t="s">
        <v>169</v>
      </c>
      <c r="K46" s="209" t="s">
        <v>236</v>
      </c>
      <c r="L46" s="199">
        <v>2026</v>
      </c>
      <c r="M46" s="208" t="s">
        <v>169</v>
      </c>
      <c r="N46" s="201">
        <v>2030</v>
      </c>
      <c r="O46" s="43"/>
    </row>
    <row r="47" spans="1:15" ht="31.2" customHeight="1" x14ac:dyDescent="0.25">
      <c r="B47" s="303" t="s">
        <v>561</v>
      </c>
      <c r="C47" s="48">
        <v>416400</v>
      </c>
      <c r="D47" s="209" t="s">
        <v>169</v>
      </c>
      <c r="E47" s="209" t="s">
        <v>230</v>
      </c>
      <c r="F47" s="208" t="s">
        <v>169</v>
      </c>
      <c r="G47" s="202">
        <v>2019</v>
      </c>
      <c r="H47" s="199">
        <v>2026</v>
      </c>
      <c r="I47" s="209" t="s">
        <v>235</v>
      </c>
      <c r="J47" s="209" t="s">
        <v>169</v>
      </c>
      <c r="K47" s="202">
        <v>2019</v>
      </c>
      <c r="L47" s="202">
        <v>2019</v>
      </c>
      <c r="M47" s="202">
        <v>2019</v>
      </c>
      <c r="N47" s="203">
        <v>2019</v>
      </c>
      <c r="O47" s="43"/>
    </row>
    <row r="48" spans="1:15" ht="31.2" customHeight="1" x14ac:dyDescent="0.25">
      <c r="B48" s="303" t="s">
        <v>562</v>
      </c>
      <c r="C48" s="48">
        <v>733900</v>
      </c>
      <c r="D48" s="199">
        <v>2027</v>
      </c>
      <c r="E48" s="199">
        <v>2028</v>
      </c>
      <c r="F48" s="202">
        <v>2019</v>
      </c>
      <c r="G48" s="202">
        <v>2019</v>
      </c>
      <c r="H48" s="202">
        <v>2019</v>
      </c>
      <c r="I48" s="202">
        <v>2019</v>
      </c>
      <c r="J48" s="202">
        <v>2019</v>
      </c>
      <c r="K48" s="202">
        <v>2019</v>
      </c>
      <c r="L48" s="202">
        <v>2019</v>
      </c>
      <c r="M48" s="202">
        <v>2019</v>
      </c>
      <c r="N48" s="203">
        <v>2019</v>
      </c>
      <c r="O48" s="43"/>
    </row>
    <row r="49" spans="1:15" ht="31.2" customHeight="1" x14ac:dyDescent="0.25">
      <c r="B49" s="304" t="s">
        <v>563</v>
      </c>
      <c r="C49" s="52">
        <v>282800</v>
      </c>
      <c r="D49" s="210" t="s">
        <v>169</v>
      </c>
      <c r="E49" s="211" t="s">
        <v>171</v>
      </c>
      <c r="F49" s="211" t="s">
        <v>171</v>
      </c>
      <c r="G49" s="204">
        <v>2030</v>
      </c>
      <c r="H49" s="210" t="s">
        <v>171</v>
      </c>
      <c r="I49" s="211" t="s">
        <v>171</v>
      </c>
      <c r="J49" s="211" t="s">
        <v>169</v>
      </c>
      <c r="K49" s="205">
        <v>2022</v>
      </c>
      <c r="L49" s="205">
        <v>2019</v>
      </c>
      <c r="M49" s="206">
        <v>2023</v>
      </c>
      <c r="N49" s="207">
        <v>2019</v>
      </c>
      <c r="O49" s="43"/>
    </row>
    <row r="50" spans="1:15" x14ac:dyDescent="0.25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 spans="1:15" x14ac:dyDescent="0.25">
      <c r="A51" t="s">
        <v>242</v>
      </c>
      <c r="B51" s="43">
        <v>64</v>
      </c>
      <c r="C51" s="43">
        <f>B51/121</f>
        <v>0.52892561983471076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 spans="1:15" x14ac:dyDescent="0.25">
      <c r="A52" t="s">
        <v>262</v>
      </c>
      <c r="B52" s="43">
        <v>4</v>
      </c>
      <c r="C52" s="43">
        <f>B52/121</f>
        <v>3.3057851239669422E-2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 spans="1:15" x14ac:dyDescent="0.25">
      <c r="A53" t="s">
        <v>261</v>
      </c>
      <c r="B53" s="43">
        <v>53</v>
      </c>
      <c r="C53" s="43">
        <f>B53/121</f>
        <v>0.43801652892561982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 spans="1:15" x14ac:dyDescent="0.25">
      <c r="B54" s="43"/>
      <c r="C54" s="43"/>
      <c r="D54" s="43"/>
      <c r="E54" s="43"/>
      <c r="F54" s="43"/>
      <c r="G54" s="43">
        <f>AVERAGE(F38,G38,H38,I38,J38,K38,M38)</f>
        <v>516685.71428571426</v>
      </c>
      <c r="H54" s="43"/>
      <c r="I54" s="43"/>
      <c r="J54" s="43"/>
      <c r="K54" s="43"/>
      <c r="L54" s="43"/>
      <c r="M54" s="43"/>
      <c r="N54" s="43"/>
      <c r="O54" s="43"/>
    </row>
    <row r="55" spans="1:15" x14ac:dyDescent="0.25">
      <c r="A55" t="s">
        <v>263</v>
      </c>
      <c r="F55">
        <f>AVERAGE(C40,C41,C42,C47,C49,C44,C45)</f>
        <v>532285.71428571432</v>
      </c>
    </row>
    <row r="56" spans="1:15" x14ac:dyDescent="0.25">
      <c r="A56" t="s">
        <v>264</v>
      </c>
    </row>
    <row r="57" spans="1:15" x14ac:dyDescent="0.25">
      <c r="A57" t="s">
        <v>265</v>
      </c>
    </row>
    <row r="58" spans="1:15" x14ac:dyDescent="0.25">
      <c r="A58" t="s">
        <v>266</v>
      </c>
    </row>
    <row r="60" spans="1:15" x14ac:dyDescent="0.25">
      <c r="A60" t="s">
        <v>267</v>
      </c>
    </row>
    <row r="61" spans="1:15" x14ac:dyDescent="0.25">
      <c r="A61" t="s">
        <v>268</v>
      </c>
    </row>
    <row r="62" spans="1:15" x14ac:dyDescent="0.25">
      <c r="A62" t="s">
        <v>269</v>
      </c>
    </row>
    <row r="63" spans="1:15" x14ac:dyDescent="0.25">
      <c r="A63" t="s">
        <v>270</v>
      </c>
    </row>
    <row r="65" spans="1:3" x14ac:dyDescent="0.25">
      <c r="A65" t="s">
        <v>250</v>
      </c>
      <c r="B65">
        <v>32</v>
      </c>
      <c r="C65" s="183">
        <f>B65/49</f>
        <v>0.65306122448979587</v>
      </c>
    </row>
    <row r="66" spans="1:3" x14ac:dyDescent="0.25">
      <c r="A66" t="s">
        <v>271</v>
      </c>
      <c r="B66">
        <v>3</v>
      </c>
      <c r="C66" s="67">
        <f>B66/49</f>
        <v>6.1224489795918366E-2</v>
      </c>
    </row>
    <row r="67" spans="1:3" x14ac:dyDescent="0.25">
      <c r="A67" t="s">
        <v>244</v>
      </c>
      <c r="B67">
        <v>4</v>
      </c>
      <c r="C67" s="68">
        <f>B67/49</f>
        <v>8.1632653061224483E-2</v>
      </c>
    </row>
    <row r="68" spans="1:3" x14ac:dyDescent="0.25">
      <c r="A68" t="s">
        <v>194</v>
      </c>
      <c r="B68">
        <v>10</v>
      </c>
      <c r="C68" s="69">
        <f>B68/49</f>
        <v>0.20408163265306123</v>
      </c>
    </row>
  </sheetData>
  <mergeCells count="1">
    <mergeCell ref="B37:C38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5"/>
  <sheetViews>
    <sheetView topLeftCell="D52" zoomScale="110" zoomScaleNormal="110" workbookViewId="0">
      <selection activeCell="J55" sqref="J55"/>
    </sheetView>
  </sheetViews>
  <sheetFormatPr defaultRowHeight="14.4" x14ac:dyDescent="0.25"/>
  <cols>
    <col min="1" max="1" width="11.44140625" customWidth="1"/>
    <col min="2" max="2" width="21.109375" customWidth="1"/>
    <col min="3" max="3" width="21.5546875" bestFit="1" customWidth="1"/>
    <col min="4" max="4" width="11.6640625" bestFit="1" customWidth="1"/>
    <col min="5" max="5" width="10.33203125" customWidth="1"/>
    <col min="10" max="10" width="10.88671875" customWidth="1"/>
    <col min="11" max="11" width="11.44140625" customWidth="1"/>
    <col min="12" max="12" width="10.6640625" customWidth="1"/>
    <col min="13" max="13" width="8.88671875" customWidth="1"/>
  </cols>
  <sheetData>
    <row r="2" spans="2:7" x14ac:dyDescent="0.25">
      <c r="C2" t="s">
        <v>79</v>
      </c>
      <c r="D2" t="s">
        <v>80</v>
      </c>
      <c r="E2" t="s">
        <v>81</v>
      </c>
      <c r="F2" t="s">
        <v>82</v>
      </c>
      <c r="G2" t="s">
        <v>83</v>
      </c>
    </row>
    <row r="3" spans="2:7" x14ac:dyDescent="0.25">
      <c r="B3">
        <v>2016</v>
      </c>
      <c r="C3" s="2">
        <v>0.51100000000000001</v>
      </c>
      <c r="D3" s="2">
        <v>0.24099999999999999</v>
      </c>
      <c r="E3" s="2">
        <v>0.17699999999999999</v>
      </c>
      <c r="F3" s="2">
        <v>1.4999999999999999E-2</v>
      </c>
      <c r="G3" s="2">
        <v>5.6000000000000001E-2</v>
      </c>
    </row>
    <row r="4" spans="2:7" x14ac:dyDescent="0.25">
      <c r="B4">
        <v>2017</v>
      </c>
      <c r="C4" s="2">
        <v>0.57799999999999996</v>
      </c>
      <c r="D4" s="2">
        <v>7.9000000000000001E-2</v>
      </c>
      <c r="E4" s="2">
        <v>0.27</v>
      </c>
      <c r="F4" s="2">
        <v>4.3999999999999997E-2</v>
      </c>
      <c r="G4" s="2">
        <v>2.9000000000000001E-2</v>
      </c>
    </row>
    <row r="5" spans="2:7" x14ac:dyDescent="0.25">
      <c r="B5">
        <v>2018</v>
      </c>
      <c r="C5" s="2">
        <v>0.38</v>
      </c>
      <c r="D5" s="2">
        <v>0.13700000000000001</v>
      </c>
      <c r="E5" s="2">
        <v>0.36499999999999999</v>
      </c>
      <c r="F5" s="2">
        <v>7.6999999999999999E-2</v>
      </c>
      <c r="G5" s="2">
        <v>4.1000000000000002E-2</v>
      </c>
    </row>
    <row r="6" spans="2:7" x14ac:dyDescent="0.25">
      <c r="B6">
        <v>2019</v>
      </c>
      <c r="C6" s="2">
        <v>0.17499999999999999</v>
      </c>
      <c r="D6" s="2">
        <v>0.114</v>
      </c>
      <c r="E6" s="2">
        <v>0.53300000000000003</v>
      </c>
      <c r="F6" s="2">
        <v>0.152</v>
      </c>
      <c r="G6" s="2">
        <v>2.5999999999999999E-2</v>
      </c>
    </row>
    <row r="7" spans="2:7" x14ac:dyDescent="0.25">
      <c r="B7">
        <v>2020</v>
      </c>
      <c r="C7" s="34">
        <v>0.1</v>
      </c>
      <c r="D7" s="34">
        <v>0.05</v>
      </c>
      <c r="E7" s="34">
        <v>0.56999999999999995</v>
      </c>
      <c r="F7" s="34">
        <v>0.23</v>
      </c>
      <c r="G7" s="34">
        <v>0.05</v>
      </c>
    </row>
    <row r="8" spans="2:7" x14ac:dyDescent="0.25">
      <c r="B8">
        <v>2021</v>
      </c>
      <c r="C8" s="34">
        <v>0.05</v>
      </c>
      <c r="D8" s="2">
        <v>0.02</v>
      </c>
      <c r="E8" s="34">
        <v>0.6</v>
      </c>
      <c r="F8" s="34">
        <v>0.25</v>
      </c>
      <c r="G8" s="34">
        <v>0.08</v>
      </c>
    </row>
    <row r="9" spans="2:7" x14ac:dyDescent="0.25">
      <c r="B9">
        <v>2022</v>
      </c>
      <c r="C9" s="34">
        <v>0.02</v>
      </c>
      <c r="D9" s="34">
        <v>0.01</v>
      </c>
      <c r="E9" s="34">
        <v>0.55000000000000004</v>
      </c>
      <c r="F9" s="34">
        <v>0.3</v>
      </c>
      <c r="G9" s="34">
        <v>0.12</v>
      </c>
    </row>
    <row r="10" spans="2:7" x14ac:dyDescent="0.25">
      <c r="B10">
        <v>2023</v>
      </c>
      <c r="C10" s="2">
        <v>1.4999999999999999E-2</v>
      </c>
      <c r="D10" s="2">
        <v>5.0000000000000001E-3</v>
      </c>
      <c r="E10" s="34">
        <v>0.5</v>
      </c>
      <c r="F10" s="34">
        <v>0.35</v>
      </c>
      <c r="G10" s="34">
        <v>0.13</v>
      </c>
    </row>
    <row r="11" spans="2:7" x14ac:dyDescent="0.25">
      <c r="B11">
        <v>2024</v>
      </c>
      <c r="C11" s="2">
        <v>0.01</v>
      </c>
      <c r="D11" s="34">
        <v>0</v>
      </c>
      <c r="E11" s="34">
        <v>0.45</v>
      </c>
      <c r="F11" s="34">
        <v>0.4</v>
      </c>
      <c r="G11" s="34">
        <v>0.14000000000000001</v>
      </c>
    </row>
    <row r="12" spans="2:7" x14ac:dyDescent="0.25">
      <c r="B12">
        <v>2025</v>
      </c>
      <c r="C12" s="2">
        <v>5.0000000000000001E-3</v>
      </c>
      <c r="D12" s="34">
        <v>0</v>
      </c>
      <c r="E12" s="34">
        <v>0.4</v>
      </c>
      <c r="F12" s="34">
        <v>0.45</v>
      </c>
      <c r="G12" s="2">
        <v>0.14499999999999999</v>
      </c>
    </row>
    <row r="13" spans="2:7" x14ac:dyDescent="0.25">
      <c r="B13">
        <v>2026</v>
      </c>
      <c r="C13" s="2">
        <v>2E-3</v>
      </c>
      <c r="D13" s="34">
        <v>0</v>
      </c>
      <c r="E13" s="34">
        <v>0.35</v>
      </c>
      <c r="F13" s="34">
        <v>0.5</v>
      </c>
      <c r="G13" s="2">
        <v>0.14799999999999999</v>
      </c>
    </row>
    <row r="14" spans="2:7" x14ac:dyDescent="0.25">
      <c r="B14">
        <v>2027</v>
      </c>
      <c r="C14" s="2">
        <v>1.5E-3</v>
      </c>
      <c r="D14" s="34">
        <v>0</v>
      </c>
      <c r="E14" s="34">
        <v>0.32</v>
      </c>
      <c r="F14" s="34">
        <v>0.5</v>
      </c>
      <c r="G14" s="2">
        <v>0.17849999999999999</v>
      </c>
    </row>
    <row r="15" spans="2:7" x14ac:dyDescent="0.25">
      <c r="B15">
        <v>2028</v>
      </c>
      <c r="C15" s="2">
        <v>1E-3</v>
      </c>
      <c r="D15" s="34">
        <v>0</v>
      </c>
      <c r="E15" s="34">
        <v>0.3</v>
      </c>
      <c r="F15" s="34">
        <v>0.52</v>
      </c>
      <c r="G15" s="2">
        <v>0.17899999999999999</v>
      </c>
    </row>
    <row r="16" spans="2:7" x14ac:dyDescent="0.25">
      <c r="B16">
        <v>2029</v>
      </c>
      <c r="C16" s="2">
        <v>5.0000000000000001E-4</v>
      </c>
      <c r="D16" s="34">
        <v>0</v>
      </c>
      <c r="E16" s="34">
        <v>0.25</v>
      </c>
      <c r="F16" s="2">
        <v>0.54949999999999999</v>
      </c>
      <c r="G16" s="34">
        <v>0.2</v>
      </c>
    </row>
    <row r="17" spans="2:7" x14ac:dyDescent="0.25">
      <c r="B17">
        <v>2030</v>
      </c>
      <c r="C17" s="2">
        <v>1E-4</v>
      </c>
      <c r="D17" s="34">
        <v>0</v>
      </c>
      <c r="E17" s="34">
        <v>0.2</v>
      </c>
      <c r="F17" s="2">
        <v>0.57989999999999997</v>
      </c>
      <c r="G17" s="34">
        <v>0.22</v>
      </c>
    </row>
    <row r="20" spans="2:7" x14ac:dyDescent="0.25">
      <c r="C20" s="2"/>
      <c r="D20" s="2"/>
      <c r="E20" s="2"/>
      <c r="F20" s="2"/>
      <c r="G20" s="2"/>
    </row>
    <row r="21" spans="2:7" x14ac:dyDescent="0.25">
      <c r="C21" s="2"/>
      <c r="D21" s="2"/>
      <c r="E21" s="2"/>
      <c r="F21" s="2"/>
      <c r="G21" s="2"/>
    </row>
    <row r="22" spans="2:7" x14ac:dyDescent="0.25">
      <c r="C22" s="2"/>
      <c r="D22" s="2"/>
      <c r="E22" s="2"/>
      <c r="F22" s="2"/>
      <c r="G22" s="2"/>
    </row>
    <row r="23" spans="2:7" x14ac:dyDescent="0.25">
      <c r="C23" s="2"/>
      <c r="D23" s="2"/>
      <c r="E23" s="2"/>
      <c r="F23" s="2"/>
      <c r="G23" s="2"/>
    </row>
    <row r="24" spans="2:7" x14ac:dyDescent="0.25">
      <c r="C24" s="34"/>
      <c r="D24" s="34"/>
      <c r="E24" s="34"/>
      <c r="F24" s="34"/>
      <c r="G24" s="34"/>
    </row>
    <row r="25" spans="2:7" x14ac:dyDescent="0.25">
      <c r="C25" s="34"/>
      <c r="D25" s="2"/>
      <c r="E25" s="34"/>
      <c r="F25" s="34"/>
      <c r="G25" s="34"/>
    </row>
    <row r="26" spans="2:7" x14ac:dyDescent="0.25">
      <c r="C26" s="34"/>
      <c r="D26" s="34"/>
      <c r="E26" s="34"/>
      <c r="F26" s="34"/>
      <c r="G26" s="34"/>
    </row>
    <row r="27" spans="2:7" x14ac:dyDescent="0.25">
      <c r="B27" t="s">
        <v>113</v>
      </c>
      <c r="E27" s="34"/>
      <c r="F27" s="34"/>
      <c r="G27" s="34"/>
    </row>
    <row r="28" spans="2:7" x14ac:dyDescent="0.25">
      <c r="B28" t="s">
        <v>259</v>
      </c>
      <c r="C28">
        <v>35</v>
      </c>
      <c r="D28" s="183">
        <f>C28/64</f>
        <v>0.546875</v>
      </c>
      <c r="E28" s="34"/>
      <c r="F28" s="34"/>
      <c r="G28" s="34"/>
    </row>
    <row r="29" spans="2:7" x14ac:dyDescent="0.25">
      <c r="B29" t="s">
        <v>260</v>
      </c>
      <c r="C29">
        <v>20</v>
      </c>
      <c r="D29" s="67">
        <f>C29/64</f>
        <v>0.3125</v>
      </c>
      <c r="E29" s="34"/>
      <c r="F29" s="34"/>
      <c r="G29" s="2"/>
    </row>
    <row r="30" spans="2:7" x14ac:dyDescent="0.25">
      <c r="B30" t="s">
        <v>261</v>
      </c>
      <c r="C30">
        <v>9</v>
      </c>
      <c r="D30" s="68">
        <f>C30/64</f>
        <v>0.140625</v>
      </c>
      <c r="E30" s="34"/>
      <c r="F30" s="34"/>
      <c r="G30" s="2"/>
    </row>
    <row r="31" spans="2:7" x14ac:dyDescent="0.25">
      <c r="B31" t="s">
        <v>276</v>
      </c>
      <c r="C31" s="45">
        <v>0</v>
      </c>
      <c r="D31" s="189">
        <v>0</v>
      </c>
      <c r="E31" s="34"/>
      <c r="F31" s="34"/>
      <c r="G31" s="2"/>
    </row>
    <row r="32" spans="2:7" x14ac:dyDescent="0.25">
      <c r="C32" s="2"/>
      <c r="D32" s="34"/>
      <c r="E32" s="34"/>
      <c r="F32" s="34"/>
      <c r="G32" s="2"/>
    </row>
    <row r="33" spans="2:14" x14ac:dyDescent="0.25">
      <c r="B33" t="s">
        <v>114</v>
      </c>
      <c r="E33" s="34"/>
      <c r="F33" s="2"/>
      <c r="G33" s="34"/>
    </row>
    <row r="34" spans="2:14" x14ac:dyDescent="0.25">
      <c r="B34" t="s">
        <v>239</v>
      </c>
      <c r="C34">
        <v>42</v>
      </c>
      <c r="D34" s="183">
        <f>C34/81</f>
        <v>0.51851851851851849</v>
      </c>
      <c r="E34" s="34"/>
      <c r="F34" s="2"/>
      <c r="G34" s="34"/>
    </row>
    <row r="35" spans="2:14" x14ac:dyDescent="0.25">
      <c r="B35" t="s">
        <v>240</v>
      </c>
      <c r="C35">
        <v>23</v>
      </c>
      <c r="D35" s="67">
        <f>C35/81</f>
        <v>0.2839506172839506</v>
      </c>
      <c r="J35" s="21"/>
      <c r="K35" s="21"/>
      <c r="L35" s="21"/>
      <c r="M35" s="21"/>
      <c r="N35" s="28"/>
    </row>
    <row r="36" spans="2:14" x14ac:dyDescent="0.25">
      <c r="B36" t="s">
        <v>241</v>
      </c>
      <c r="C36">
        <v>14</v>
      </c>
      <c r="D36" s="68">
        <f>C36/81</f>
        <v>0.1728395061728395</v>
      </c>
      <c r="J36" s="21"/>
      <c r="K36" s="21"/>
      <c r="L36" s="21"/>
      <c r="M36" s="21"/>
      <c r="N36" s="28"/>
    </row>
    <row r="37" spans="2:14" x14ac:dyDescent="0.25">
      <c r="B37" t="s">
        <v>169</v>
      </c>
      <c r="C37">
        <v>2</v>
      </c>
      <c r="D37" s="69">
        <f>C37/81</f>
        <v>2.4691358024691357E-2</v>
      </c>
      <c r="J37" s="21"/>
      <c r="K37" s="21"/>
      <c r="L37" s="21"/>
      <c r="M37" s="21"/>
      <c r="N37" s="28"/>
    </row>
    <row r="38" spans="2:14" x14ac:dyDescent="0.25">
      <c r="J38" s="21"/>
      <c r="K38" s="21"/>
      <c r="L38" s="21"/>
      <c r="M38" s="21"/>
      <c r="N38" s="28"/>
    </row>
    <row r="39" spans="2:14" x14ac:dyDescent="0.25">
      <c r="B39" t="s">
        <v>272</v>
      </c>
      <c r="J39" s="21"/>
      <c r="K39" s="21"/>
      <c r="L39" s="21"/>
      <c r="M39" s="21"/>
      <c r="N39" s="28"/>
    </row>
    <row r="40" spans="2:14" x14ac:dyDescent="0.25">
      <c r="B40" t="s">
        <v>250</v>
      </c>
      <c r="C40" s="43">
        <v>60</v>
      </c>
      <c r="D40" s="183">
        <f>C40/144</f>
        <v>0.41666666666666669</v>
      </c>
      <c r="J40" s="21"/>
      <c r="K40" s="21"/>
      <c r="L40" s="21"/>
      <c r="M40" s="21"/>
      <c r="N40" s="28"/>
    </row>
    <row r="41" spans="2:14" x14ac:dyDescent="0.25">
      <c r="B41" t="s">
        <v>243</v>
      </c>
      <c r="C41" s="43">
        <v>39</v>
      </c>
      <c r="D41" s="67">
        <f>C41/144</f>
        <v>0.27083333333333331</v>
      </c>
      <c r="J41" s="21"/>
      <c r="K41" s="21"/>
      <c r="L41" s="21"/>
      <c r="M41" s="21"/>
      <c r="N41" s="28"/>
    </row>
    <row r="42" spans="2:14" x14ac:dyDescent="0.25">
      <c r="B42" t="s">
        <v>244</v>
      </c>
      <c r="C42" s="43">
        <v>39</v>
      </c>
      <c r="D42" s="68">
        <f>C42/144</f>
        <v>0.27083333333333331</v>
      </c>
      <c r="J42" s="21"/>
      <c r="K42" s="21"/>
      <c r="L42" s="21"/>
      <c r="M42" s="21"/>
      <c r="N42" s="28"/>
    </row>
    <row r="43" spans="2:14" x14ac:dyDescent="0.25">
      <c r="C43" s="43">
        <v>6</v>
      </c>
      <c r="D43" s="69">
        <f>C43/144</f>
        <v>4.1666666666666664E-2</v>
      </c>
      <c r="J43" s="21"/>
      <c r="K43" s="21"/>
      <c r="L43" s="21"/>
      <c r="M43" s="21"/>
      <c r="N43" s="28"/>
    </row>
    <row r="44" spans="2:14" x14ac:dyDescent="0.25">
      <c r="J44" s="21"/>
      <c r="K44" s="21"/>
      <c r="L44" s="21"/>
      <c r="M44" s="21"/>
      <c r="N44" s="28"/>
    </row>
    <row r="45" spans="2:14" x14ac:dyDescent="0.25">
      <c r="B45" t="s">
        <v>118</v>
      </c>
      <c r="J45" s="21"/>
      <c r="K45" s="21"/>
      <c r="L45" s="21"/>
      <c r="M45" s="21"/>
      <c r="N45" s="28"/>
    </row>
    <row r="46" spans="2:14" x14ac:dyDescent="0.25">
      <c r="B46" t="s">
        <v>250</v>
      </c>
      <c r="C46">
        <v>32</v>
      </c>
      <c r="D46" s="183">
        <f>C46/49</f>
        <v>0.65306122448979587</v>
      </c>
      <c r="J46" s="21"/>
      <c r="K46" s="21"/>
      <c r="L46" s="21"/>
      <c r="M46" s="21"/>
      <c r="N46" s="28"/>
    </row>
    <row r="47" spans="2:14" x14ac:dyDescent="0.25">
      <c r="B47" t="s">
        <v>271</v>
      </c>
      <c r="C47">
        <v>3</v>
      </c>
      <c r="D47" s="67">
        <f>C47/49</f>
        <v>6.1224489795918366E-2</v>
      </c>
    </row>
    <row r="48" spans="2:14" x14ac:dyDescent="0.25">
      <c r="B48" t="s">
        <v>244</v>
      </c>
      <c r="C48">
        <v>4</v>
      </c>
      <c r="D48" s="68">
        <f>C48/49</f>
        <v>8.1632653061224483E-2</v>
      </c>
    </row>
    <row r="49" spans="1:22" x14ac:dyDescent="0.25">
      <c r="C49">
        <v>10</v>
      </c>
      <c r="D49" s="69">
        <f>C49/49</f>
        <v>0.20408163265306123</v>
      </c>
    </row>
    <row r="50" spans="1:22" x14ac:dyDescent="0.25">
      <c r="F50" s="2"/>
      <c r="G50" s="34"/>
      <c r="H50" s="34"/>
      <c r="I50" s="34"/>
    </row>
    <row r="51" spans="1:22" x14ac:dyDescent="0.25">
      <c r="A51" s="214"/>
      <c r="B51" s="46" t="s">
        <v>113</v>
      </c>
      <c r="C51" s="46" t="s">
        <v>273</v>
      </c>
      <c r="D51" s="46" t="s">
        <v>274</v>
      </c>
      <c r="E51" s="215" t="s">
        <v>118</v>
      </c>
      <c r="F51" s="34"/>
      <c r="G51" s="34"/>
      <c r="H51" s="34"/>
      <c r="I51" s="34"/>
      <c r="J51" s="35" t="s">
        <v>113</v>
      </c>
      <c r="K51" s="35" t="s">
        <v>273</v>
      </c>
      <c r="L51" s="35" t="s">
        <v>274</v>
      </c>
      <c r="M51" s="35" t="s">
        <v>118</v>
      </c>
      <c r="R51" t="s">
        <v>79</v>
      </c>
      <c r="S51" t="s">
        <v>80</v>
      </c>
      <c r="T51" t="s">
        <v>81</v>
      </c>
      <c r="U51" t="s">
        <v>82</v>
      </c>
      <c r="V51" t="s">
        <v>83</v>
      </c>
    </row>
    <row r="52" spans="1:22" x14ac:dyDescent="0.25">
      <c r="A52" s="56" t="s">
        <v>275</v>
      </c>
      <c r="B52" s="216">
        <v>0.546875</v>
      </c>
      <c r="C52" s="216">
        <v>0.51851851851851849</v>
      </c>
      <c r="D52" s="216">
        <v>0.41666666666666669</v>
      </c>
      <c r="E52" s="217">
        <v>0.65306122448979587</v>
      </c>
      <c r="F52" s="2"/>
      <c r="G52" s="34"/>
      <c r="H52" s="34"/>
      <c r="I52" s="183">
        <v>2019</v>
      </c>
      <c r="Q52">
        <v>2016</v>
      </c>
      <c r="R52" s="2">
        <v>0.51100000000000001</v>
      </c>
      <c r="S52" s="2">
        <v>0.24099999999999999</v>
      </c>
      <c r="T52" s="2">
        <v>0.17699999999999999</v>
      </c>
      <c r="U52" s="2">
        <v>1.4999999999999999E-2</v>
      </c>
      <c r="V52" s="2">
        <v>5.6000000000000001E-2</v>
      </c>
    </row>
    <row r="53" spans="1:22" x14ac:dyDescent="0.25">
      <c r="A53" s="56" t="s">
        <v>243</v>
      </c>
      <c r="B53" s="218">
        <v>0.3125</v>
      </c>
      <c r="C53" s="218">
        <v>0.2839506172839506</v>
      </c>
      <c r="D53" s="218">
        <v>0.27083333333333331</v>
      </c>
      <c r="E53" s="219">
        <v>6.1224489795918366E-2</v>
      </c>
      <c r="H53" s="34"/>
      <c r="I53" s="183">
        <v>2020</v>
      </c>
      <c r="Q53">
        <v>2017</v>
      </c>
      <c r="R53" s="2">
        <v>0.57799999999999996</v>
      </c>
      <c r="S53" s="2">
        <v>7.9000000000000001E-2</v>
      </c>
      <c r="T53" s="2">
        <v>0.27</v>
      </c>
      <c r="U53" s="2">
        <v>4.3999999999999997E-2</v>
      </c>
      <c r="V53" s="2">
        <v>2.9000000000000001E-2</v>
      </c>
    </row>
    <row r="54" spans="1:22" x14ac:dyDescent="0.25">
      <c r="A54" s="56" t="s">
        <v>244</v>
      </c>
      <c r="B54" s="220">
        <v>0.140625</v>
      </c>
      <c r="C54" s="221">
        <v>0.1728395061728395</v>
      </c>
      <c r="D54" s="220">
        <v>0.27083333333333331</v>
      </c>
      <c r="E54" s="222">
        <v>8.1632653061224483E-2</v>
      </c>
      <c r="F54" s="2"/>
      <c r="G54" s="2"/>
      <c r="I54" s="183">
        <v>2021</v>
      </c>
      <c r="Q54">
        <v>2018</v>
      </c>
      <c r="R54" s="2">
        <v>0.38</v>
      </c>
      <c r="S54" s="2">
        <v>0.13700000000000001</v>
      </c>
      <c r="T54" s="2">
        <v>0.36499999999999999</v>
      </c>
      <c r="U54" s="2">
        <v>7.6999999999999999E-2</v>
      </c>
      <c r="V54" s="2">
        <v>4.1000000000000002E-2</v>
      </c>
    </row>
    <row r="55" spans="1:22" x14ac:dyDescent="0.25">
      <c r="A55" s="57" t="s">
        <v>169</v>
      </c>
      <c r="B55" s="223">
        <v>0</v>
      </c>
      <c r="C55" s="223">
        <v>2.4691358024691357E-2</v>
      </c>
      <c r="D55" s="223">
        <v>4.1666666666666664E-2</v>
      </c>
      <c r="E55" s="224">
        <v>0.20408163265306123</v>
      </c>
      <c r="F55" s="2"/>
      <c r="G55" s="190"/>
      <c r="I55" s="183">
        <v>2022</v>
      </c>
      <c r="J55" s="21">
        <f>(R58+S58)*B59</f>
        <v>1.6406250000000001E-2</v>
      </c>
      <c r="K55" s="2">
        <f>T58*C59</f>
        <v>0.28518518518518521</v>
      </c>
      <c r="L55" s="2">
        <f>U58*D52</f>
        <v>0.125</v>
      </c>
      <c r="M55" s="2">
        <f>V58*E52</f>
        <v>7.8367346938775506E-2</v>
      </c>
      <c r="N55" s="2">
        <f>SUM(J55:M55)</f>
        <v>0.50495878212396073</v>
      </c>
      <c r="Q55">
        <v>2019</v>
      </c>
      <c r="R55" s="2">
        <v>0.17499999999999999</v>
      </c>
      <c r="S55" s="2">
        <v>0.114</v>
      </c>
      <c r="T55" s="2">
        <v>0.53300000000000003</v>
      </c>
      <c r="U55" s="2">
        <v>0.152</v>
      </c>
      <c r="V55" s="2">
        <v>2.5999999999999999E-2</v>
      </c>
    </row>
    <row r="56" spans="1:22" x14ac:dyDescent="0.25">
      <c r="F56" s="2"/>
      <c r="G56" s="2"/>
      <c r="I56" s="67">
        <v>2023</v>
      </c>
      <c r="Q56">
        <v>2020</v>
      </c>
      <c r="R56" s="34">
        <v>0.1</v>
      </c>
      <c r="S56" s="34">
        <v>0.05</v>
      </c>
      <c r="T56" s="34">
        <v>0.56999999999999995</v>
      </c>
      <c r="U56" s="34">
        <v>0.23</v>
      </c>
      <c r="V56" s="34">
        <v>0.05</v>
      </c>
    </row>
    <row r="57" spans="1:22" x14ac:dyDescent="0.25">
      <c r="C57" s="2"/>
      <c r="D57" s="2"/>
      <c r="E57" s="2"/>
      <c r="F57" s="2"/>
      <c r="G57" s="2"/>
      <c r="I57" s="67">
        <v>2024</v>
      </c>
      <c r="Q57">
        <v>2021</v>
      </c>
      <c r="R57" s="34">
        <v>0.05</v>
      </c>
      <c r="S57" s="2">
        <v>0.02</v>
      </c>
      <c r="T57" s="34">
        <v>0.6</v>
      </c>
      <c r="U57" s="34">
        <v>0.25</v>
      </c>
      <c r="V57" s="34">
        <v>0.08</v>
      </c>
    </row>
    <row r="58" spans="1:22" x14ac:dyDescent="0.25">
      <c r="A58" s="214"/>
      <c r="B58" s="46" t="s">
        <v>113</v>
      </c>
      <c r="C58" s="46" t="s">
        <v>273</v>
      </c>
      <c r="D58" s="46" t="s">
        <v>274</v>
      </c>
      <c r="E58" s="215" t="s">
        <v>118</v>
      </c>
      <c r="I58" s="67">
        <v>2025</v>
      </c>
      <c r="J58" s="21">
        <f>(R61+S61)*B60</f>
        <v>4.2968750000000003E-3</v>
      </c>
      <c r="K58" s="21">
        <f>T61*C60</f>
        <v>0.32098765432098769</v>
      </c>
      <c r="L58" s="2">
        <f>U61*D60</f>
        <v>0.30937500000000001</v>
      </c>
      <c r="M58" s="21">
        <f>V61*E60</f>
        <v>0.10357142857142855</v>
      </c>
      <c r="N58" s="2">
        <f>SUM(J58:M58)</f>
        <v>0.73823095789241622</v>
      </c>
      <c r="Q58">
        <v>2022</v>
      </c>
      <c r="R58" s="34">
        <v>0.02</v>
      </c>
      <c r="S58" s="34">
        <v>0.01</v>
      </c>
      <c r="T58" s="34">
        <v>0.55000000000000004</v>
      </c>
      <c r="U58" s="34">
        <v>0.3</v>
      </c>
      <c r="V58" s="34">
        <v>0.12</v>
      </c>
    </row>
    <row r="59" spans="1:22" x14ac:dyDescent="0.25">
      <c r="A59" s="56">
        <v>2022</v>
      </c>
      <c r="B59" s="216">
        <v>0.546875</v>
      </c>
      <c r="C59" s="216">
        <v>0.51851851851851849</v>
      </c>
      <c r="D59" s="216">
        <v>0.41666666666666669</v>
      </c>
      <c r="E59" s="217">
        <v>0.65306122448979587</v>
      </c>
      <c r="I59" s="68">
        <v>2026</v>
      </c>
      <c r="Q59">
        <v>2023</v>
      </c>
      <c r="R59" s="2">
        <v>1.4999999999999999E-2</v>
      </c>
      <c r="S59" s="2">
        <v>5.0000000000000001E-3</v>
      </c>
      <c r="T59" s="34">
        <v>0.5</v>
      </c>
      <c r="U59" s="34">
        <v>0.35</v>
      </c>
      <c r="V59" s="34">
        <v>0.13</v>
      </c>
    </row>
    <row r="60" spans="1:22" x14ac:dyDescent="0.25">
      <c r="A60" s="56">
        <v>2025</v>
      </c>
      <c r="B60" s="218">
        <f t="shared" ref="B60:E61" si="0">B59+B53</f>
        <v>0.859375</v>
      </c>
      <c r="C60" s="218">
        <f t="shared" si="0"/>
        <v>0.80246913580246915</v>
      </c>
      <c r="D60" s="218">
        <f t="shared" si="0"/>
        <v>0.6875</v>
      </c>
      <c r="E60" s="219">
        <f t="shared" si="0"/>
        <v>0.71428571428571419</v>
      </c>
      <c r="I60" s="68">
        <v>2027</v>
      </c>
      <c r="Q60">
        <v>2024</v>
      </c>
      <c r="R60" s="2">
        <v>0.01</v>
      </c>
      <c r="S60" s="34">
        <v>0</v>
      </c>
      <c r="T60" s="34">
        <v>0.45</v>
      </c>
      <c r="U60" s="34">
        <v>0.4</v>
      </c>
      <c r="V60" s="34">
        <v>0.14000000000000001</v>
      </c>
    </row>
    <row r="61" spans="1:22" x14ac:dyDescent="0.25">
      <c r="A61" s="56">
        <v>2030</v>
      </c>
      <c r="B61" s="220">
        <f t="shared" si="0"/>
        <v>1</v>
      </c>
      <c r="C61" s="221">
        <f t="shared" si="0"/>
        <v>0.97530864197530864</v>
      </c>
      <c r="D61" s="220">
        <f t="shared" si="0"/>
        <v>0.95833333333333326</v>
      </c>
      <c r="E61" s="222">
        <f t="shared" si="0"/>
        <v>0.79591836734693866</v>
      </c>
      <c r="I61" s="68">
        <v>2028</v>
      </c>
      <c r="Q61">
        <v>2025</v>
      </c>
      <c r="R61" s="2">
        <v>5.0000000000000001E-3</v>
      </c>
      <c r="S61" s="34">
        <v>0</v>
      </c>
      <c r="T61" s="34">
        <v>0.4</v>
      </c>
      <c r="U61" s="34">
        <v>0.45</v>
      </c>
      <c r="V61" s="2">
        <v>0.14499999999999999</v>
      </c>
    </row>
    <row r="62" spans="1:22" x14ac:dyDescent="0.25">
      <c r="A62" s="57" t="s">
        <v>169</v>
      </c>
      <c r="B62" s="223">
        <v>1</v>
      </c>
      <c r="C62" s="223">
        <v>1</v>
      </c>
      <c r="D62" s="223">
        <v>1</v>
      </c>
      <c r="E62" s="224">
        <v>1</v>
      </c>
      <c r="I62" s="68">
        <v>2029</v>
      </c>
      <c r="Q62">
        <v>2026</v>
      </c>
      <c r="R62" s="2">
        <v>2E-3</v>
      </c>
      <c r="S62" s="34">
        <v>0</v>
      </c>
      <c r="T62" s="34">
        <v>0.35</v>
      </c>
      <c r="U62" s="34">
        <v>0.5</v>
      </c>
      <c r="V62" s="2">
        <v>0.14799999999999999</v>
      </c>
    </row>
    <row r="63" spans="1:22" x14ac:dyDescent="0.25">
      <c r="I63" s="68">
        <v>2030</v>
      </c>
      <c r="J63" s="21">
        <f>(R66+S66)*B61</f>
        <v>1E-4</v>
      </c>
      <c r="K63" s="21">
        <f>T66*C61</f>
        <v>0.19506172839506175</v>
      </c>
      <c r="L63" s="2">
        <f>U66*D61</f>
        <v>0.55573749999999988</v>
      </c>
      <c r="M63" s="21">
        <f>V66*E61</f>
        <v>0.17510204081632649</v>
      </c>
      <c r="N63" s="2">
        <f>SUM(J63:M63)</f>
        <v>0.92600126921138814</v>
      </c>
      <c r="Q63">
        <v>2027</v>
      </c>
      <c r="R63" s="2">
        <v>1.5E-3</v>
      </c>
      <c r="S63" s="34">
        <v>0</v>
      </c>
      <c r="T63" s="34">
        <v>0.32</v>
      </c>
      <c r="U63" s="34">
        <v>0.5</v>
      </c>
      <c r="V63" s="2">
        <v>0.17849999999999999</v>
      </c>
    </row>
    <row r="64" spans="1:22" x14ac:dyDescent="0.25">
      <c r="Q64">
        <v>2028</v>
      </c>
      <c r="R64" s="2">
        <v>1E-3</v>
      </c>
      <c r="S64" s="34">
        <v>0</v>
      </c>
      <c r="T64" s="34">
        <v>0.3</v>
      </c>
      <c r="U64" s="34">
        <v>0.52</v>
      </c>
      <c r="V64" s="2">
        <v>0.17899999999999999</v>
      </c>
    </row>
    <row r="65" spans="13:22" x14ac:dyDescent="0.25">
      <c r="Q65">
        <v>2029</v>
      </c>
      <c r="R65" s="2">
        <v>5.0000000000000001E-4</v>
      </c>
      <c r="S65" s="34">
        <v>0</v>
      </c>
      <c r="T65" s="34">
        <v>0.25</v>
      </c>
      <c r="U65" s="2">
        <v>0.54949999999999999</v>
      </c>
      <c r="V65" s="34">
        <v>0.2</v>
      </c>
    </row>
    <row r="66" spans="13:22" x14ac:dyDescent="0.25">
      <c r="Q66">
        <v>2030</v>
      </c>
      <c r="R66" s="2">
        <v>1E-4</v>
      </c>
      <c r="S66" s="34">
        <v>0</v>
      </c>
      <c r="T66" s="34">
        <v>0.2</v>
      </c>
      <c r="U66" s="2">
        <v>0.57989999999999997</v>
      </c>
      <c r="V66" s="34">
        <v>0.22</v>
      </c>
    </row>
    <row r="70" spans="13:22" x14ac:dyDescent="0.25">
      <c r="M70" s="214"/>
      <c r="N70" s="46" t="s">
        <v>113</v>
      </c>
      <c r="O70" s="46" t="s">
        <v>273</v>
      </c>
      <c r="P70" s="46" t="s">
        <v>274</v>
      </c>
      <c r="Q70" s="46" t="s">
        <v>118</v>
      </c>
      <c r="R70" s="215" t="s">
        <v>288</v>
      </c>
    </row>
    <row r="71" spans="13:22" x14ac:dyDescent="0.25">
      <c r="M71" s="225">
        <v>2022</v>
      </c>
      <c r="N71" s="226">
        <v>1.6406250000000001E-2</v>
      </c>
      <c r="O71" s="227">
        <v>0.28518518518518521</v>
      </c>
      <c r="P71" s="227">
        <v>0.125</v>
      </c>
      <c r="Q71" s="227">
        <v>7.8367346938775506E-2</v>
      </c>
      <c r="R71" s="228">
        <v>0.50495878212396073</v>
      </c>
    </row>
    <row r="72" spans="13:22" x14ac:dyDescent="0.25">
      <c r="M72" s="229">
        <v>2025</v>
      </c>
      <c r="N72" s="226">
        <v>4.2968750000000003E-3</v>
      </c>
      <c r="O72" s="226">
        <v>0.32098765432098769</v>
      </c>
      <c r="P72" s="227">
        <v>0.30937500000000001</v>
      </c>
      <c r="Q72" s="226">
        <v>0.10357142857142855</v>
      </c>
      <c r="R72" s="228">
        <v>0.73823095789241622</v>
      </c>
    </row>
    <row r="73" spans="13:22" x14ac:dyDescent="0.25">
      <c r="M73" s="230">
        <v>2030</v>
      </c>
      <c r="N73" s="231">
        <v>1E-4</v>
      </c>
      <c r="O73" s="231">
        <v>0.19506172839506175</v>
      </c>
      <c r="P73" s="232">
        <v>0.55573749999999988</v>
      </c>
      <c r="Q73" s="231">
        <v>0.17510204081632649</v>
      </c>
      <c r="R73" s="233">
        <v>0.92600126921138814</v>
      </c>
    </row>
    <row r="85" spans="21:21" x14ac:dyDescent="0.25">
      <c r="U85" t="s">
        <v>541</v>
      </c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7"/>
  <sheetViews>
    <sheetView topLeftCell="A34" zoomScale="90" zoomScaleNormal="90" workbookViewId="0">
      <selection activeCell="AL75" sqref="AL75"/>
    </sheetView>
  </sheetViews>
  <sheetFormatPr defaultRowHeight="14.4" x14ac:dyDescent="0.25"/>
  <cols>
    <col min="3" max="3" width="17.33203125" customWidth="1"/>
    <col min="4" max="4" width="15" bestFit="1" customWidth="1"/>
    <col min="5" max="5" width="17.44140625" bestFit="1" customWidth="1"/>
    <col min="6" max="10" width="15" bestFit="1" customWidth="1"/>
    <col min="11" max="11" width="15.21875" bestFit="1" customWidth="1"/>
    <col min="12" max="15" width="15" bestFit="1" customWidth="1"/>
  </cols>
  <sheetData>
    <row r="1" spans="2:14" x14ac:dyDescent="0.25">
      <c r="C1" s="335" t="s">
        <v>79</v>
      </c>
      <c r="D1" s="335"/>
      <c r="E1" s="35"/>
      <c r="F1" s="335" t="s">
        <v>116</v>
      </c>
      <c r="G1" s="335"/>
      <c r="H1" s="35"/>
      <c r="I1" s="335" t="s">
        <v>117</v>
      </c>
      <c r="J1" s="335"/>
      <c r="K1" s="35"/>
      <c r="L1" s="335" t="s">
        <v>118</v>
      </c>
      <c r="M1" s="335"/>
    </row>
    <row r="2" spans="2:14" x14ac:dyDescent="0.25">
      <c r="C2" t="s">
        <v>111</v>
      </c>
      <c r="D2" t="s">
        <v>115</v>
      </c>
      <c r="E2" t="s">
        <v>119</v>
      </c>
      <c r="F2" t="s">
        <v>111</v>
      </c>
      <c r="G2" t="s">
        <v>115</v>
      </c>
      <c r="H2" t="s">
        <v>120</v>
      </c>
      <c r="I2" t="s">
        <v>111</v>
      </c>
      <c r="J2" t="s">
        <v>115</v>
      </c>
      <c r="K2" t="s">
        <v>121</v>
      </c>
      <c r="L2" t="s">
        <v>111</v>
      </c>
      <c r="M2" t="s">
        <v>115</v>
      </c>
      <c r="N2" t="s">
        <v>122</v>
      </c>
    </row>
    <row r="3" spans="2:14" x14ac:dyDescent="0.25">
      <c r="B3">
        <v>10</v>
      </c>
      <c r="C3">
        <v>83305.03178586805</v>
      </c>
      <c r="D3">
        <v>76931.736529477872</v>
      </c>
      <c r="E3" s="30">
        <f>C3-D3</f>
        <v>6373.2952563901781</v>
      </c>
    </row>
    <row r="4" spans="2:14" x14ac:dyDescent="0.25">
      <c r="B4">
        <v>20</v>
      </c>
      <c r="C4" s="1">
        <v>86354.073228460678</v>
      </c>
      <c r="D4" s="1">
        <v>92122.624193291122</v>
      </c>
      <c r="E4" s="30">
        <f>C4-D4</f>
        <v>-5768.5509648304433</v>
      </c>
      <c r="F4" s="1">
        <v>150866.69605164177</v>
      </c>
      <c r="G4" s="1">
        <v>135614.17936159542</v>
      </c>
      <c r="H4" s="30">
        <f>F4-G4</f>
        <v>15252.516690046352</v>
      </c>
    </row>
    <row r="5" spans="2:14" x14ac:dyDescent="0.25">
      <c r="B5">
        <v>40</v>
      </c>
      <c r="C5" s="1">
        <v>92452.156113645964</v>
      </c>
      <c r="D5" s="1">
        <v>122504.39952091762</v>
      </c>
      <c r="E5" s="30">
        <f>C5-D5</f>
        <v>-30052.243407271657</v>
      </c>
      <c r="F5" s="1">
        <v>157978.17539583091</v>
      </c>
      <c r="G5" s="1">
        <v>168582.22690230468</v>
      </c>
      <c r="H5" s="30">
        <f t="shared" ref="H5:H10" si="0">F5-G5</f>
        <v>-10604.05150647377</v>
      </c>
      <c r="I5">
        <v>227678.17539583091</v>
      </c>
      <c r="J5">
        <v>187896.57608254108</v>
      </c>
      <c r="K5" s="1">
        <f>I5-J5</f>
        <v>39781.599313289829</v>
      </c>
    </row>
    <row r="6" spans="2:14" x14ac:dyDescent="0.25">
      <c r="B6">
        <v>60</v>
      </c>
      <c r="C6" s="1">
        <v>98550.23899883125</v>
      </c>
      <c r="D6" s="1">
        <v>152886.17484854412</v>
      </c>
      <c r="E6" s="30">
        <f>C6-D6</f>
        <v>-54335.935849712871</v>
      </c>
      <c r="F6" s="1">
        <v>165089.65474002005</v>
      </c>
      <c r="G6" s="1">
        <v>201550.27444301388</v>
      </c>
      <c r="H6" s="30">
        <f t="shared" si="0"/>
        <v>-36460.619702993834</v>
      </c>
      <c r="I6">
        <v>234789.65474002005</v>
      </c>
      <c r="J6">
        <v>224559.29821336857</v>
      </c>
      <c r="K6" s="1">
        <f>I6-J6</f>
        <v>10230.356526651478</v>
      </c>
      <c r="L6">
        <v>615398.19323178264</v>
      </c>
      <c r="M6">
        <v>547809.29821336851</v>
      </c>
      <c r="N6">
        <f>L6-M6</f>
        <v>67588.895018414129</v>
      </c>
    </row>
    <row r="7" spans="2:14" x14ac:dyDescent="0.25">
      <c r="B7">
        <v>80</v>
      </c>
      <c r="F7" s="1">
        <v>172201.13408420919</v>
      </c>
      <c r="G7" s="1">
        <v>233918.3219837232</v>
      </c>
      <c r="H7" s="30">
        <f t="shared" si="0"/>
        <v>-61717.187899514014</v>
      </c>
      <c r="I7">
        <v>241901.13408420916</v>
      </c>
      <c r="J7">
        <v>260622.020344196</v>
      </c>
      <c r="K7" s="1">
        <f>I7-J7</f>
        <v>-18720.886259986844</v>
      </c>
      <c r="L7">
        <v>623607.51873989252</v>
      </c>
      <c r="M7">
        <v>583872.020344196</v>
      </c>
      <c r="N7">
        <f>L7-M7</f>
        <v>39735.498395696515</v>
      </c>
    </row>
    <row r="8" spans="2:14" x14ac:dyDescent="0.25">
      <c r="B8">
        <v>90</v>
      </c>
      <c r="F8" s="1"/>
      <c r="G8" s="1"/>
      <c r="H8" s="30"/>
      <c r="K8" s="1"/>
      <c r="L8">
        <v>627812.18149394752</v>
      </c>
      <c r="M8">
        <v>602203.38140960969</v>
      </c>
      <c r="N8">
        <f>L8-M8</f>
        <v>25608.800084337825</v>
      </c>
    </row>
    <row r="9" spans="2:14" x14ac:dyDescent="0.25">
      <c r="B9">
        <v>120</v>
      </c>
      <c r="F9" s="1"/>
      <c r="G9" s="1"/>
      <c r="H9" s="30"/>
      <c r="K9" s="1"/>
      <c r="L9">
        <v>640026.1697561125</v>
      </c>
      <c r="M9">
        <v>657197.46460585087</v>
      </c>
      <c r="N9">
        <f>L9-M9</f>
        <v>-17171.294849738362</v>
      </c>
    </row>
    <row r="10" spans="2:14" x14ac:dyDescent="0.25">
      <c r="B10">
        <v>300</v>
      </c>
      <c r="F10" s="1">
        <v>205200.98682611823</v>
      </c>
      <c r="G10" s="1">
        <v>411834.71803845762</v>
      </c>
      <c r="H10" s="30">
        <f t="shared" si="0"/>
        <v>-206633.73121233939</v>
      </c>
      <c r="I10">
        <v>271599.01794415095</v>
      </c>
      <c r="J10">
        <v>466667.04662367661</v>
      </c>
      <c r="K10" s="1">
        <f>I10-J10</f>
        <v>-195068.02867952565</v>
      </c>
    </row>
    <row r="13" spans="2:14" x14ac:dyDescent="0.25">
      <c r="D13">
        <v>83305.03178586805</v>
      </c>
    </row>
    <row r="16" spans="2:14" ht="15" customHeight="1" x14ac:dyDescent="0.25">
      <c r="E16" t="s">
        <v>123</v>
      </c>
      <c r="F16" t="s">
        <v>124</v>
      </c>
      <c r="G16" t="s">
        <v>125</v>
      </c>
      <c r="H16" t="s">
        <v>126</v>
      </c>
    </row>
    <row r="17" spans="3:8" ht="15" customHeight="1" x14ac:dyDescent="0.25">
      <c r="D17">
        <v>10</v>
      </c>
      <c r="E17">
        <v>6373.2952563901781</v>
      </c>
    </row>
    <row r="18" spans="3:8" x14ac:dyDescent="0.25">
      <c r="D18">
        <v>20</v>
      </c>
      <c r="E18">
        <v>-5768.5509648304433</v>
      </c>
      <c r="F18">
        <v>15252.516690046352</v>
      </c>
    </row>
    <row r="19" spans="3:8" x14ac:dyDescent="0.25">
      <c r="D19">
        <v>40</v>
      </c>
      <c r="E19">
        <v>-30052.243407271657</v>
      </c>
      <c r="F19">
        <v>-10604.05150647377</v>
      </c>
      <c r="G19">
        <v>39781.599313289829</v>
      </c>
    </row>
    <row r="20" spans="3:8" x14ac:dyDescent="0.25">
      <c r="D20">
        <v>60</v>
      </c>
      <c r="E20">
        <v>-54335.935849712871</v>
      </c>
      <c r="F20">
        <v>-36460.619702993834</v>
      </c>
      <c r="G20">
        <v>10230.356526651478</v>
      </c>
      <c r="H20">
        <v>67588.895018414129</v>
      </c>
    </row>
    <row r="21" spans="3:8" x14ac:dyDescent="0.25">
      <c r="D21">
        <v>80</v>
      </c>
      <c r="F21">
        <v>-61717.187899514014</v>
      </c>
      <c r="G21">
        <v>-18720.886259986844</v>
      </c>
      <c r="H21">
        <v>39735.498395696515</v>
      </c>
    </row>
    <row r="22" spans="3:8" x14ac:dyDescent="0.25">
      <c r="D22">
        <v>90</v>
      </c>
      <c r="H22">
        <v>25608.800084337825</v>
      </c>
    </row>
    <row r="23" spans="3:8" x14ac:dyDescent="0.25">
      <c r="D23">
        <v>120</v>
      </c>
      <c r="H23">
        <v>-17171.294849738362</v>
      </c>
    </row>
    <row r="24" spans="3:8" x14ac:dyDescent="0.25">
      <c r="D24">
        <v>300</v>
      </c>
      <c r="F24">
        <v>-206633.73121233939</v>
      </c>
      <c r="G24">
        <v>-195068.02867952565</v>
      </c>
    </row>
    <row r="32" spans="3:8" x14ac:dyDescent="0.25">
      <c r="C32" t="s">
        <v>346</v>
      </c>
      <c r="D32" t="s">
        <v>348</v>
      </c>
      <c r="E32" t="s">
        <v>349</v>
      </c>
    </row>
    <row r="33" spans="2:15" x14ac:dyDescent="0.25">
      <c r="C33" t="s">
        <v>347</v>
      </c>
      <c r="D33" s="1">
        <v>51066</v>
      </c>
      <c r="E33" s="1">
        <v>63475</v>
      </c>
    </row>
    <row r="34" spans="2:15" x14ac:dyDescent="0.25">
      <c r="C34" t="s">
        <v>350</v>
      </c>
      <c r="D34" s="1">
        <v>140427.77777777778</v>
      </c>
      <c r="E34" s="1">
        <v>160144.44444444444</v>
      </c>
    </row>
    <row r="35" spans="2:15" x14ac:dyDescent="0.25">
      <c r="C35" t="s">
        <v>351</v>
      </c>
      <c r="D35" s="1">
        <v>156125</v>
      </c>
      <c r="E35" s="1">
        <v>180670.83333333334</v>
      </c>
    </row>
    <row r="36" spans="2:15" x14ac:dyDescent="0.25">
      <c r="C36" t="s">
        <v>352</v>
      </c>
      <c r="D36" s="1">
        <v>532285.71428571432</v>
      </c>
      <c r="E36" s="1">
        <v>516685.71428571426</v>
      </c>
    </row>
    <row r="39" spans="2:15" x14ac:dyDescent="0.25">
      <c r="C39" s="214"/>
      <c r="D39" s="196">
        <v>2019</v>
      </c>
      <c r="E39" s="196">
        <v>2020</v>
      </c>
      <c r="F39" s="196">
        <v>2021</v>
      </c>
      <c r="G39" s="196">
        <v>2022</v>
      </c>
      <c r="H39" s="196">
        <v>2023</v>
      </c>
      <c r="I39" s="196">
        <v>2024</v>
      </c>
      <c r="J39" s="196">
        <v>2025</v>
      </c>
      <c r="K39" s="196">
        <v>2026</v>
      </c>
      <c r="L39" s="196">
        <v>2027</v>
      </c>
      <c r="M39" s="196">
        <v>2028</v>
      </c>
      <c r="N39" s="196">
        <v>2029</v>
      </c>
      <c r="O39" s="215">
        <v>2030</v>
      </c>
    </row>
    <row r="40" spans="2:15" x14ac:dyDescent="0.25">
      <c r="B40">
        <v>10</v>
      </c>
      <c r="C40" s="191" t="s">
        <v>356</v>
      </c>
      <c r="D40" s="253">
        <v>3700.1452563901839</v>
      </c>
      <c r="E40" s="253">
        <v>-3522.3601500122895</v>
      </c>
      <c r="F40" s="253">
        <v>-1963.4356796236098</v>
      </c>
      <c r="G40" s="253">
        <v>-5841.7895540035097</v>
      </c>
      <c r="H40" s="140">
        <v>-9358.6056832752511</v>
      </c>
      <c r="I40" s="140">
        <v>-12551.212017273931</v>
      </c>
      <c r="J40" s="140">
        <v>-15453.196909461469</v>
      </c>
      <c r="K40" s="250">
        <v>-18094.783832720612</v>
      </c>
      <c r="L40" s="250">
        <v>-20503.16861240346</v>
      </c>
      <c r="M40" s="250">
        <v>-22702.82292546126</v>
      </c>
      <c r="N40" s="250">
        <v>-24715.767439585979</v>
      </c>
      <c r="O40" s="259">
        <v>-26561.817628891804</v>
      </c>
    </row>
    <row r="41" spans="2:15" x14ac:dyDescent="0.25">
      <c r="B41">
        <v>20</v>
      </c>
      <c r="C41" s="191" t="s">
        <v>357</v>
      </c>
      <c r="D41" s="253">
        <v>-8441.7009648304374</v>
      </c>
      <c r="E41" s="253">
        <v>-15306.366190032291</v>
      </c>
      <c r="F41" s="253">
        <v>-13400.149893235255</v>
      </c>
      <c r="G41" s="253">
        <v>-16941.449287607073</v>
      </c>
      <c r="H41" s="140">
        <v>-20131.146446618484</v>
      </c>
      <c r="I41" s="140">
        <v>-23006.276384656514</v>
      </c>
      <c r="J41" s="140">
        <v>-25600.143158385319</v>
      </c>
      <c r="K41" s="250">
        <v>-27942.694327732781</v>
      </c>
      <c r="L41" s="250">
        <v>-30060.857941648806</v>
      </c>
      <c r="M41" s="250">
        <v>-31978.84579724045</v>
      </c>
      <c r="N41" s="250">
        <v>-33718.426345999411</v>
      </c>
      <c r="O41" s="259">
        <v>-35299.170283440581</v>
      </c>
    </row>
    <row r="42" spans="2:15" x14ac:dyDescent="0.25">
      <c r="B42">
        <v>40</v>
      </c>
      <c r="C42" s="191" t="s">
        <v>358</v>
      </c>
      <c r="D42" s="253">
        <v>-32725.393407271651</v>
      </c>
      <c r="E42" s="253">
        <v>-38874.37827007231</v>
      </c>
      <c r="F42" s="253">
        <v>-36273.578320458575</v>
      </c>
      <c r="G42" s="253">
        <v>-39140.768754814184</v>
      </c>
      <c r="H42" s="140">
        <v>-41676.227973304995</v>
      </c>
      <c r="I42" s="140">
        <v>-43916.405119421674</v>
      </c>
      <c r="J42" s="140">
        <v>-45894.035656232983</v>
      </c>
      <c r="K42" s="250">
        <v>-47638.515317757141</v>
      </c>
      <c r="L42" s="250">
        <v>-49176.236600139528</v>
      </c>
      <c r="M42" s="250">
        <v>-50530.891540798875</v>
      </c>
      <c r="N42" s="250">
        <v>-51723.744158826259</v>
      </c>
      <c r="O42" s="259">
        <v>-52773.875592538119</v>
      </c>
    </row>
    <row r="43" spans="2:15" x14ac:dyDescent="0.25">
      <c r="B43">
        <v>60</v>
      </c>
      <c r="C43" s="191" t="s">
        <v>359</v>
      </c>
      <c r="D43" s="253">
        <v>-57009.085849712865</v>
      </c>
      <c r="E43" s="253">
        <v>-62442.390350112371</v>
      </c>
      <c r="F43" s="253">
        <v>-59147.006747681924</v>
      </c>
      <c r="G43" s="253">
        <v>-61340.088222021281</v>
      </c>
      <c r="H43" s="140">
        <v>-63221.309499991519</v>
      </c>
      <c r="I43" s="140">
        <v>-64826.53385418684</v>
      </c>
      <c r="J43" s="140">
        <v>-66187.928154080684</v>
      </c>
      <c r="K43" s="250">
        <v>-67334.336307781487</v>
      </c>
      <c r="L43" s="250">
        <v>-68291.615258630234</v>
      </c>
      <c r="M43" s="250">
        <v>-69082.937284357351</v>
      </c>
      <c r="N43" s="250">
        <v>-69729.061971653107</v>
      </c>
      <c r="O43" s="259">
        <v>-70248.58090163568</v>
      </c>
    </row>
    <row r="44" spans="2:15" x14ac:dyDescent="0.25">
      <c r="B44">
        <v>300</v>
      </c>
      <c r="C44" s="191" t="s">
        <v>360</v>
      </c>
      <c r="D44" s="253">
        <v>-217011.0977335668</v>
      </c>
      <c r="E44" s="253">
        <v>-214820.65847919107</v>
      </c>
      <c r="F44" s="253">
        <v>-207036.98133902048</v>
      </c>
      <c r="G44" s="253">
        <v>-204873.99901846651</v>
      </c>
      <c r="H44" s="140">
        <v>-202527.48981025873</v>
      </c>
      <c r="I44" s="140">
        <v>-200029.5353937046</v>
      </c>
      <c r="J44" s="140">
        <v>-197408.63250038237</v>
      </c>
      <c r="K44" s="250">
        <v>-194690.06307026645</v>
      </c>
      <c r="L44" s="250">
        <v>-191896.22705957311</v>
      </c>
      <c r="M44" s="250">
        <v>-189046.9416451868</v>
      </c>
      <c r="N44" s="250">
        <v>-186159.71019574982</v>
      </c>
      <c r="O44" s="259">
        <v>-183249.96404220583</v>
      </c>
    </row>
    <row r="45" spans="2:15" x14ac:dyDescent="0.25">
      <c r="C45" s="191"/>
      <c r="D45" s="254"/>
      <c r="E45" s="254"/>
      <c r="F45" s="254"/>
      <c r="G45" s="254"/>
      <c r="H45" s="200"/>
      <c r="I45" s="200"/>
      <c r="J45" s="200"/>
      <c r="K45" s="251"/>
      <c r="L45" s="251"/>
      <c r="M45" s="251"/>
      <c r="N45" s="251"/>
      <c r="O45" s="260"/>
    </row>
    <row r="46" spans="2:15" x14ac:dyDescent="0.25">
      <c r="B46">
        <v>20</v>
      </c>
      <c r="C46" s="191" t="s">
        <v>304</v>
      </c>
      <c r="D46" s="253">
        <v>8014.4611344907898</v>
      </c>
      <c r="E46" s="253">
        <v>245.37618235350237</v>
      </c>
      <c r="F46" s="253">
        <v>7445.0347509365238</v>
      </c>
      <c r="G46" s="253">
        <v>353.61493650788907</v>
      </c>
      <c r="H46" s="140">
        <v>-6046.1339767333702</v>
      </c>
      <c r="I46" s="140">
        <v>-12035.968586990348</v>
      </c>
      <c r="J46" s="140">
        <v>-17463.53324273316</v>
      </c>
      <c r="K46" s="250">
        <v>-22386.754622772947</v>
      </c>
      <c r="L46" s="250">
        <v>-26857.760838269431</v>
      </c>
      <c r="M46" s="250">
        <v>-32324.59090078772</v>
      </c>
      <c r="N46" s="250">
        <v>-37387.522330494234</v>
      </c>
      <c r="O46" s="259">
        <v>-42085.735082734711</v>
      </c>
    </row>
    <row r="47" spans="2:15" x14ac:dyDescent="0.25">
      <c r="B47">
        <v>30</v>
      </c>
      <c r="C47" s="191" t="s">
        <v>342</v>
      </c>
      <c r="D47" s="253">
        <v>-4813.8229637692566</v>
      </c>
      <c r="E47" s="253">
        <v>-12205.161777122237</v>
      </c>
      <c r="F47" s="253">
        <v>-4638.8825883603131</v>
      </c>
      <c r="G47" s="253">
        <v>-11374.47956086768</v>
      </c>
      <c r="H47" s="140">
        <v>-17428.885326816497</v>
      </c>
      <c r="I47" s="140">
        <v>-23083.547772909602</v>
      </c>
      <c r="J47" s="140">
        <v>-28185.811632044381</v>
      </c>
      <c r="K47" s="250">
        <v>-32793.312795326725</v>
      </c>
      <c r="L47" s="250">
        <v>-36957.897153920261</v>
      </c>
      <c r="M47" s="250">
        <v>-40726.201268470832</v>
      </c>
      <c r="N47" s="250">
        <v>-44140.174939987613</v>
      </c>
      <c r="O47" s="259">
        <v>-47237.551493326813</v>
      </c>
    </row>
    <row r="48" spans="2:15" x14ac:dyDescent="0.25">
      <c r="B48">
        <v>40</v>
      </c>
      <c r="C48" s="191" t="s">
        <v>306</v>
      </c>
      <c r="D48" s="253">
        <v>-17842.107062029332</v>
      </c>
      <c r="E48" s="253">
        <v>-24849.699736598035</v>
      </c>
      <c r="F48" s="253">
        <v>-16910.979927657201</v>
      </c>
      <c r="G48" s="253">
        <v>-23285.108658243291</v>
      </c>
      <c r="H48" s="140">
        <v>-28988.695238899614</v>
      </c>
      <c r="I48" s="140">
        <v>-34302.87376396879</v>
      </c>
      <c r="J48" s="140">
        <v>-39074.684422341321</v>
      </c>
      <c r="K48" s="250">
        <v>-43361.467536836659</v>
      </c>
      <c r="L48" s="250">
        <v>-47214.782141458592</v>
      </c>
      <c r="M48" s="250">
        <v>-50680.986394027335</v>
      </c>
      <c r="N48" s="250">
        <v>-53801.759897839933</v>
      </c>
      <c r="O48" s="259">
        <v>-56614.573743280853</v>
      </c>
    </row>
    <row r="49" spans="2:15" x14ac:dyDescent="0.25">
      <c r="B49">
        <v>60</v>
      </c>
      <c r="C49" s="191" t="s">
        <v>308</v>
      </c>
      <c r="D49" s="253">
        <v>-43698.675258549396</v>
      </c>
      <c r="E49" s="253">
        <v>-49944.775655549573</v>
      </c>
      <c r="F49" s="253">
        <v>-41266.994606250926</v>
      </c>
      <c r="G49" s="253">
        <v>-46923.8322529945</v>
      </c>
      <c r="H49" s="140">
        <v>-51931.2565010658</v>
      </c>
      <c r="I49" s="140">
        <v>-56569.778940947232</v>
      </c>
      <c r="J49" s="140">
        <v>-60685.83560194954</v>
      </c>
      <c r="K49" s="250">
        <v>-64336.180450900341</v>
      </c>
      <c r="L49" s="250">
        <v>-67571.803444647667</v>
      </c>
      <c r="M49" s="250">
        <v>-70438.510433409421</v>
      </c>
      <c r="N49" s="250">
        <v>-72977.444988165444</v>
      </c>
      <c r="O49" s="259">
        <v>-75225.557962571344</v>
      </c>
    </row>
    <row r="50" spans="2:15" x14ac:dyDescent="0.25">
      <c r="B50">
        <v>80</v>
      </c>
      <c r="C50" s="191" t="s">
        <v>310</v>
      </c>
      <c r="D50" s="253">
        <v>-68955.243455069489</v>
      </c>
      <c r="E50" s="253">
        <v>-74457.851574501226</v>
      </c>
      <c r="F50" s="253">
        <v>-65058.469284844701</v>
      </c>
      <c r="G50" s="253">
        <v>-70014.952047745726</v>
      </c>
      <c r="H50" s="140">
        <v>-74342.642077232071</v>
      </c>
      <c r="I50" s="140">
        <v>-78321.443702505814</v>
      </c>
      <c r="J50" s="140">
        <v>-81797.203578600282</v>
      </c>
      <c r="K50" s="250">
        <v>-84826.103658095293</v>
      </c>
      <c r="L50" s="250">
        <v>-87458.578732174123</v>
      </c>
      <c r="M50" s="250">
        <v>-89739.8958375988</v>
      </c>
      <c r="N50" s="250">
        <v>-91710.67560235408</v>
      </c>
      <c r="O50" s="259">
        <v>-93407.361340008982</v>
      </c>
    </row>
    <row r="51" spans="2:15" x14ac:dyDescent="0.25">
      <c r="B51">
        <v>300</v>
      </c>
      <c r="C51" s="191" t="s">
        <v>312</v>
      </c>
      <c r="D51" s="253">
        <v>-213871.78676789493</v>
      </c>
      <c r="E51" s="253">
        <v>-215109.74799472</v>
      </c>
      <c r="F51" s="253">
        <v>-201571.24512971737</v>
      </c>
      <c r="G51" s="253">
        <v>-202510.43812917551</v>
      </c>
      <c r="H51" s="140">
        <v>-202939.08251981437</v>
      </c>
      <c r="I51" s="140">
        <v>-202923.18759260271</v>
      </c>
      <c r="J51" s="140">
        <v>-202521.76395714236</v>
      </c>
      <c r="K51" s="250">
        <v>-201787.53597640639</v>
      </c>
      <c r="L51" s="250">
        <v>-204274.48200581878</v>
      </c>
      <c r="M51" s="250">
        <v>-206415.56990127044</v>
      </c>
      <c r="N51" s="250">
        <v>-208251.23409288909</v>
      </c>
      <c r="O51" s="259">
        <v>-209817.73807463763</v>
      </c>
    </row>
    <row r="52" spans="2:15" x14ac:dyDescent="0.25">
      <c r="C52" s="191"/>
      <c r="D52" s="254"/>
      <c r="E52" s="254"/>
      <c r="F52" s="254"/>
      <c r="G52" s="254"/>
      <c r="H52" s="200"/>
      <c r="I52" s="200"/>
      <c r="J52" s="200"/>
      <c r="K52" s="251"/>
      <c r="L52" s="251"/>
      <c r="M52" s="251"/>
      <c r="N52" s="251"/>
      <c r="O52" s="260"/>
    </row>
    <row r="53" spans="2:15" x14ac:dyDescent="0.25">
      <c r="B53">
        <v>20</v>
      </c>
      <c r="C53" s="191" t="s">
        <v>322</v>
      </c>
      <c r="D53" s="253">
        <v>18625.550433261524</v>
      </c>
      <c r="E53" s="253">
        <v>8720.4773623897927</v>
      </c>
      <c r="F53" s="253">
        <v>15567.372374488506</v>
      </c>
      <c r="G53" s="253">
        <v>6532.083079115022</v>
      </c>
      <c r="H53" s="140">
        <v>-1623.0683585388178</v>
      </c>
      <c r="I53" s="140">
        <v>-9199.1568028894544</v>
      </c>
      <c r="J53" s="140">
        <v>-16061.212186884513</v>
      </c>
      <c r="K53" s="250">
        <v>-22282.807642754895</v>
      </c>
      <c r="L53" s="250">
        <v>-27930.152796557843</v>
      </c>
      <c r="M53" s="250">
        <v>-33062.831460487942</v>
      </c>
      <c r="N53" s="250">
        <v>-37734.465539469311</v>
      </c>
      <c r="O53" s="259">
        <v>-41993.312531551477</v>
      </c>
    </row>
    <row r="54" spans="2:15" x14ac:dyDescent="0.25">
      <c r="B54">
        <v>30</v>
      </c>
      <c r="C54" s="191" t="s">
        <v>324</v>
      </c>
      <c r="D54" s="253">
        <v>3949.9290399423335</v>
      </c>
      <c r="E54" s="253">
        <v>-5523.5919515122951</v>
      </c>
      <c r="F54" s="253">
        <v>1742.1624580786738</v>
      </c>
      <c r="G54" s="253">
        <v>-6886.58673584598</v>
      </c>
      <c r="H54" s="140">
        <v>-14647.154968413553</v>
      </c>
      <c r="I54" s="140">
        <v>-21840.265367247164</v>
      </c>
      <c r="J54" s="140">
        <v>-28330.606477592286</v>
      </c>
      <c r="K54" s="250">
        <v>-34191.420088509185</v>
      </c>
      <c r="L54" s="250">
        <v>-39488.59423182084</v>
      </c>
      <c r="M54" s="250">
        <v>-44281.400587529264</v>
      </c>
      <c r="N54" s="250">
        <v>-48623.158111957804</v>
      </c>
      <c r="O54" s="259">
        <v>-52561.830267893049</v>
      </c>
    </row>
    <row r="55" spans="2:15" x14ac:dyDescent="0.25">
      <c r="B55">
        <v>40</v>
      </c>
      <c r="C55" s="191" t="s">
        <v>316</v>
      </c>
      <c r="D55" s="253">
        <v>-10925.692353376828</v>
      </c>
      <c r="E55" s="253">
        <v>-19961.661265414412</v>
      </c>
      <c r="F55" s="253">
        <v>-12271.227458331094</v>
      </c>
      <c r="G55" s="253">
        <v>-20487.791150806908</v>
      </c>
      <c r="H55" s="140">
        <v>-27848.30014028828</v>
      </c>
      <c r="I55" s="140">
        <v>-34653.120736744837</v>
      </c>
      <c r="J55" s="140">
        <v>-40766.595169285778</v>
      </c>
      <c r="K55" s="250">
        <v>-46261.62910321969</v>
      </c>
      <c r="L55" s="250">
        <v>-51203.784338971367</v>
      </c>
      <c r="M55" s="250">
        <v>-55652.01592630145</v>
      </c>
      <c r="N55" s="250">
        <v>-59659.335509825352</v>
      </c>
      <c r="O55" s="259">
        <v>-63273.408284852194</v>
      </c>
    </row>
    <row r="56" spans="2:15" x14ac:dyDescent="0.25">
      <c r="B56">
        <v>60</v>
      </c>
      <c r="C56" s="191" t="s">
        <v>318</v>
      </c>
      <c r="D56" s="253">
        <v>-40476.935140015179</v>
      </c>
      <c r="E56" s="253">
        <v>-48643.799893218616</v>
      </c>
      <c r="F56" s="253">
        <v>-40109.827291150694</v>
      </c>
      <c r="G56" s="253">
        <v>-47507.665380728868</v>
      </c>
      <c r="H56" s="140">
        <v>-54073.531922037742</v>
      </c>
      <c r="I56" s="140">
        <v>-60107.08467060019</v>
      </c>
      <c r="J56" s="140">
        <v>-65471.978151687159</v>
      </c>
      <c r="K56" s="250">
        <v>-70240.450563684426</v>
      </c>
      <c r="L56" s="250">
        <v>-74477.415881384833</v>
      </c>
      <c r="M56" s="250">
        <v>-78241.200392114988</v>
      </c>
      <c r="N56" s="250">
        <v>-81584.205480181437</v>
      </c>
      <c r="O56" s="259">
        <v>-84553.504038152896</v>
      </c>
    </row>
    <row r="57" spans="2:15" x14ac:dyDescent="0.25">
      <c r="B57">
        <v>80</v>
      </c>
      <c r="C57" s="191" t="s">
        <v>320</v>
      </c>
      <c r="D57" s="253">
        <v>-69428.177926653501</v>
      </c>
      <c r="E57" s="253">
        <v>-76743.938521022792</v>
      </c>
      <c r="F57" s="253">
        <v>-67383.887123970344</v>
      </c>
      <c r="G57" s="253">
        <v>-73979.935810650786</v>
      </c>
      <c r="H57" s="140">
        <v>-79767.588017787231</v>
      </c>
      <c r="I57" s="140">
        <v>-85045.808189035684</v>
      </c>
      <c r="J57" s="140">
        <v>-89677.577931131091</v>
      </c>
      <c r="K57" s="250">
        <v>-93734.482317280548</v>
      </c>
      <c r="L57" s="250">
        <v>-97280.801408135681</v>
      </c>
      <c r="M57" s="250">
        <v>-100374.24622273576</v>
      </c>
      <c r="N57" s="250">
        <v>-103066.62097440055</v>
      </c>
      <c r="O57" s="259">
        <v>-105404.41894960069</v>
      </c>
    </row>
    <row r="58" spans="2:15" x14ac:dyDescent="0.25">
      <c r="B58">
        <v>300</v>
      </c>
      <c r="C58" s="191" t="s">
        <v>314</v>
      </c>
      <c r="D58" s="253">
        <v>-245775.32034619228</v>
      </c>
      <c r="E58" s="253">
        <v>-247910.9797050411</v>
      </c>
      <c r="F58" s="253">
        <v>-233523.01710845402</v>
      </c>
      <c r="G58" s="253">
        <v>-235238.8725130622</v>
      </c>
      <c r="H58" s="140">
        <v>-236289.70867491476</v>
      </c>
      <c r="I58" s="140">
        <v>-233954.3434462687</v>
      </c>
      <c r="J58" s="140">
        <v>-231195.44535893641</v>
      </c>
      <c r="K58" s="250">
        <v>-228078.07186167713</v>
      </c>
      <c r="L58" s="250">
        <v>-227676.10004689812</v>
      </c>
      <c r="M58" s="250">
        <v>-226937.31384476053</v>
      </c>
      <c r="N58" s="250">
        <v>-225910.10524973064</v>
      </c>
      <c r="O58" s="259">
        <v>-224637.65566945355</v>
      </c>
    </row>
    <row r="59" spans="2:15" x14ac:dyDescent="0.25">
      <c r="C59" s="191"/>
      <c r="D59" s="254"/>
      <c r="E59" s="254"/>
      <c r="F59" s="254"/>
      <c r="G59" s="254"/>
      <c r="H59" s="200"/>
      <c r="I59" s="200"/>
      <c r="J59" s="200"/>
      <c r="K59" s="251"/>
      <c r="L59" s="251"/>
      <c r="M59" s="251"/>
      <c r="N59" s="251"/>
      <c r="O59" s="260"/>
    </row>
    <row r="60" spans="2:15" x14ac:dyDescent="0.25">
      <c r="B60">
        <v>20</v>
      </c>
      <c r="C60" s="191" t="s">
        <v>338</v>
      </c>
      <c r="D60" s="253">
        <v>14784.259692420368</v>
      </c>
      <c r="E60" s="253">
        <v>-534.78948031319305</v>
      </c>
      <c r="F60" s="253">
        <v>33991.928867934563</v>
      </c>
      <c r="G60" s="253">
        <v>19851.333629756176</v>
      </c>
      <c r="H60" s="140">
        <v>6911.6034911847673</v>
      </c>
      <c r="I60" s="140">
        <v>-5164.0805023726425</v>
      </c>
      <c r="J60" s="140">
        <v>-16272.995041678427</v>
      </c>
      <c r="K60" s="250">
        <v>-26517.813852373743</v>
      </c>
      <c r="L60" s="250">
        <v>-35991.017072508985</v>
      </c>
      <c r="M60" s="250">
        <v>-44775.913451906003</v>
      </c>
      <c r="N60" s="250">
        <v>-52947.560348022729</v>
      </c>
      <c r="O60" s="259">
        <v>-60573.591740189062</v>
      </c>
    </row>
    <row r="61" spans="2:15" x14ac:dyDescent="0.25">
      <c r="B61">
        <v>30</v>
      </c>
      <c r="C61" s="191" t="s">
        <v>336</v>
      </c>
      <c r="D61" s="253">
        <v>457.56138106156141</v>
      </c>
      <c r="E61" s="253">
        <v>-14439.92376318574</v>
      </c>
      <c r="F61" s="253">
        <v>20495.951603009773</v>
      </c>
      <c r="G61" s="253">
        <v>6752.4715948777157</v>
      </c>
      <c r="H61" s="140">
        <v>-5801.8306320661213</v>
      </c>
      <c r="I61" s="140">
        <v>-17503.429999420187</v>
      </c>
      <c r="J61" s="140">
        <v>-28249.269294099882</v>
      </c>
      <c r="K61" s="250">
        <v>-38141.698168761737</v>
      </c>
      <c r="L61" s="250">
        <v>-47272.88222983171</v>
      </c>
      <c r="M61" s="250">
        <v>-55725.824955894088</v>
      </c>
      <c r="N61" s="250">
        <v>-63575.287420857174</v>
      </c>
      <c r="O61" s="259">
        <v>-70888.616043523944</v>
      </c>
    </row>
    <row r="62" spans="2:15" x14ac:dyDescent="0.25">
      <c r="B62">
        <v>40</v>
      </c>
      <c r="C62" s="191" t="s">
        <v>334</v>
      </c>
      <c r="D62" s="253">
        <v>-13869.136930297129</v>
      </c>
      <c r="E62" s="253">
        <v>-28345.058046058286</v>
      </c>
      <c r="F62" s="253">
        <v>6999.9743380849832</v>
      </c>
      <c r="G62" s="253">
        <v>-6346.3904400008614</v>
      </c>
      <c r="H62" s="140">
        <v>-18515.26475531701</v>
      </c>
      <c r="I62" s="140">
        <v>-29842.779496467556</v>
      </c>
      <c r="J62" s="140">
        <v>-40225.543546521338</v>
      </c>
      <c r="K62" s="250">
        <v>-49765.582485149789</v>
      </c>
      <c r="L62" s="250">
        <v>-58554.747387154726</v>
      </c>
      <c r="M62" s="250">
        <v>-66675.73645988229</v>
      </c>
      <c r="N62" s="250">
        <v>-74203.01449369156</v>
      </c>
      <c r="O62" s="259">
        <v>-81203.640346858709</v>
      </c>
    </row>
    <row r="63" spans="2:15" x14ac:dyDescent="0.25">
      <c r="B63">
        <v>60</v>
      </c>
      <c r="C63" s="191" t="s">
        <v>326</v>
      </c>
      <c r="D63" s="253">
        <v>-42322.533553014626</v>
      </c>
      <c r="E63" s="253">
        <v>-55961.326611803495</v>
      </c>
      <c r="F63" s="253">
        <v>-19803.80019176472</v>
      </c>
      <c r="G63" s="253">
        <v>-32361.579909757769</v>
      </c>
      <c r="H63" s="140">
        <v>-43765.074439818971</v>
      </c>
      <c r="I63" s="140">
        <v>-54349.731685422303</v>
      </c>
      <c r="J63" s="140">
        <v>-64011.497650378384</v>
      </c>
      <c r="K63" s="250">
        <v>-72851.754548969679</v>
      </c>
      <c r="L63" s="250">
        <v>-80961.729029913025</v>
      </c>
      <c r="M63" s="250">
        <v>-88423.513256127539</v>
      </c>
      <c r="N63" s="250">
        <v>-95310.983813981467</v>
      </c>
      <c r="O63" s="259">
        <v>-101690.62867291056</v>
      </c>
    </row>
    <row r="64" spans="2:15" x14ac:dyDescent="0.25">
      <c r="B64">
        <v>80</v>
      </c>
      <c r="C64" s="191" t="s">
        <v>328</v>
      </c>
      <c r="D64" s="253">
        <v>-70175.930175732123</v>
      </c>
      <c r="E64" s="253">
        <v>-82995.595177548588</v>
      </c>
      <c r="F64" s="253">
        <v>-46043.034721614444</v>
      </c>
      <c r="G64" s="253">
        <v>-57829.165579514753</v>
      </c>
      <c r="H64" s="140">
        <v>-68483.708438320784</v>
      </c>
      <c r="I64" s="140">
        <v>-78341.44345895719</v>
      </c>
      <c r="J64" s="140">
        <v>-87297.668551278068</v>
      </c>
      <c r="K64" s="250">
        <v>-95453.136905920925</v>
      </c>
      <c r="L64" s="250">
        <v>-102898.46465700859</v>
      </c>
      <c r="M64" s="250">
        <v>-109715.15141718026</v>
      </c>
      <c r="N64" s="250">
        <v>-115976.49865813443</v>
      </c>
      <c r="O64" s="259">
        <v>-121748.43615710962</v>
      </c>
    </row>
    <row r="65" spans="2:15" x14ac:dyDescent="0.25">
      <c r="B65">
        <v>90</v>
      </c>
      <c r="C65" s="191" t="s">
        <v>330</v>
      </c>
      <c r="D65" s="253">
        <v>-84302.628487090813</v>
      </c>
      <c r="E65" s="253">
        <v>-96706.729460421135</v>
      </c>
      <c r="F65" s="253">
        <v>-59350.831986539066</v>
      </c>
      <c r="G65" s="253">
        <v>-70745.4930143932</v>
      </c>
      <c r="H65" s="140">
        <v>-81020.08399957174</v>
      </c>
      <c r="I65" s="140">
        <v>-90509.046150864626</v>
      </c>
      <c r="J65" s="140">
        <v>-99107.348402713658</v>
      </c>
      <c r="K65" s="250">
        <v>-106915.42465335276</v>
      </c>
      <c r="L65" s="250">
        <v>-114023.58114244381</v>
      </c>
      <c r="M65" s="250">
        <v>-120513.01670943754</v>
      </c>
      <c r="N65" s="250">
        <v>-126456.74090558989</v>
      </c>
      <c r="O65" s="259">
        <v>-131920.40017982683</v>
      </c>
    </row>
    <row r="66" spans="2:15" x14ac:dyDescent="0.25">
      <c r="B66">
        <v>120</v>
      </c>
      <c r="C66" s="191" t="s">
        <v>332</v>
      </c>
      <c r="D66" s="253">
        <v>-127082.72342116723</v>
      </c>
      <c r="E66" s="253">
        <v>-138228.13230903889</v>
      </c>
      <c r="F66" s="253">
        <v>-99650.583781313617</v>
      </c>
      <c r="G66" s="253">
        <v>-109859.54451902857</v>
      </c>
      <c r="H66" s="140">
        <v>-118983.32780732471</v>
      </c>
      <c r="I66" s="140">
        <v>-127355.34783686692</v>
      </c>
      <c r="J66" s="140">
        <v>-134869.57675899228</v>
      </c>
      <c r="K66" s="250">
        <v>-141625.48103356076</v>
      </c>
      <c r="L66" s="250">
        <v>-147712.42794252507</v>
      </c>
      <c r="M66" s="250">
        <v>-153210.70500967099</v>
      </c>
      <c r="N66" s="250">
        <v>-158192.43729871413</v>
      </c>
      <c r="O66" s="259">
        <v>-162722.41280921351</v>
      </c>
    </row>
    <row r="67" spans="2:15" x14ac:dyDescent="0.25">
      <c r="B67">
        <v>300</v>
      </c>
      <c r="C67" s="192" t="s">
        <v>340</v>
      </c>
      <c r="D67" s="255">
        <v>-230118.05571906874</v>
      </c>
      <c r="E67" s="255">
        <v>-238235.43551088509</v>
      </c>
      <c r="F67" s="255">
        <v>-196718.86290931958</v>
      </c>
      <c r="G67" s="255">
        <v>-204075.18791612179</v>
      </c>
      <c r="H67" s="256">
        <v>-210430.18408010446</v>
      </c>
      <c r="I67" s="256">
        <v>-215904.38657157967</v>
      </c>
      <c r="J67" s="256">
        <v>-220605.91749537888</v>
      </c>
      <c r="K67" s="252">
        <v>-224631.74258885224</v>
      </c>
      <c r="L67" s="252">
        <v>-228068.80189339718</v>
      </c>
      <c r="M67" s="252">
        <v>-230995.02701458987</v>
      </c>
      <c r="N67" s="252">
        <v>-233480.25632414938</v>
      </c>
      <c r="O67" s="261">
        <v>-235587.05832133646</v>
      </c>
    </row>
  </sheetData>
  <mergeCells count="4">
    <mergeCell ref="C1:D1"/>
    <mergeCell ref="F1:G1"/>
    <mergeCell ref="I1:J1"/>
    <mergeCell ref="L1:M1"/>
  </mergeCells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45"/>
  <sheetViews>
    <sheetView topLeftCell="B7" zoomScaleNormal="100" workbookViewId="0">
      <selection activeCell="D23" sqref="D23:O23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64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63475</v>
      </c>
      <c r="E6" s="71">
        <f>D6-((D16-E16)+(D17-E17)+(D18-E18))</f>
        <v>58403</v>
      </c>
      <c r="F6" s="71">
        <f t="shared" ref="F6:O6" si="0">E6-((E16-F16)+(E17-F17)+(E18-F18))</f>
        <v>53818.200000000004</v>
      </c>
      <c r="G6" s="71">
        <f t="shared" si="0"/>
        <v>49671.880000000005</v>
      </c>
      <c r="H6" s="71">
        <f t="shared" si="0"/>
        <v>45920.192000000003</v>
      </c>
      <c r="I6" s="71">
        <f t="shared" si="0"/>
        <v>42523.6728</v>
      </c>
      <c r="J6" s="71">
        <f t="shared" si="0"/>
        <v>39446.805520000002</v>
      </c>
      <c r="K6" s="71">
        <f t="shared" si="0"/>
        <v>36657.624968000004</v>
      </c>
      <c r="L6" s="71">
        <f t="shared" si="0"/>
        <v>34127.362471200002</v>
      </c>
      <c r="M6" s="71">
        <f t="shared" si="0"/>
        <v>31830.126224080002</v>
      </c>
      <c r="N6" s="71">
        <f t="shared" si="0"/>
        <v>29742.613601672001</v>
      </c>
      <c r="O6" s="71">
        <f t="shared" si="0"/>
        <v>27843.852241504803</v>
      </c>
    </row>
    <row r="7" spans="3:15" ht="15" thickBot="1" x14ac:dyDescent="0.3">
      <c r="C7" s="102" t="s">
        <v>24</v>
      </c>
      <c r="D7" s="74">
        <v>0</v>
      </c>
      <c r="E7" s="75">
        <v>0</v>
      </c>
      <c r="F7" s="76">
        <f>F6*0.1</f>
        <v>5381.8200000000006</v>
      </c>
      <c r="G7" s="76">
        <f t="shared" ref="G7:O7" si="1">G6*0.1</f>
        <v>4967.188000000001</v>
      </c>
      <c r="H7" s="77">
        <f t="shared" si="1"/>
        <v>4592.0192000000006</v>
      </c>
      <c r="I7" s="77">
        <f t="shared" si="1"/>
        <v>4252.3672800000004</v>
      </c>
      <c r="J7" s="77">
        <f t="shared" si="1"/>
        <v>3944.6805520000003</v>
      </c>
      <c r="K7" s="78">
        <f t="shared" si="1"/>
        <v>3665.7624968000005</v>
      </c>
      <c r="L7" s="78">
        <f t="shared" si="1"/>
        <v>3412.7362471200004</v>
      </c>
      <c r="M7" s="78">
        <f t="shared" si="1"/>
        <v>3183.0126224080004</v>
      </c>
      <c r="N7" s="78">
        <f t="shared" si="1"/>
        <v>2974.2613601672001</v>
      </c>
      <c r="O7" s="104">
        <f t="shared" si="1"/>
        <v>2784.3852241504806</v>
      </c>
    </row>
    <row r="8" spans="3:15" ht="15" thickBot="1" x14ac:dyDescent="0.3">
      <c r="C8" s="102" t="s">
        <v>48</v>
      </c>
      <c r="D8" s="79">
        <f>D6+D7</f>
        <v>63475</v>
      </c>
      <c r="E8" s="129">
        <f t="shared" ref="E8:O8" si="2">E6+E7</f>
        <v>58403</v>
      </c>
      <c r="F8" s="80">
        <f t="shared" si="2"/>
        <v>59200.020000000004</v>
      </c>
      <c r="G8" s="80">
        <f t="shared" si="2"/>
        <v>54639.068000000007</v>
      </c>
      <c r="H8" s="81">
        <f t="shared" si="2"/>
        <v>50512.211200000005</v>
      </c>
      <c r="I8" s="81">
        <f t="shared" si="2"/>
        <v>46776.040079999999</v>
      </c>
      <c r="J8" s="81">
        <f t="shared" si="2"/>
        <v>43391.486072</v>
      </c>
      <c r="K8" s="82">
        <f t="shared" si="2"/>
        <v>40323.387464800006</v>
      </c>
      <c r="L8" s="82">
        <f t="shared" si="2"/>
        <v>37540.098718320005</v>
      </c>
      <c r="M8" s="82">
        <f t="shared" si="2"/>
        <v>35013.138846488</v>
      </c>
      <c r="N8" s="82">
        <f t="shared" si="2"/>
        <v>32716.874961839203</v>
      </c>
      <c r="O8" s="105">
        <f t="shared" si="2"/>
        <v>30628.237465655282</v>
      </c>
    </row>
    <row r="9" spans="3:15" x14ac:dyDescent="0.25">
      <c r="C9" s="102" t="s">
        <v>49</v>
      </c>
      <c r="D9" s="79">
        <f>D6*0.05</f>
        <v>3173.75</v>
      </c>
      <c r="E9" s="80">
        <f t="shared" ref="E9:O9" si="3">E6*0.05</f>
        <v>2920.15</v>
      </c>
      <c r="F9" s="80">
        <f t="shared" si="3"/>
        <v>2690.9100000000003</v>
      </c>
      <c r="G9" s="80">
        <f t="shared" si="3"/>
        <v>2483.5940000000005</v>
      </c>
      <c r="H9" s="81">
        <f t="shared" si="3"/>
        <v>2296.0096000000003</v>
      </c>
      <c r="I9" s="81">
        <f t="shared" si="3"/>
        <v>2126.1836400000002</v>
      </c>
      <c r="J9" s="81">
        <f t="shared" si="3"/>
        <v>1972.3402760000001</v>
      </c>
      <c r="K9" s="82">
        <f t="shared" si="3"/>
        <v>1832.8812484000002</v>
      </c>
      <c r="L9" s="82">
        <f t="shared" si="3"/>
        <v>1706.3681235600002</v>
      </c>
      <c r="M9" s="82">
        <f t="shared" si="3"/>
        <v>1591.5063112040002</v>
      </c>
      <c r="N9" s="82">
        <f t="shared" si="3"/>
        <v>1487.1306800836001</v>
      </c>
      <c r="O9" s="105">
        <f t="shared" si="3"/>
        <v>1392.1926120752403</v>
      </c>
    </row>
    <row r="10" spans="3:15" x14ac:dyDescent="0.25">
      <c r="C10" s="102" t="s">
        <v>66</v>
      </c>
      <c r="D10" s="79">
        <v>301</v>
      </c>
      <c r="E10" s="80">
        <v>301</v>
      </c>
      <c r="F10" s="80">
        <v>301</v>
      </c>
      <c r="G10" s="80">
        <v>301</v>
      </c>
      <c r="H10" s="81">
        <v>301</v>
      </c>
      <c r="I10" s="81">
        <v>301</v>
      </c>
      <c r="J10" s="81">
        <v>301</v>
      </c>
      <c r="K10" s="82">
        <v>301</v>
      </c>
      <c r="L10" s="82">
        <v>301</v>
      </c>
      <c r="M10" s="82">
        <v>301</v>
      </c>
      <c r="N10" s="82">
        <v>301</v>
      </c>
      <c r="O10" s="105">
        <v>301</v>
      </c>
    </row>
    <row r="11" spans="3:15" x14ac:dyDescent="0.25">
      <c r="C11" s="102" t="s">
        <v>65</v>
      </c>
      <c r="D11" s="83">
        <v>30.6</v>
      </c>
      <c r="E11" s="84">
        <v>30.6</v>
      </c>
      <c r="F11" s="84">
        <v>30.6</v>
      </c>
      <c r="G11" s="84">
        <v>30.6</v>
      </c>
      <c r="H11" s="85">
        <v>30.6</v>
      </c>
      <c r="I11" s="85">
        <v>30.6</v>
      </c>
      <c r="J11" s="85">
        <v>30.6</v>
      </c>
      <c r="K11" s="86">
        <v>30.6</v>
      </c>
      <c r="L11" s="86">
        <v>30.6</v>
      </c>
      <c r="M11" s="86">
        <v>30.6</v>
      </c>
      <c r="N11" s="86">
        <v>30.6</v>
      </c>
      <c r="O11" s="106">
        <v>30.6</v>
      </c>
    </row>
    <row r="12" spans="3:15" x14ac:dyDescent="0.25">
      <c r="C12" s="102" t="s">
        <v>72</v>
      </c>
      <c r="D12" s="83">
        <v>1.2</v>
      </c>
      <c r="E12" s="87">
        <f t="shared" ref="E12:O12" si="4">D12*0.9</f>
        <v>1.08</v>
      </c>
      <c r="F12" s="87">
        <f t="shared" si="4"/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 t="shared" si="4"/>
        <v>0.5739562800000001</v>
      </c>
      <c r="L12" s="89">
        <f t="shared" si="4"/>
        <v>0.51656065200000012</v>
      </c>
      <c r="M12" s="89">
        <f t="shared" si="4"/>
        <v>0.46490458680000013</v>
      </c>
      <c r="N12" s="89">
        <f t="shared" si="4"/>
        <v>0.41841412812000012</v>
      </c>
      <c r="O12" s="107">
        <f t="shared" si="4"/>
        <v>0.37657271530800013</v>
      </c>
    </row>
    <row r="13" spans="3:15" x14ac:dyDescent="0.25">
      <c r="C13" s="102" t="s">
        <v>50</v>
      </c>
      <c r="D13" s="79">
        <v>27000</v>
      </c>
      <c r="E13" s="90">
        <v>28000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87301.25</v>
      </c>
      <c r="E14" s="80">
        <f t="shared" si="5"/>
        <v>83482.850000000006</v>
      </c>
      <c r="F14" s="80">
        <f t="shared" si="5"/>
        <v>51127.29</v>
      </c>
      <c r="G14" s="80">
        <f t="shared" si="5"/>
        <v>47188.286000000007</v>
      </c>
      <c r="H14" s="81">
        <f t="shared" si="5"/>
        <v>43624.182400000005</v>
      </c>
      <c r="I14" s="81">
        <f t="shared" si="5"/>
        <v>40397.489159999997</v>
      </c>
      <c r="J14" s="81">
        <f t="shared" si="5"/>
        <v>37474.465243999999</v>
      </c>
      <c r="K14" s="82">
        <f t="shared" si="5"/>
        <v>34824.743719600003</v>
      </c>
      <c r="L14" s="82">
        <f t="shared" si="5"/>
        <v>32420.99434764</v>
      </c>
      <c r="M14" s="82">
        <f t="shared" si="5"/>
        <v>30238.619912876002</v>
      </c>
      <c r="N14" s="82">
        <f t="shared" si="5"/>
        <v>28255.482921588402</v>
      </c>
      <c r="O14" s="105">
        <f t="shared" si="5"/>
        <v>26451.659629429563</v>
      </c>
    </row>
    <row r="15" spans="3:15" x14ac:dyDescent="0.25">
      <c r="C15" s="102" t="s">
        <v>68</v>
      </c>
      <c r="D15" s="79">
        <f>D14*0.87</f>
        <v>75952.087499999994</v>
      </c>
      <c r="E15" s="80">
        <f t="shared" ref="E15:O15" si="6">E14*0.87</f>
        <v>72630.079500000007</v>
      </c>
      <c r="F15" s="80">
        <f t="shared" si="6"/>
        <v>44480.742299999998</v>
      </c>
      <c r="G15" s="80">
        <f t="shared" si="6"/>
        <v>41053.808820000006</v>
      </c>
      <c r="H15" s="81">
        <f t="shared" si="6"/>
        <v>37953.038688000008</v>
      </c>
      <c r="I15" s="81">
        <f t="shared" si="6"/>
        <v>35145.8155692</v>
      </c>
      <c r="J15" s="81">
        <f t="shared" si="6"/>
        <v>32602.78476228</v>
      </c>
      <c r="K15" s="82">
        <f t="shared" si="6"/>
        <v>30297.527036052001</v>
      </c>
      <c r="L15" s="82">
        <f t="shared" si="6"/>
        <v>28206.2650824468</v>
      </c>
      <c r="M15" s="82">
        <f t="shared" si="6"/>
        <v>26307.599324202121</v>
      </c>
      <c r="N15" s="82">
        <f t="shared" si="6"/>
        <v>24582.270141781908</v>
      </c>
      <c r="O15" s="105">
        <f t="shared" si="6"/>
        <v>23012.94387760372</v>
      </c>
    </row>
    <row r="16" spans="3:15" x14ac:dyDescent="0.25">
      <c r="C16" s="102" t="s">
        <v>52</v>
      </c>
      <c r="D16" s="93">
        <f t="shared" ref="D16:O16" si="7">D12*1000*D11</f>
        <v>36720</v>
      </c>
      <c r="E16" s="71">
        <f t="shared" si="7"/>
        <v>33048</v>
      </c>
      <c r="F16" s="71">
        <f t="shared" si="7"/>
        <v>29743.200000000004</v>
      </c>
      <c r="G16" s="71">
        <f t="shared" si="7"/>
        <v>26768.880000000008</v>
      </c>
      <c r="H16" s="72">
        <f t="shared" si="7"/>
        <v>24091.992000000006</v>
      </c>
      <c r="I16" s="72">
        <f t="shared" si="7"/>
        <v>21682.792800000003</v>
      </c>
      <c r="J16" s="72">
        <f t="shared" si="7"/>
        <v>19514.513520000004</v>
      </c>
      <c r="K16" s="73">
        <f t="shared" si="7"/>
        <v>17563.062168000004</v>
      </c>
      <c r="L16" s="73">
        <f t="shared" si="7"/>
        <v>15806.755951200004</v>
      </c>
      <c r="M16" s="73">
        <f t="shared" si="7"/>
        <v>14226.080356080005</v>
      </c>
      <c r="N16" s="73">
        <f t="shared" si="7"/>
        <v>12803.472320472003</v>
      </c>
      <c r="O16" s="103">
        <f t="shared" si="7"/>
        <v>11523.125088424804</v>
      </c>
    </row>
    <row r="17" spans="3:15" ht="28.8" x14ac:dyDescent="0.25">
      <c r="C17" s="109" t="s">
        <v>53</v>
      </c>
      <c r="D17" s="70">
        <v>5000</v>
      </c>
      <c r="E17" s="90">
        <f>D17-200</f>
        <v>4800</v>
      </c>
      <c r="F17" s="90">
        <f t="shared" ref="F17:O17" si="8">E17-200</f>
        <v>4600</v>
      </c>
      <c r="G17" s="90">
        <f t="shared" si="8"/>
        <v>4400</v>
      </c>
      <c r="H17" s="94">
        <f t="shared" si="8"/>
        <v>4200</v>
      </c>
      <c r="I17" s="94">
        <f t="shared" si="8"/>
        <v>4000</v>
      </c>
      <c r="J17" s="94">
        <f t="shared" si="8"/>
        <v>3800</v>
      </c>
      <c r="K17" s="95">
        <f t="shared" si="8"/>
        <v>3600</v>
      </c>
      <c r="L17" s="95">
        <f t="shared" si="8"/>
        <v>3400</v>
      </c>
      <c r="M17" s="95">
        <f t="shared" si="8"/>
        <v>3200</v>
      </c>
      <c r="N17" s="95">
        <f t="shared" si="8"/>
        <v>3000</v>
      </c>
      <c r="O17" s="110">
        <f t="shared" si="8"/>
        <v>2800</v>
      </c>
    </row>
    <row r="18" spans="3:15" x14ac:dyDescent="0.25">
      <c r="C18" s="102" t="s">
        <v>54</v>
      </c>
      <c r="D18" s="96">
        <v>12000</v>
      </c>
      <c r="E18" s="97">
        <f>D18*0.9</f>
        <v>10800</v>
      </c>
      <c r="F18" s="97">
        <f t="shared" ref="F18:O18" si="9">E18*0.9</f>
        <v>9720</v>
      </c>
      <c r="G18" s="97">
        <f t="shared" si="9"/>
        <v>8748</v>
      </c>
      <c r="H18" s="94">
        <f t="shared" si="9"/>
        <v>7873.2</v>
      </c>
      <c r="I18" s="94">
        <f t="shared" si="9"/>
        <v>7085.88</v>
      </c>
      <c r="J18" s="94">
        <f t="shared" si="9"/>
        <v>6377.2920000000004</v>
      </c>
      <c r="K18" s="95">
        <f t="shared" si="9"/>
        <v>5739.5628000000006</v>
      </c>
      <c r="L18" s="95">
        <f t="shared" si="9"/>
        <v>5165.6065200000003</v>
      </c>
      <c r="M18" s="95">
        <f t="shared" si="9"/>
        <v>4649.0458680000002</v>
      </c>
      <c r="N18" s="95">
        <f t="shared" si="9"/>
        <v>4184.1412811999999</v>
      </c>
      <c r="O18" s="110">
        <f t="shared" si="9"/>
        <v>3765.7271530799999</v>
      </c>
    </row>
    <row r="19" spans="3:15" ht="15" thickBot="1" x14ac:dyDescent="0.3">
      <c r="C19" s="102" t="s">
        <v>71</v>
      </c>
      <c r="D19" s="79">
        <f>D15-D16-D17-D18</f>
        <v>22232.087499999994</v>
      </c>
      <c r="E19" s="80">
        <f t="shared" ref="E19:O19" si="10">E15-E16-E17-E18</f>
        <v>23982.079500000007</v>
      </c>
      <c r="F19" s="80">
        <f t="shared" si="10"/>
        <v>417.5422999999937</v>
      </c>
      <c r="G19" s="80">
        <f t="shared" si="10"/>
        <v>1136.9288199999974</v>
      </c>
      <c r="H19" s="81">
        <f t="shared" si="10"/>
        <v>1787.8466880000024</v>
      </c>
      <c r="I19" s="81">
        <f t="shared" si="10"/>
        <v>2377.142769199997</v>
      </c>
      <c r="J19" s="81">
        <f t="shared" si="10"/>
        <v>2910.9792422799956</v>
      </c>
      <c r="K19" s="82">
        <f t="shared" si="10"/>
        <v>3394.9020680519961</v>
      </c>
      <c r="L19" s="82">
        <f t="shared" si="10"/>
        <v>3833.9026112467955</v>
      </c>
      <c r="M19" s="82">
        <f t="shared" si="10"/>
        <v>4232.4731001221162</v>
      </c>
      <c r="N19" s="82">
        <f t="shared" si="10"/>
        <v>4594.6565401099051</v>
      </c>
      <c r="O19" s="105">
        <f t="shared" si="10"/>
        <v>4924.0916360989168</v>
      </c>
    </row>
    <row r="20" spans="3:15" ht="15" thickBot="1" x14ac:dyDescent="0.3">
      <c r="C20" s="111" t="s">
        <v>70</v>
      </c>
      <c r="D20" s="112">
        <f>D19/D14</f>
        <v>0.25465944072965729</v>
      </c>
      <c r="E20" s="137">
        <f t="shared" ref="E20:O20" si="11">E19/E14</f>
        <v>0.2872695350003025</v>
      </c>
      <c r="F20" s="113">
        <f t="shared" si="11"/>
        <v>8.1667207473737347E-3</v>
      </c>
      <c r="G20" s="113">
        <f t="shared" si="11"/>
        <v>2.4093454464525311E-2</v>
      </c>
      <c r="H20" s="114">
        <f t="shared" si="11"/>
        <v>4.0982927120715551E-2</v>
      </c>
      <c r="I20" s="114">
        <f t="shared" si="11"/>
        <v>5.8843824669027947E-2</v>
      </c>
      <c r="J20" s="114">
        <f t="shared" si="11"/>
        <v>7.7679006847097568E-2</v>
      </c>
      <c r="K20" s="115">
        <f t="shared" si="11"/>
        <v>9.7485342473354178E-2</v>
      </c>
      <c r="L20" s="115">
        <f t="shared" si="11"/>
        <v>0.1182537022195272</v>
      </c>
      <c r="M20" s="115">
        <f t="shared" si="11"/>
        <v>0.13996912267546555</v>
      </c>
      <c r="N20" s="115">
        <f t="shared" si="11"/>
        <v>0.16261114888251973</v>
      </c>
      <c r="O20" s="175">
        <f t="shared" si="11"/>
        <v>0.18615435496608596</v>
      </c>
    </row>
    <row r="21" spans="3:15" x14ac:dyDescent="0.25">
      <c r="C21" s="131" t="s">
        <v>63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51066</v>
      </c>
      <c r="E23" s="87">
        <f>D23+(E29-D29)+(E30-D30)</f>
        <v>51366</v>
      </c>
      <c r="F23" s="87">
        <f t="shared" ref="F23:O23" si="12">E23+(F29-E29)+(F30-E30)</f>
        <v>51672</v>
      </c>
      <c r="G23" s="87">
        <f t="shared" si="12"/>
        <v>51984.12</v>
      </c>
      <c r="H23" s="88">
        <f t="shared" si="12"/>
        <v>52302.482400000001</v>
      </c>
      <c r="I23" s="88">
        <f t="shared" si="12"/>
        <v>52627.212048000001</v>
      </c>
      <c r="J23" s="88">
        <f t="shared" si="12"/>
        <v>52958.436288960002</v>
      </c>
      <c r="K23" s="89">
        <f t="shared" si="12"/>
        <v>53296.285014739202</v>
      </c>
      <c r="L23" s="89">
        <f t="shared" si="12"/>
        <v>53640.89071503398</v>
      </c>
      <c r="M23" s="89">
        <f t="shared" si="12"/>
        <v>53992.388529334654</v>
      </c>
      <c r="N23" s="89">
        <f t="shared" si="12"/>
        <v>54350.916299921344</v>
      </c>
      <c r="O23" s="107">
        <f t="shared" si="12"/>
        <v>54716.614625919778</v>
      </c>
    </row>
    <row r="24" spans="3:15" ht="15" thickBot="1" x14ac:dyDescent="0.3">
      <c r="C24" s="102" t="s">
        <v>24</v>
      </c>
      <c r="D24" s="117">
        <f>D23*0.1</f>
        <v>5106.6000000000004</v>
      </c>
      <c r="E24" s="76">
        <f t="shared" ref="E24:O24" si="13">E23*0.1</f>
        <v>5136.6000000000004</v>
      </c>
      <c r="F24" s="76">
        <f t="shared" si="13"/>
        <v>5167.2000000000007</v>
      </c>
      <c r="G24" s="76">
        <f t="shared" si="13"/>
        <v>5198.4120000000003</v>
      </c>
      <c r="H24" s="77">
        <f t="shared" si="13"/>
        <v>5230.2482400000008</v>
      </c>
      <c r="I24" s="77">
        <f t="shared" si="13"/>
        <v>5262.7212048000001</v>
      </c>
      <c r="J24" s="77">
        <f t="shared" si="13"/>
        <v>5295.8436288960002</v>
      </c>
      <c r="K24" s="78">
        <f t="shared" si="13"/>
        <v>5329.6285014739206</v>
      </c>
      <c r="L24" s="78">
        <f t="shared" si="13"/>
        <v>5364.0890715033984</v>
      </c>
      <c r="M24" s="78">
        <f t="shared" si="13"/>
        <v>5399.2388529334658</v>
      </c>
      <c r="N24" s="78">
        <f t="shared" si="13"/>
        <v>5435.0916299921346</v>
      </c>
      <c r="O24" s="104">
        <f t="shared" si="13"/>
        <v>5471.6614625919783</v>
      </c>
    </row>
    <row r="25" spans="3:15" ht="15" thickBot="1" x14ac:dyDescent="0.3">
      <c r="C25" s="102" t="s">
        <v>48</v>
      </c>
      <c r="D25" s="93">
        <f>D23+D24</f>
        <v>56172.6</v>
      </c>
      <c r="E25" s="130">
        <f t="shared" ref="E25:O25" si="14">E23+E24</f>
        <v>56502.6</v>
      </c>
      <c r="F25" s="80">
        <f t="shared" si="14"/>
        <v>56839.199999999997</v>
      </c>
      <c r="G25" s="80">
        <f t="shared" si="14"/>
        <v>57182.532000000007</v>
      </c>
      <c r="H25" s="72">
        <f t="shared" si="14"/>
        <v>57532.730640000002</v>
      </c>
      <c r="I25" s="72">
        <f t="shared" si="14"/>
        <v>57889.933252800001</v>
      </c>
      <c r="J25" s="72">
        <f t="shared" si="14"/>
        <v>58254.279917856002</v>
      </c>
      <c r="K25" s="73">
        <f t="shared" si="14"/>
        <v>58625.913516213121</v>
      </c>
      <c r="L25" s="73">
        <f t="shared" si="14"/>
        <v>59004.979786537377</v>
      </c>
      <c r="M25" s="73">
        <f t="shared" si="14"/>
        <v>59391.627382268118</v>
      </c>
      <c r="N25" s="73">
        <f t="shared" si="14"/>
        <v>59786.007929913481</v>
      </c>
      <c r="O25" s="103">
        <f t="shared" si="14"/>
        <v>60188.276088511753</v>
      </c>
    </row>
    <row r="26" spans="3:15" x14ac:dyDescent="0.25">
      <c r="C26" s="102" t="s">
        <v>57</v>
      </c>
      <c r="D26" s="79">
        <f>D23*0.05</f>
        <v>2553.3000000000002</v>
      </c>
      <c r="E26" s="80">
        <f t="shared" ref="E26:O26" si="15">E23*0.05</f>
        <v>2568.3000000000002</v>
      </c>
      <c r="F26" s="80">
        <f t="shared" si="15"/>
        <v>2583.6000000000004</v>
      </c>
      <c r="G26" s="80">
        <f t="shared" si="15"/>
        <v>2599.2060000000001</v>
      </c>
      <c r="H26" s="81">
        <f t="shared" si="15"/>
        <v>2615.1241200000004</v>
      </c>
      <c r="I26" s="81">
        <f t="shared" si="15"/>
        <v>2631.3606024000001</v>
      </c>
      <c r="J26" s="81">
        <f t="shared" si="15"/>
        <v>2647.9218144480001</v>
      </c>
      <c r="K26" s="82">
        <f t="shared" si="15"/>
        <v>2664.8142507369603</v>
      </c>
      <c r="L26" s="82">
        <f t="shared" si="15"/>
        <v>2682.0445357516992</v>
      </c>
      <c r="M26" s="82">
        <f t="shared" si="15"/>
        <v>2699.6194264667329</v>
      </c>
      <c r="N26" s="82">
        <f t="shared" si="15"/>
        <v>2717.5458149960673</v>
      </c>
      <c r="O26" s="105">
        <f t="shared" si="15"/>
        <v>2735.8307312959892</v>
      </c>
    </row>
    <row r="27" spans="3:15" x14ac:dyDescent="0.25">
      <c r="C27" s="102" t="s">
        <v>51</v>
      </c>
      <c r="D27" s="79">
        <f>D23-D26</f>
        <v>48512.7</v>
      </c>
      <c r="E27" s="80">
        <f t="shared" ref="E27:O27" si="16">E23-E26</f>
        <v>48797.7</v>
      </c>
      <c r="F27" s="80">
        <f t="shared" si="16"/>
        <v>49088.4</v>
      </c>
      <c r="G27" s="80">
        <f t="shared" si="16"/>
        <v>49384.914000000004</v>
      </c>
      <c r="H27" s="81">
        <f t="shared" si="16"/>
        <v>49687.35828</v>
      </c>
      <c r="I27" s="81">
        <f t="shared" si="16"/>
        <v>49995.851445599998</v>
      </c>
      <c r="J27" s="81">
        <f t="shared" si="16"/>
        <v>50310.514474512005</v>
      </c>
      <c r="K27" s="82">
        <f t="shared" si="16"/>
        <v>50631.470764002239</v>
      </c>
      <c r="L27" s="82">
        <f t="shared" si="16"/>
        <v>50958.846179282278</v>
      </c>
      <c r="M27" s="82">
        <f t="shared" si="16"/>
        <v>51292.769102867918</v>
      </c>
      <c r="N27" s="82">
        <f t="shared" si="16"/>
        <v>51633.370484925275</v>
      </c>
      <c r="O27" s="105">
        <f t="shared" si="16"/>
        <v>51980.78389462379</v>
      </c>
    </row>
    <row r="28" spans="3:15" x14ac:dyDescent="0.25">
      <c r="C28" s="102" t="s">
        <v>68</v>
      </c>
      <c r="D28" s="79">
        <f>D27*0.87</f>
        <v>42206.048999999999</v>
      </c>
      <c r="E28" s="80">
        <f t="shared" ref="E28:O28" si="17">E27*0.87</f>
        <v>42453.998999999996</v>
      </c>
      <c r="F28" s="80">
        <f t="shared" si="17"/>
        <v>42706.908000000003</v>
      </c>
      <c r="G28" s="80">
        <f t="shared" si="17"/>
        <v>42964.875180000003</v>
      </c>
      <c r="H28" s="81">
        <f t="shared" si="17"/>
        <v>43228.001703599999</v>
      </c>
      <c r="I28" s="81">
        <f t="shared" si="17"/>
        <v>43496.390757672001</v>
      </c>
      <c r="J28" s="81">
        <f t="shared" si="17"/>
        <v>43770.147592825444</v>
      </c>
      <c r="K28" s="82">
        <f t="shared" si="17"/>
        <v>44049.379564681949</v>
      </c>
      <c r="L28" s="82">
        <f t="shared" si="17"/>
        <v>44334.19617597558</v>
      </c>
      <c r="M28" s="82">
        <f t="shared" si="17"/>
        <v>44624.709119495092</v>
      </c>
      <c r="N28" s="82">
        <f t="shared" si="17"/>
        <v>44921.032321884988</v>
      </c>
      <c r="O28" s="105">
        <f t="shared" si="17"/>
        <v>45223.281988322698</v>
      </c>
    </row>
    <row r="29" spans="3:15" x14ac:dyDescent="0.25">
      <c r="C29" s="102" t="s">
        <v>59</v>
      </c>
      <c r="D29" s="70">
        <v>10000</v>
      </c>
      <c r="E29" s="87">
        <f>D29*1.02</f>
        <v>10200</v>
      </c>
      <c r="F29" s="87">
        <f t="shared" ref="F29:O30" si="18">E29*1.02</f>
        <v>10404</v>
      </c>
      <c r="G29" s="87">
        <f t="shared" si="18"/>
        <v>10612.08</v>
      </c>
      <c r="H29" s="88">
        <f t="shared" si="18"/>
        <v>10824.321599999999</v>
      </c>
      <c r="I29" s="88">
        <f t="shared" si="18"/>
        <v>11040.808031999999</v>
      </c>
      <c r="J29" s="88">
        <f t="shared" si="18"/>
        <v>11261.62419264</v>
      </c>
      <c r="K29" s="89">
        <f t="shared" si="18"/>
        <v>11486.8566764928</v>
      </c>
      <c r="L29" s="89">
        <f t="shared" si="18"/>
        <v>11716.593810022656</v>
      </c>
      <c r="M29" s="89">
        <f t="shared" si="18"/>
        <v>11950.925686223109</v>
      </c>
      <c r="N29" s="89">
        <f t="shared" si="18"/>
        <v>12189.944199947571</v>
      </c>
      <c r="O29" s="107">
        <f t="shared" si="18"/>
        <v>12433.743083946523</v>
      </c>
    </row>
    <row r="30" spans="3:15" x14ac:dyDescent="0.25">
      <c r="C30" s="102" t="s">
        <v>60</v>
      </c>
      <c r="D30" s="70">
        <v>5000</v>
      </c>
      <c r="E30" s="87">
        <f>D30*1.02</f>
        <v>5100</v>
      </c>
      <c r="F30" s="87">
        <f t="shared" si="18"/>
        <v>5202</v>
      </c>
      <c r="G30" s="87">
        <f t="shared" si="18"/>
        <v>5306.04</v>
      </c>
      <c r="H30" s="88">
        <f t="shared" si="18"/>
        <v>5412.1607999999997</v>
      </c>
      <c r="I30" s="88">
        <f t="shared" si="18"/>
        <v>5520.4040159999995</v>
      </c>
      <c r="J30" s="88">
        <f t="shared" si="18"/>
        <v>5630.8120963199999</v>
      </c>
      <c r="K30" s="89">
        <f t="shared" si="18"/>
        <v>5743.4283382464</v>
      </c>
      <c r="L30" s="89">
        <f t="shared" si="18"/>
        <v>5858.2969050113279</v>
      </c>
      <c r="M30" s="89">
        <f t="shared" si="18"/>
        <v>5975.4628431115543</v>
      </c>
      <c r="N30" s="89">
        <f t="shared" si="18"/>
        <v>6094.9720999737856</v>
      </c>
      <c r="O30" s="107">
        <f t="shared" si="18"/>
        <v>6216.8715419732616</v>
      </c>
    </row>
    <row r="31" spans="3:15" x14ac:dyDescent="0.25">
      <c r="C31" s="102" t="s">
        <v>61</v>
      </c>
      <c r="D31" s="118">
        <v>0</v>
      </c>
      <c r="E31" s="119">
        <v>0</v>
      </c>
      <c r="F31" s="119">
        <v>0</v>
      </c>
      <c r="G31" s="119">
        <v>0</v>
      </c>
      <c r="H31" s="120">
        <v>0</v>
      </c>
      <c r="I31" s="120">
        <v>0</v>
      </c>
      <c r="J31" s="120">
        <v>0</v>
      </c>
      <c r="K31" s="121">
        <v>0</v>
      </c>
      <c r="L31" s="121">
        <v>0</v>
      </c>
      <c r="M31" s="121">
        <v>0</v>
      </c>
      <c r="N31" s="121">
        <v>0</v>
      </c>
      <c r="O31" s="122">
        <v>0</v>
      </c>
    </row>
    <row r="32" spans="3:15" x14ac:dyDescent="0.25">
      <c r="C32" s="102" t="s">
        <v>67</v>
      </c>
      <c r="D32" s="70">
        <v>16000</v>
      </c>
      <c r="E32" s="90">
        <v>16000</v>
      </c>
      <c r="F32" s="90">
        <v>16000</v>
      </c>
      <c r="G32" s="90">
        <v>16000</v>
      </c>
      <c r="H32" s="94">
        <v>16000</v>
      </c>
      <c r="I32" s="94">
        <v>16000</v>
      </c>
      <c r="J32" s="94">
        <v>16000</v>
      </c>
      <c r="K32" s="95">
        <v>16001</v>
      </c>
      <c r="L32" s="95">
        <v>16002</v>
      </c>
      <c r="M32" s="95">
        <v>16003</v>
      </c>
      <c r="N32" s="95">
        <v>16004</v>
      </c>
      <c r="O32" s="110">
        <v>16005</v>
      </c>
    </row>
    <row r="33" spans="3:15" ht="15" thickBot="1" x14ac:dyDescent="0.3">
      <c r="C33" s="102" t="s">
        <v>69</v>
      </c>
      <c r="D33" s="79">
        <f>D28-D29-D30-D31-D32</f>
        <v>11206.048999999999</v>
      </c>
      <c r="E33" s="80">
        <f t="shared" ref="E33:O33" si="19">E28-E29-E30-E31-E32</f>
        <v>11153.998999999996</v>
      </c>
      <c r="F33" s="80">
        <f t="shared" si="19"/>
        <v>11100.908000000003</v>
      </c>
      <c r="G33" s="80">
        <f t="shared" si="19"/>
        <v>11046.75518</v>
      </c>
      <c r="H33" s="81">
        <f t="shared" si="19"/>
        <v>10991.519303599998</v>
      </c>
      <c r="I33" s="81">
        <f t="shared" si="19"/>
        <v>10935.178709672</v>
      </c>
      <c r="J33" s="81">
        <f t="shared" si="19"/>
        <v>10877.711303865442</v>
      </c>
      <c r="K33" s="82">
        <f t="shared" si="19"/>
        <v>10818.094549942747</v>
      </c>
      <c r="L33" s="82">
        <f t="shared" si="19"/>
        <v>10757.305460941596</v>
      </c>
      <c r="M33" s="82">
        <f t="shared" si="19"/>
        <v>10695.320590160431</v>
      </c>
      <c r="N33" s="82">
        <f t="shared" si="19"/>
        <v>10632.116021963629</v>
      </c>
      <c r="O33" s="105">
        <f t="shared" si="19"/>
        <v>10567.667362402914</v>
      </c>
    </row>
    <row r="34" spans="3:15" ht="15" thickBot="1" x14ac:dyDescent="0.3">
      <c r="C34" s="111" t="s">
        <v>70</v>
      </c>
      <c r="D34" s="112">
        <f>D33/D27</f>
        <v>0.23099207011772174</v>
      </c>
      <c r="E34" s="137">
        <f t="shared" ref="E34:O34" si="20">E33/E27</f>
        <v>0.22857632634324973</v>
      </c>
      <c r="F34" s="113">
        <f t="shared" si="20"/>
        <v>0.22614116573365609</v>
      </c>
      <c r="G34" s="113">
        <f t="shared" si="20"/>
        <v>0.22368683642944076</v>
      </c>
      <c r="H34" s="114">
        <f t="shared" si="20"/>
        <v>0.22121359806774574</v>
      </c>
      <c r="I34" s="114">
        <f t="shared" si="20"/>
        <v>0.21872172177266472</v>
      </c>
      <c r="J34" s="114">
        <f t="shared" si="20"/>
        <v>0.21621149013247001</v>
      </c>
      <c r="K34" s="115">
        <f t="shared" si="20"/>
        <v>0.2136634466015582</v>
      </c>
      <c r="L34" s="115">
        <f t="shared" si="20"/>
        <v>0.21109790090410374</v>
      </c>
      <c r="M34" s="115">
        <f t="shared" si="20"/>
        <v>0.20851517235715836</v>
      </c>
      <c r="N34" s="115">
        <f t="shared" si="20"/>
        <v>0.2059155914500633</v>
      </c>
      <c r="O34" s="116">
        <f t="shared" si="20"/>
        <v>0.20329949975025086</v>
      </c>
    </row>
    <row r="38" spans="3:15" x14ac:dyDescent="0.25"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45" spans="3:15" x14ac:dyDescent="0.25">
      <c r="H45">
        <f>'A00 data TCO'!D663475</f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A83"/>
  <sheetViews>
    <sheetView topLeftCell="A4" zoomScaleNormal="100" workbookViewId="0">
      <selection activeCell="J48" sqref="J48"/>
    </sheetView>
  </sheetViews>
  <sheetFormatPr defaultRowHeight="14.4" x14ac:dyDescent="0.25"/>
  <cols>
    <col min="3" max="3" width="36.88671875" bestFit="1" customWidth="1"/>
    <col min="4" max="5" width="14" bestFit="1" customWidth="1"/>
    <col min="6" max="9" width="13.88671875" bestFit="1" customWidth="1"/>
    <col min="10" max="10" width="12.77734375" customWidth="1"/>
    <col min="11" max="11" width="12.77734375" bestFit="1" customWidth="1"/>
    <col min="12" max="12" width="13.88671875" bestFit="1" customWidth="1"/>
    <col min="13" max="15" width="12.77734375" bestFit="1" customWidth="1"/>
    <col min="16" max="16" width="10.5546875" bestFit="1" customWidth="1"/>
  </cols>
  <sheetData>
    <row r="4" spans="3:15" x14ac:dyDescent="0.25">
      <c r="C4" s="131" t="s">
        <v>366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55</v>
      </c>
      <c r="D6" s="74">
        <f>'A00 data TCO'!D6</f>
        <v>63475</v>
      </c>
      <c r="E6" s="75">
        <f>'A00 data TCO'!E6</f>
        <v>58403</v>
      </c>
      <c r="F6" s="76">
        <f>'A00 data TCO'!F6</f>
        <v>53818.200000000004</v>
      </c>
      <c r="G6" s="76">
        <f>'A00 data TCO'!G6</f>
        <v>49671.880000000005</v>
      </c>
      <c r="H6" s="77">
        <f>'A00 data TCO'!H6</f>
        <v>45920.192000000003</v>
      </c>
      <c r="I6" s="77">
        <f>'A00 data TCO'!I6</f>
        <v>42523.6728</v>
      </c>
      <c r="J6" s="77">
        <f>'A00 data TCO'!J6</f>
        <v>39446.805520000002</v>
      </c>
      <c r="K6" s="78">
        <f>'A00 data TCO'!K6</f>
        <v>36657.624968000004</v>
      </c>
      <c r="L6" s="78">
        <f>'A00 data TCO'!L6</f>
        <v>34127.362471200002</v>
      </c>
      <c r="M6" s="78">
        <f>'A00 data TCO'!M6</f>
        <v>31830.126224080002</v>
      </c>
      <c r="N6" s="78">
        <f>'A00 data TCO'!N6</f>
        <v>29742.613601672001</v>
      </c>
      <c r="O6" s="99">
        <f>'A00 data TCO'!O6</f>
        <v>27843.852241504803</v>
      </c>
    </row>
    <row r="7" spans="3:15" x14ac:dyDescent="0.25">
      <c r="C7" s="243" t="s">
        <v>24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99">
        <f t="shared" si="0"/>
        <v>2784.3852241504806</v>
      </c>
    </row>
    <row r="8" spans="3:15" x14ac:dyDescent="0.25">
      <c r="C8" s="243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0">
        <f t="shared" si="1"/>
        <v>30628.237465655282</v>
      </c>
    </row>
    <row r="9" spans="3:15" x14ac:dyDescent="0.25">
      <c r="C9" s="243" t="s">
        <v>84</v>
      </c>
      <c r="D9" s="79">
        <v>10</v>
      </c>
      <c r="E9" s="90">
        <v>10</v>
      </c>
      <c r="F9" s="90">
        <v>10</v>
      </c>
      <c r="G9" s="90">
        <v>10</v>
      </c>
      <c r="H9" s="94">
        <v>10</v>
      </c>
      <c r="I9" s="94">
        <v>10</v>
      </c>
      <c r="J9" s="94">
        <v>10</v>
      </c>
      <c r="K9" s="95">
        <v>10</v>
      </c>
      <c r="L9" s="95">
        <v>10</v>
      </c>
      <c r="M9" s="95">
        <v>10</v>
      </c>
      <c r="N9" s="95">
        <v>10</v>
      </c>
      <c r="O9" s="101">
        <v>10</v>
      </c>
    </row>
    <row r="10" spans="3:15" x14ac:dyDescent="0.25">
      <c r="C10" s="243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101">
        <v>8</v>
      </c>
    </row>
    <row r="11" spans="3:15" x14ac:dyDescent="0.25">
      <c r="C11" s="243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101">
        <v>11.6</v>
      </c>
    </row>
    <row r="12" spans="3:15" x14ac:dyDescent="0.25">
      <c r="C12" s="243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101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2449.0414425926415</v>
      </c>
      <c r="E14" s="90">
        <v>2377.7101384394582</v>
      </c>
      <c r="F14" s="90">
        <v>2308.4564450868515</v>
      </c>
      <c r="G14" s="90">
        <v>2241.219849598885</v>
      </c>
      <c r="H14" s="94">
        <v>2175.9416015523157</v>
      </c>
      <c r="I14" s="94">
        <v>2112.5646617012771</v>
      </c>
      <c r="J14" s="94">
        <v>2051.0336521371623</v>
      </c>
      <c r="K14" s="95">
        <v>1991.2948079001578</v>
      </c>
      <c r="L14" s="95">
        <v>1933.2959300001535</v>
      </c>
      <c r="M14" s="95">
        <v>1876.9863398059742</v>
      </c>
      <c r="N14" s="95">
        <v>1822.3168347630819</v>
      </c>
      <c r="O14" s="101">
        <v>1769.2396454010504</v>
      </c>
    </row>
    <row r="15" spans="3:15" x14ac:dyDescent="0.25">
      <c r="C15" s="243" t="s">
        <v>89</v>
      </c>
      <c r="D15" s="79">
        <v>300</v>
      </c>
      <c r="E15" s="90">
        <f>D15*(1-$D$13)</f>
        <v>291</v>
      </c>
      <c r="F15" s="90">
        <f t="shared" ref="F15:O15" si="2">E15*(1-$D$13)</f>
        <v>282.27</v>
      </c>
      <c r="G15" s="90">
        <f t="shared" si="2"/>
        <v>273.80189999999999</v>
      </c>
      <c r="H15" s="94">
        <f t="shared" si="2"/>
        <v>265.58784299999996</v>
      </c>
      <c r="I15" s="94">
        <f t="shared" si="2"/>
        <v>257.62020770999993</v>
      </c>
      <c r="J15" s="94">
        <f t="shared" si="2"/>
        <v>249.89160147869993</v>
      </c>
      <c r="K15" s="95">
        <f t="shared" si="2"/>
        <v>242.39485343433893</v>
      </c>
      <c r="L15" s="95">
        <f t="shared" si="2"/>
        <v>235.12300783130874</v>
      </c>
      <c r="M15" s="95">
        <f t="shared" si="2"/>
        <v>228.06931759636947</v>
      </c>
      <c r="N15" s="95">
        <f t="shared" si="2"/>
        <v>221.22723806847839</v>
      </c>
      <c r="O15" s="101">
        <f t="shared" si="2"/>
        <v>214.59042092642403</v>
      </c>
    </row>
    <row r="16" spans="3:15" x14ac:dyDescent="0.25">
      <c r="C16" s="243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101">
        <v>16114.895830932232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101">
        <f t="shared" si="3"/>
        <v>4176.5778362257206</v>
      </c>
    </row>
    <row r="19" spans="3:15" x14ac:dyDescent="0.25">
      <c r="C19" s="244" t="s">
        <v>93</v>
      </c>
      <c r="D19" s="161">
        <f>D8+D14+D15+D16+D17-D18</f>
        <v>82008.78178586805</v>
      </c>
      <c r="E19" s="158">
        <f t="shared" ref="E19:O19" si="4">E8+E14+E15+E16+E17-E18</f>
        <v>73968.332597053595</v>
      </c>
      <c r="F19" s="158">
        <f t="shared" si="4"/>
        <v>74744.30038548891</v>
      </c>
      <c r="G19" s="158">
        <f t="shared" si="4"/>
        <v>70117.17565290186</v>
      </c>
      <c r="H19" s="159">
        <f t="shared" si="4"/>
        <v>65885.001071060062</v>
      </c>
      <c r="I19" s="159">
        <f t="shared" si="4"/>
        <v>62009.702404661519</v>
      </c>
      <c r="J19" s="159">
        <f t="shared" si="4"/>
        <v>58456.97144446076</v>
      </c>
      <c r="K19" s="162">
        <f t="shared" si="4"/>
        <v>55195.89061088099</v>
      </c>
      <c r="L19" s="162">
        <f t="shared" si="4"/>
        <v>52198.595062118562</v>
      </c>
      <c r="M19" s="162">
        <f t="shared" si="4"/>
        <v>49439.968557314343</v>
      </c>
      <c r="N19" s="162">
        <f t="shared" si="4"/>
        <v>46897.369700280164</v>
      </c>
      <c r="O19" s="172">
        <f t="shared" si="4"/>
        <v>44550.385526689264</v>
      </c>
    </row>
    <row r="20" spans="3:15" x14ac:dyDescent="0.25">
      <c r="C20" s="131" t="s">
        <v>371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f>'A00 data TCO'!D23</f>
        <v>51066</v>
      </c>
      <c r="E22" s="76">
        <f>'A00 data TCO'!E23</f>
        <v>51366</v>
      </c>
      <c r="F22" s="76">
        <f>'A00 data TCO'!F23</f>
        <v>51672</v>
      </c>
      <c r="G22" s="76">
        <f>'A00 data TCO'!G23</f>
        <v>51984.12</v>
      </c>
      <c r="H22" s="77">
        <f>'A00 data TCO'!H23</f>
        <v>52302.482400000001</v>
      </c>
      <c r="I22" s="77">
        <f>'A00 data TCO'!I23</f>
        <v>52627.212048000001</v>
      </c>
      <c r="J22" s="77">
        <f>'A00 data TCO'!J23</f>
        <v>52958.436288960002</v>
      </c>
      <c r="K22" s="78">
        <f>'A00 data TCO'!K23</f>
        <v>53296.285014739202</v>
      </c>
      <c r="L22" s="78">
        <f>'A00 data TCO'!L23</f>
        <v>53640.89071503398</v>
      </c>
      <c r="M22" s="78">
        <f>'A00 data TCO'!M23</f>
        <v>53992.388529334654</v>
      </c>
      <c r="N22" s="78">
        <f>'A00 data TCO'!N23</f>
        <v>54350.916299921344</v>
      </c>
      <c r="O22" s="104">
        <f>'A00 data TCO'!O23</f>
        <v>54716.614625919778</v>
      </c>
    </row>
    <row r="23" spans="3:15" x14ac:dyDescent="0.25">
      <c r="C23" s="102" t="s">
        <v>24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48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10</v>
      </c>
      <c r="E25" s="71">
        <f>D25</f>
        <v>10</v>
      </c>
      <c r="F25" s="71">
        <f t="shared" ref="F25:O25" si="5">E25</f>
        <v>10</v>
      </c>
      <c r="G25" s="80">
        <f t="shared" si="5"/>
        <v>10</v>
      </c>
      <c r="H25" s="72">
        <f t="shared" si="5"/>
        <v>10</v>
      </c>
      <c r="I25" s="72">
        <f t="shared" si="5"/>
        <v>10</v>
      </c>
      <c r="J25" s="72">
        <f t="shared" si="5"/>
        <v>10</v>
      </c>
      <c r="K25" s="73">
        <f t="shared" si="5"/>
        <v>10</v>
      </c>
      <c r="L25" s="73">
        <f t="shared" si="5"/>
        <v>10</v>
      </c>
      <c r="M25" s="73">
        <f t="shared" si="5"/>
        <v>10</v>
      </c>
      <c r="N25" s="73">
        <f t="shared" si="5"/>
        <v>10</v>
      </c>
      <c r="O25" s="103">
        <f t="shared" si="5"/>
        <v>10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9790.8876638132497</v>
      </c>
      <c r="E30" s="71">
        <v>9505.7161784594664</v>
      </c>
      <c r="F30" s="71">
        <v>9228.8506586985113</v>
      </c>
      <c r="G30" s="80">
        <v>8960.0491832024381</v>
      </c>
      <c r="H30" s="72">
        <v>8699.0768768955713</v>
      </c>
      <c r="I30" s="72">
        <v>8445.7057057238562</v>
      </c>
      <c r="J30" s="72">
        <v>8199.7142774018012</v>
      </c>
      <c r="K30" s="73">
        <v>7960.8876479629143</v>
      </c>
      <c r="L30" s="73">
        <v>7729.0171339445778</v>
      </c>
      <c r="M30" s="73">
        <v>7503.9001300432792</v>
      </c>
      <c r="N30" s="73">
        <v>7285.3399320808539</v>
      </c>
      <c r="O30" s="103">
        <v>7073.1455651270426</v>
      </c>
    </row>
    <row r="31" spans="3:15" x14ac:dyDescent="0.25">
      <c r="C31" s="102" t="s">
        <v>89</v>
      </c>
      <c r="D31" s="70">
        <f>2*1200+3*600</f>
        <v>4200</v>
      </c>
      <c r="E31" s="71">
        <f>D31*(1-$D$29)</f>
        <v>4074</v>
      </c>
      <c r="F31" s="71">
        <f t="shared" ref="F31:O31" si="6">E31*(1-$D$29)</f>
        <v>3951.7799999999997</v>
      </c>
      <c r="G31" s="80">
        <f t="shared" si="6"/>
        <v>3833.2265999999995</v>
      </c>
      <c r="H31" s="72">
        <f t="shared" si="6"/>
        <v>3718.2298019999994</v>
      </c>
      <c r="I31" s="72">
        <f t="shared" si="6"/>
        <v>3606.6829079399995</v>
      </c>
      <c r="J31" s="72">
        <f t="shared" si="6"/>
        <v>3498.4824207017996</v>
      </c>
      <c r="K31" s="73">
        <f t="shared" si="6"/>
        <v>3393.5279480807453</v>
      </c>
      <c r="L31" s="73">
        <f t="shared" si="6"/>
        <v>3291.7221096383228</v>
      </c>
      <c r="M31" s="73">
        <f t="shared" si="6"/>
        <v>3192.970446349173</v>
      </c>
      <c r="N31" s="73">
        <f t="shared" si="6"/>
        <v>3097.1813329586976</v>
      </c>
      <c r="O31" s="103">
        <f t="shared" si="6"/>
        <v>3004.2658929699364</v>
      </c>
    </row>
    <row r="32" spans="3:15" x14ac:dyDescent="0.25">
      <c r="C32" s="102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103">
        <v>15669.930728044254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103">
        <f t="shared" si="7"/>
        <v>257.50850511170893</v>
      </c>
    </row>
    <row r="34" spans="3:15" x14ac:dyDescent="0.25">
      <c r="C34" s="102" t="s">
        <v>87</v>
      </c>
      <c r="D34" s="79">
        <f>0.35*D22</f>
        <v>17873.099999999999</v>
      </c>
      <c r="E34" s="71">
        <f t="shared" ref="E34:O34" si="8">0.35*E22</f>
        <v>17978.099999999999</v>
      </c>
      <c r="F34" s="71">
        <f t="shared" si="8"/>
        <v>18085.199999999997</v>
      </c>
      <c r="G34" s="80">
        <f t="shared" si="8"/>
        <v>18194.441999999999</v>
      </c>
      <c r="H34" s="72">
        <f t="shared" si="8"/>
        <v>18305.868839999999</v>
      </c>
      <c r="I34" s="72">
        <f t="shared" si="8"/>
        <v>18419.5242168</v>
      </c>
      <c r="J34" s="72">
        <f t="shared" si="8"/>
        <v>18535.452701136001</v>
      </c>
      <c r="K34" s="73">
        <f t="shared" si="8"/>
        <v>18653.699755158719</v>
      </c>
      <c r="L34" s="73">
        <f t="shared" si="8"/>
        <v>18774.311750261892</v>
      </c>
      <c r="M34" s="73">
        <f t="shared" si="8"/>
        <v>18897.335985267127</v>
      </c>
      <c r="N34" s="73">
        <f t="shared" si="8"/>
        <v>19022.82070497247</v>
      </c>
      <c r="O34" s="103">
        <f t="shared" si="8"/>
        <v>19150.815119071922</v>
      </c>
    </row>
    <row r="35" spans="3:15" x14ac:dyDescent="0.25">
      <c r="C35" s="160" t="s">
        <v>93</v>
      </c>
      <c r="D35" s="163">
        <f>D24+D30+D31+D32-D34</f>
        <v>78308.636529477866</v>
      </c>
      <c r="E35" s="164">
        <f t="shared" ref="E35:O35" si="9">E24+E30+E31+E32-E34</f>
        <v>77490.692747065885</v>
      </c>
      <c r="F35" s="164">
        <f t="shared" si="9"/>
        <v>76707.73606511252</v>
      </c>
      <c r="G35" s="165">
        <f t="shared" si="9"/>
        <v>75958.96520690537</v>
      </c>
      <c r="H35" s="166">
        <f t="shared" si="9"/>
        <v>75243.606754335313</v>
      </c>
      <c r="I35" s="166">
        <f t="shared" si="9"/>
        <v>74560.914421935449</v>
      </c>
      <c r="J35" s="166">
        <f t="shared" si="9"/>
        <v>73910.168353922229</v>
      </c>
      <c r="K35" s="167">
        <f t="shared" si="9"/>
        <v>73290.674443601602</v>
      </c>
      <c r="L35" s="167">
        <f t="shared" si="9"/>
        <v>72701.763674522022</v>
      </c>
      <c r="M35" s="167">
        <f t="shared" si="9"/>
        <v>72142.791482775603</v>
      </c>
      <c r="N35" s="167">
        <f t="shared" si="9"/>
        <v>71613.137139866143</v>
      </c>
      <c r="O35" s="168">
        <f t="shared" si="9"/>
        <v>71112.203155581068</v>
      </c>
    </row>
    <row r="36" spans="3:15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3:15" x14ac:dyDescent="0.25">
      <c r="C37" t="s">
        <v>297</v>
      </c>
      <c r="D37" s="30">
        <f>D19-D35</f>
        <v>3700.1452563901839</v>
      </c>
      <c r="E37" s="30">
        <f t="shared" ref="E37:O37" si="10">E19-E35</f>
        <v>-3522.3601500122895</v>
      </c>
      <c r="F37" s="30">
        <f t="shared" si="10"/>
        <v>-1963.4356796236098</v>
      </c>
      <c r="G37" s="30">
        <f t="shared" si="10"/>
        <v>-5841.7895540035097</v>
      </c>
      <c r="H37" s="30">
        <f t="shared" si="10"/>
        <v>-9358.6056832752511</v>
      </c>
      <c r="I37" s="30">
        <f t="shared" si="10"/>
        <v>-12551.212017273931</v>
      </c>
      <c r="J37" s="30">
        <f t="shared" si="10"/>
        <v>-15453.196909461469</v>
      </c>
      <c r="K37" s="30">
        <f t="shared" si="10"/>
        <v>-18094.783832720612</v>
      </c>
      <c r="L37" s="30">
        <f t="shared" si="10"/>
        <v>-20503.16861240346</v>
      </c>
      <c r="M37" s="30">
        <f t="shared" si="10"/>
        <v>-22702.82292546126</v>
      </c>
      <c r="N37" s="30">
        <f t="shared" si="10"/>
        <v>-24715.767439585979</v>
      </c>
      <c r="O37" s="30">
        <f t="shared" si="10"/>
        <v>-26561.817628891804</v>
      </c>
    </row>
    <row r="41" spans="3:15" x14ac:dyDescent="0.25">
      <c r="C41" s="262" t="s">
        <v>408</v>
      </c>
      <c r="D41" s="263" t="s">
        <v>400</v>
      </c>
      <c r="E41" s="263" t="s">
        <v>401</v>
      </c>
      <c r="F41" s="263" t="s">
        <v>402</v>
      </c>
      <c r="G41" s="263" t="s">
        <v>403</v>
      </c>
      <c r="H41" s="263" t="s">
        <v>404</v>
      </c>
      <c r="I41" s="263" t="s">
        <v>405</v>
      </c>
      <c r="J41" s="263" t="s">
        <v>406</v>
      </c>
      <c r="K41" s="264" t="s">
        <v>407</v>
      </c>
    </row>
    <row r="42" spans="3:15" x14ac:dyDescent="0.25">
      <c r="C42" s="265" t="s">
        <v>392</v>
      </c>
      <c r="D42" s="249">
        <v>63475</v>
      </c>
      <c r="E42" s="249">
        <v>82008.78178586805</v>
      </c>
      <c r="F42" s="249">
        <v>85057.823228460678</v>
      </c>
      <c r="G42" s="249">
        <v>88206.864671053307</v>
      </c>
      <c r="H42" s="249">
        <v>91155.906113645964</v>
      </c>
      <c r="I42" s="249">
        <v>97253.98899883125</v>
      </c>
      <c r="J42" s="249">
        <v>103352.07188401654</v>
      </c>
      <c r="K42" s="266">
        <v>129196.86153983415</v>
      </c>
    </row>
    <row r="43" spans="3:15" x14ac:dyDescent="0.25">
      <c r="C43" s="267" t="s">
        <v>393</v>
      </c>
      <c r="D43" s="140">
        <v>51066</v>
      </c>
      <c r="E43" s="140">
        <v>78308.636529477866</v>
      </c>
      <c r="F43" s="140">
        <v>93499.524193291116</v>
      </c>
      <c r="G43" s="140">
        <v>108690.41185710437</v>
      </c>
      <c r="H43" s="140">
        <v>123881.29952091762</v>
      </c>
      <c r="I43" s="140">
        <v>154263.07484854411</v>
      </c>
      <c r="J43" s="140">
        <v>184044.85017617061</v>
      </c>
      <c r="K43" s="257">
        <v>346207.95927340095</v>
      </c>
    </row>
    <row r="44" spans="3:15" x14ac:dyDescent="0.25">
      <c r="C44" s="265" t="s">
        <v>394</v>
      </c>
      <c r="D44" s="249">
        <v>160144.44444444444</v>
      </c>
      <c r="E44" s="249"/>
      <c r="F44" s="249">
        <v>174024.47382941956</v>
      </c>
      <c r="G44" s="249">
        <v>177680.21350151411</v>
      </c>
      <c r="H44" s="249">
        <v>181135.95317360869</v>
      </c>
      <c r="I44" s="249">
        <v>188247.43251779783</v>
      </c>
      <c r="J44" s="249">
        <v>195358.91186198697</v>
      </c>
      <c r="K44" s="266">
        <v>228358.76460389601</v>
      </c>
    </row>
    <row r="45" spans="3:15" x14ac:dyDescent="0.25">
      <c r="C45" s="267" t="s">
        <v>395</v>
      </c>
      <c r="D45" s="140">
        <v>140427.77777777778</v>
      </c>
      <c r="E45" s="140"/>
      <c r="F45" s="140">
        <v>166010.01269492877</v>
      </c>
      <c r="G45" s="140">
        <v>182494.03646528337</v>
      </c>
      <c r="H45" s="140">
        <v>198978.06023563803</v>
      </c>
      <c r="I45" s="140">
        <v>231946.10777634723</v>
      </c>
      <c r="J45" s="140">
        <v>264314.15531705646</v>
      </c>
      <c r="K45" s="257">
        <v>442230.55137179093</v>
      </c>
    </row>
    <row r="46" spans="3:15" x14ac:dyDescent="0.25">
      <c r="C46" s="265" t="s">
        <v>396</v>
      </c>
      <c r="D46" s="249">
        <v>180670.83333333334</v>
      </c>
      <c r="E46" s="249"/>
      <c r="F46" s="249">
        <v>191471.90438497512</v>
      </c>
      <c r="G46" s="249">
        <v>195127.64405706967</v>
      </c>
      <c r="H46" s="249">
        <v>198583.38372916426</v>
      </c>
      <c r="I46" s="249">
        <v>205694.86307335339</v>
      </c>
      <c r="J46" s="249">
        <v>212806.3424175425</v>
      </c>
      <c r="K46" s="266">
        <v>242504.22627748433</v>
      </c>
    </row>
    <row r="47" spans="3:15" x14ac:dyDescent="0.25">
      <c r="C47" s="267" t="s">
        <v>397</v>
      </c>
      <c r="D47" s="140">
        <v>144616.66666666666</v>
      </c>
      <c r="E47" s="140"/>
      <c r="F47" s="140">
        <v>172846.35395171359</v>
      </c>
      <c r="G47" s="140">
        <v>191177.71501712734</v>
      </c>
      <c r="H47" s="140">
        <v>209509.07608254108</v>
      </c>
      <c r="I47" s="140">
        <v>246171.79821336857</v>
      </c>
      <c r="J47" s="140">
        <v>282234.520344196</v>
      </c>
      <c r="K47" s="257">
        <v>488279.54662367661</v>
      </c>
    </row>
    <row r="48" spans="3:15" x14ac:dyDescent="0.25">
      <c r="C48" s="265" t="s">
        <v>398</v>
      </c>
      <c r="D48" s="249">
        <v>516685.71428571426</v>
      </c>
      <c r="E48" s="249"/>
      <c r="F48" s="249">
        <v>478382.39935841982</v>
      </c>
      <c r="G48" s="249">
        <v>482387.0621124747</v>
      </c>
      <c r="H48" s="249">
        <v>486391.72486652969</v>
      </c>
      <c r="I48" s="249">
        <v>494601.05037463969</v>
      </c>
      <c r="J48" s="249">
        <v>502810.37588274968</v>
      </c>
      <c r="K48" s="266">
        <v>538860.53840924904</v>
      </c>
      <c r="L48" s="1"/>
    </row>
    <row r="49" spans="3:26" x14ac:dyDescent="0.25">
      <c r="C49" s="268" t="s">
        <v>399</v>
      </c>
      <c r="D49" s="256">
        <v>532285.71428571432</v>
      </c>
      <c r="E49" s="256"/>
      <c r="F49" s="256">
        <v>463598.13966599945</v>
      </c>
      <c r="G49" s="256">
        <v>481929.50073141314</v>
      </c>
      <c r="H49" s="256">
        <v>500260.86179682682</v>
      </c>
      <c r="I49" s="256">
        <v>536923.58392765431</v>
      </c>
      <c r="J49" s="256">
        <v>572986.3060584818</v>
      </c>
      <c r="K49" s="258">
        <v>768978.59412831778</v>
      </c>
      <c r="L49" s="1"/>
    </row>
    <row r="59" spans="3:26" x14ac:dyDescent="0.25"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>
        <v>2027</v>
      </c>
      <c r="M59">
        <v>2028</v>
      </c>
      <c r="N59">
        <v>2029</v>
      </c>
      <c r="O59">
        <v>2030</v>
      </c>
      <c r="P59">
        <v>2031</v>
      </c>
      <c r="Q59">
        <v>2032</v>
      </c>
      <c r="R59">
        <v>2033</v>
      </c>
      <c r="S59">
        <v>2034</v>
      </c>
      <c r="T59">
        <v>2035</v>
      </c>
      <c r="U59">
        <v>2036</v>
      </c>
      <c r="V59">
        <v>2037</v>
      </c>
      <c r="W59">
        <v>2038</v>
      </c>
      <c r="X59">
        <v>2039</v>
      </c>
      <c r="Y59">
        <v>2040</v>
      </c>
      <c r="Z59">
        <v>2041</v>
      </c>
    </row>
    <row r="60" spans="3:26" x14ac:dyDescent="0.25">
      <c r="C60" t="s">
        <v>98</v>
      </c>
      <c r="D60">
        <f>10*365</f>
        <v>3650</v>
      </c>
      <c r="E60">
        <f t="shared" ref="E60:Z60" si="11">10*365</f>
        <v>3650</v>
      </c>
      <c r="F60">
        <f t="shared" si="11"/>
        <v>3650</v>
      </c>
      <c r="G60">
        <f t="shared" si="11"/>
        <v>3650</v>
      </c>
      <c r="H60">
        <f t="shared" si="11"/>
        <v>3650</v>
      </c>
      <c r="I60">
        <f t="shared" si="11"/>
        <v>3650</v>
      </c>
      <c r="J60">
        <f t="shared" si="11"/>
        <v>3650</v>
      </c>
      <c r="K60">
        <f t="shared" si="11"/>
        <v>3650</v>
      </c>
      <c r="L60">
        <f t="shared" si="11"/>
        <v>3650</v>
      </c>
      <c r="M60">
        <f t="shared" si="11"/>
        <v>3650</v>
      </c>
      <c r="N60">
        <f t="shared" si="11"/>
        <v>3650</v>
      </c>
      <c r="O60">
        <f t="shared" si="11"/>
        <v>3650</v>
      </c>
      <c r="P60">
        <f t="shared" si="11"/>
        <v>3650</v>
      </c>
      <c r="Q60">
        <f t="shared" si="11"/>
        <v>3650</v>
      </c>
      <c r="R60">
        <f t="shared" si="11"/>
        <v>3650</v>
      </c>
      <c r="S60">
        <f t="shared" si="11"/>
        <v>3650</v>
      </c>
      <c r="T60">
        <f t="shared" si="11"/>
        <v>3650</v>
      </c>
      <c r="U60">
        <f t="shared" si="11"/>
        <v>3650</v>
      </c>
      <c r="V60">
        <f t="shared" si="11"/>
        <v>3650</v>
      </c>
      <c r="W60">
        <f t="shared" si="11"/>
        <v>3650</v>
      </c>
      <c r="X60">
        <f t="shared" si="11"/>
        <v>3650</v>
      </c>
      <c r="Y60">
        <f t="shared" si="11"/>
        <v>3650</v>
      </c>
      <c r="Z60">
        <f t="shared" si="11"/>
        <v>3650</v>
      </c>
    </row>
    <row r="61" spans="3:26" x14ac:dyDescent="0.25">
      <c r="C61" t="s">
        <v>99</v>
      </c>
      <c r="D61" s="31">
        <f>(D11/100)*D60</f>
        <v>423.4</v>
      </c>
      <c r="E61" s="31">
        <f>D61</f>
        <v>423.4</v>
      </c>
      <c r="F61" s="31">
        <f t="shared" ref="F61:U62" si="12">E61</f>
        <v>423.4</v>
      </c>
      <c r="G61" s="31">
        <f t="shared" si="12"/>
        <v>423.4</v>
      </c>
      <c r="H61" s="31">
        <f t="shared" si="12"/>
        <v>423.4</v>
      </c>
      <c r="I61" s="31">
        <f t="shared" si="12"/>
        <v>423.4</v>
      </c>
      <c r="J61" s="31">
        <f t="shared" si="12"/>
        <v>423.4</v>
      </c>
      <c r="K61" s="31">
        <f t="shared" si="12"/>
        <v>423.4</v>
      </c>
      <c r="L61" s="31">
        <f t="shared" si="12"/>
        <v>423.4</v>
      </c>
      <c r="M61" s="31">
        <f t="shared" si="12"/>
        <v>423.4</v>
      </c>
      <c r="N61" s="31">
        <f t="shared" si="12"/>
        <v>423.4</v>
      </c>
      <c r="O61" s="31">
        <f t="shared" si="12"/>
        <v>423.4</v>
      </c>
      <c r="P61" s="31">
        <f t="shared" si="12"/>
        <v>423.4</v>
      </c>
      <c r="Q61" s="31">
        <f t="shared" si="12"/>
        <v>423.4</v>
      </c>
      <c r="R61" s="31">
        <f t="shared" si="12"/>
        <v>423.4</v>
      </c>
      <c r="S61" s="31">
        <f t="shared" si="12"/>
        <v>423.4</v>
      </c>
      <c r="T61" s="31">
        <f t="shared" si="12"/>
        <v>423.4</v>
      </c>
      <c r="U61" s="31">
        <f t="shared" si="12"/>
        <v>423.4</v>
      </c>
      <c r="V61" s="31">
        <f t="shared" ref="V61:Z62" si="13">U61</f>
        <v>423.4</v>
      </c>
      <c r="W61" s="31">
        <f t="shared" si="13"/>
        <v>423.4</v>
      </c>
      <c r="X61" s="31">
        <f t="shared" si="13"/>
        <v>423.4</v>
      </c>
      <c r="Y61" s="31">
        <f t="shared" si="13"/>
        <v>423.4</v>
      </c>
      <c r="Z61" s="31">
        <f t="shared" si="13"/>
        <v>423.4</v>
      </c>
    </row>
    <row r="62" spans="3:26" x14ac:dyDescent="0.25">
      <c r="C62" t="s">
        <v>101</v>
      </c>
      <c r="D62">
        <f>D61*D12</f>
        <v>338.72</v>
      </c>
      <c r="E62">
        <f>D62</f>
        <v>338.72</v>
      </c>
      <c r="F62">
        <f t="shared" si="12"/>
        <v>338.72</v>
      </c>
      <c r="G62">
        <f t="shared" si="12"/>
        <v>338.72</v>
      </c>
      <c r="H62">
        <f t="shared" si="12"/>
        <v>338.72</v>
      </c>
      <c r="I62">
        <f t="shared" si="12"/>
        <v>338.72</v>
      </c>
      <c r="J62">
        <f t="shared" si="12"/>
        <v>338.72</v>
      </c>
      <c r="K62">
        <f t="shared" si="12"/>
        <v>338.72</v>
      </c>
      <c r="L62">
        <f t="shared" si="12"/>
        <v>338.72</v>
      </c>
      <c r="M62">
        <f t="shared" si="12"/>
        <v>338.72</v>
      </c>
      <c r="N62">
        <f t="shared" si="12"/>
        <v>338.72</v>
      </c>
      <c r="O62">
        <f t="shared" si="12"/>
        <v>338.72</v>
      </c>
      <c r="P62">
        <f t="shared" si="12"/>
        <v>338.72</v>
      </c>
      <c r="Q62">
        <f t="shared" si="12"/>
        <v>338.72</v>
      </c>
      <c r="R62">
        <f t="shared" si="12"/>
        <v>338.72</v>
      </c>
      <c r="S62">
        <f t="shared" si="12"/>
        <v>338.72</v>
      </c>
      <c r="T62">
        <f t="shared" si="12"/>
        <v>338.72</v>
      </c>
      <c r="U62">
        <f t="shared" si="12"/>
        <v>338.72</v>
      </c>
      <c r="V62">
        <f t="shared" si="13"/>
        <v>338.72</v>
      </c>
      <c r="W62">
        <f t="shared" si="13"/>
        <v>338.72</v>
      </c>
      <c r="X62">
        <f t="shared" si="13"/>
        <v>338.72</v>
      </c>
      <c r="Y62">
        <f t="shared" si="13"/>
        <v>338.72</v>
      </c>
      <c r="Z62">
        <f t="shared" si="13"/>
        <v>338.72</v>
      </c>
    </row>
    <row r="63" spans="3:26" x14ac:dyDescent="0.25">
      <c r="C63" t="s">
        <v>100</v>
      </c>
      <c r="D63">
        <f>D62/(1+$D$13)^(D59-2019)</f>
        <v>338.72</v>
      </c>
      <c r="E63">
        <f t="shared" ref="E63:Z63" si="14">E62/(1+$D$13)^(E59-2019)</f>
        <v>328.85436893203888</v>
      </c>
      <c r="F63">
        <f t="shared" si="14"/>
        <v>319.27608634178534</v>
      </c>
      <c r="G63">
        <f t="shared" si="14"/>
        <v>309.97678285610226</v>
      </c>
      <c r="H63">
        <f t="shared" si="14"/>
        <v>300.94833287000222</v>
      </c>
      <c r="I63">
        <f t="shared" si="14"/>
        <v>292.18284744660411</v>
      </c>
      <c r="J63">
        <f t="shared" si="14"/>
        <v>283.67266742388745</v>
      </c>
      <c r="K63">
        <f t="shared" si="14"/>
        <v>275.4103567222208</v>
      </c>
      <c r="L63">
        <f t="shared" si="14"/>
        <v>267.38869584681635</v>
      </c>
      <c r="M63">
        <f t="shared" si="14"/>
        <v>259.60067557943336</v>
      </c>
      <c r="N63">
        <f t="shared" si="14"/>
        <v>252.03949085381879</v>
      </c>
      <c r="O63">
        <f t="shared" si="14"/>
        <v>244.69853480953279</v>
      </c>
      <c r="P63">
        <f t="shared" si="14"/>
        <v>237.5713930189639</v>
      </c>
      <c r="Q63">
        <f t="shared" si="14"/>
        <v>230.65183788248925</v>
      </c>
      <c r="R63">
        <f t="shared" si="14"/>
        <v>223.93382318688273</v>
      </c>
      <c r="S63">
        <f t="shared" si="14"/>
        <v>217.41147882221622</v>
      </c>
      <c r="T63">
        <f t="shared" si="14"/>
        <v>211.07910565263717</v>
      </c>
      <c r="U63">
        <f t="shared" si="14"/>
        <v>204.93117053654092</v>
      </c>
      <c r="V63">
        <f t="shared" si="14"/>
        <v>198.96230149178731</v>
      </c>
      <c r="W63">
        <f t="shared" si="14"/>
        <v>193.16728300173526</v>
      </c>
      <c r="X63">
        <f t="shared" si="14"/>
        <v>187.54105145799539</v>
      </c>
      <c r="Y63">
        <f t="shared" si="14"/>
        <v>182.07869073591789</v>
      </c>
      <c r="Z63">
        <f t="shared" si="14"/>
        <v>176.77542789894937</v>
      </c>
    </row>
    <row r="64" spans="3:26" x14ac:dyDescent="0.25">
      <c r="C64" t="s">
        <v>102</v>
      </c>
      <c r="D64">
        <f>SUM(D63:K63)</f>
        <v>2449.0414425926415</v>
      </c>
      <c r="E64">
        <f>SUM(E63:L63)</f>
        <v>2377.7101384394582</v>
      </c>
      <c r="F64">
        <f>SUM(F63:M63)</f>
        <v>2308.4564450868515</v>
      </c>
      <c r="G64">
        <f>SUM(G63:N63)</f>
        <v>2241.219849598885</v>
      </c>
      <c r="H64">
        <f>SUM(H63:O63)</f>
        <v>2175.9416015523157</v>
      </c>
      <c r="I64">
        <f t="shared" ref="I64:N64" si="15">SUM(I63:P63)</f>
        <v>2112.5646617012771</v>
      </c>
      <c r="J64">
        <f t="shared" si="15"/>
        <v>2051.0336521371623</v>
      </c>
      <c r="K64">
        <f t="shared" si="15"/>
        <v>1991.2948079001578</v>
      </c>
      <c r="L64">
        <f t="shared" si="15"/>
        <v>1933.2959300001535</v>
      </c>
      <c r="M64">
        <f t="shared" si="15"/>
        <v>1876.9863398059742</v>
      </c>
      <c r="N64">
        <f t="shared" si="15"/>
        <v>1822.3168347630819</v>
      </c>
      <c r="O64">
        <f t="shared" ref="O64:T64" si="16">SUM(O63:V63)</f>
        <v>1769.2396454010504</v>
      </c>
      <c r="P64">
        <f t="shared" si="16"/>
        <v>1717.7083935932526</v>
      </c>
      <c r="Q64">
        <f t="shared" si="16"/>
        <v>1667.6780520322841</v>
      </c>
      <c r="R64">
        <f t="shared" si="16"/>
        <v>1619.1049048857128</v>
      </c>
      <c r="S64">
        <f t="shared" si="16"/>
        <v>1571.9465095977796</v>
      </c>
      <c r="T64">
        <f t="shared" si="16"/>
        <v>1354.5350307755632</v>
      </c>
      <c r="U64" t="e">
        <f>SUM(#REF!)</f>
        <v>#REF!</v>
      </c>
      <c r="V64" t="e">
        <f>SUM(#REF!)</f>
        <v>#REF!</v>
      </c>
      <c r="W64" t="e">
        <f>SUM(#REF!)</f>
        <v>#REF!</v>
      </c>
      <c r="X64" t="e">
        <f>SUM(#REF!)</f>
        <v>#REF!</v>
      </c>
      <c r="Y64" t="e">
        <f>SUM(#REF!)</f>
        <v>#REF!</v>
      </c>
      <c r="Z64" t="e">
        <f>SUM(#REF!)</f>
        <v>#REF!</v>
      </c>
    </row>
    <row r="66" spans="3:26" x14ac:dyDescent="0.25">
      <c r="C66" t="s">
        <v>103</v>
      </c>
      <c r="D66">
        <f>400</f>
        <v>400</v>
      </c>
    </row>
    <row r="70" spans="3:26" x14ac:dyDescent="0.25">
      <c r="C70" t="s">
        <v>104</v>
      </c>
      <c r="D70">
        <v>3500</v>
      </c>
      <c r="E70">
        <v>3500</v>
      </c>
      <c r="F70">
        <v>3500</v>
      </c>
      <c r="G70">
        <v>3500</v>
      </c>
      <c r="H70">
        <v>3500</v>
      </c>
      <c r="I70">
        <v>3500</v>
      </c>
      <c r="J70">
        <v>3500</v>
      </c>
      <c r="K70">
        <v>3500</v>
      </c>
      <c r="L70">
        <v>3500</v>
      </c>
      <c r="M70">
        <v>3500</v>
      </c>
      <c r="N70">
        <v>3500</v>
      </c>
      <c r="O70">
        <v>3500</v>
      </c>
      <c r="P70">
        <v>3500</v>
      </c>
      <c r="Q70">
        <v>3500</v>
      </c>
      <c r="R70">
        <v>3500</v>
      </c>
      <c r="S70">
        <v>3500</v>
      </c>
      <c r="T70">
        <v>3500</v>
      </c>
      <c r="U70">
        <v>3500</v>
      </c>
      <c r="V70">
        <v>3500</v>
      </c>
      <c r="W70">
        <v>3500</v>
      </c>
      <c r="X70">
        <v>3500</v>
      </c>
      <c r="Y70">
        <v>3500</v>
      </c>
      <c r="Z70">
        <v>3500</v>
      </c>
    </row>
    <row r="71" spans="3:26" x14ac:dyDescent="0.25">
      <c r="C71" t="s">
        <v>105</v>
      </c>
      <c r="D71">
        <f>D70/(1+$D$13)^(D59-2019)</f>
        <v>3500</v>
      </c>
      <c r="E71">
        <f t="shared" ref="E71:Z71" si="17">E70/(1+$D$13)^(E59-2019)</f>
        <v>3398.0582524271845</v>
      </c>
      <c r="F71">
        <f t="shared" si="17"/>
        <v>3299.0856819681403</v>
      </c>
      <c r="G71">
        <f t="shared" si="17"/>
        <v>3202.9958077360584</v>
      </c>
      <c r="H71">
        <f t="shared" si="17"/>
        <v>3109.7046677049116</v>
      </c>
      <c r="I71">
        <f t="shared" si="17"/>
        <v>3019.1307453445743</v>
      </c>
      <c r="J71">
        <f t="shared" si="17"/>
        <v>2931.1948983927905</v>
      </c>
      <c r="K71">
        <f t="shared" si="17"/>
        <v>2845.8202897017381</v>
      </c>
      <c r="L71">
        <f t="shared" si="17"/>
        <v>2762.9323200987751</v>
      </c>
      <c r="M71">
        <f t="shared" si="17"/>
        <v>2682.4585632026942</v>
      </c>
      <c r="N71">
        <f t="shared" si="17"/>
        <v>2604.3287021385381</v>
      </c>
      <c r="O71">
        <f t="shared" si="17"/>
        <v>2528.4744680956678</v>
      </c>
      <c r="P71">
        <f t="shared" si="17"/>
        <v>2454.8295806754063</v>
      </c>
      <c r="Q71">
        <f t="shared" si="17"/>
        <v>2383.3296899761226</v>
      </c>
      <c r="R71">
        <f t="shared" si="17"/>
        <v>2313.9123203651675</v>
      </c>
      <c r="S71">
        <f t="shared" si="17"/>
        <v>2246.5168158885117</v>
      </c>
      <c r="T71">
        <f t="shared" si="17"/>
        <v>2181.0842872704002</v>
      </c>
      <c r="U71">
        <f t="shared" si="17"/>
        <v>2117.5575604566993</v>
      </c>
      <c r="V71">
        <f t="shared" si="17"/>
        <v>2055.8811266569896</v>
      </c>
      <c r="W71">
        <f t="shared" si="17"/>
        <v>1996.0010938417374</v>
      </c>
      <c r="X71">
        <f t="shared" si="17"/>
        <v>1937.8651396521723</v>
      </c>
      <c r="Y71">
        <f t="shared" si="17"/>
        <v>1881.422465681721</v>
      </c>
      <c r="Z71">
        <f t="shared" si="17"/>
        <v>1826.6237530890494</v>
      </c>
    </row>
    <row r="72" spans="3:26" x14ac:dyDescent="0.25">
      <c r="C72" t="s">
        <v>106</v>
      </c>
      <c r="D72">
        <f>SUM(D71:K71)</f>
        <v>25305.9903432754</v>
      </c>
      <c r="E72" s="145">
        <f>NPV(0.03,E71:L71)</f>
        <v>21657.07245861413</v>
      </c>
      <c r="F72" s="145">
        <f t="shared" ref="F72:O72" si="18">NPV(0.03,F71:M71)</f>
        <v>21026.283940402063</v>
      </c>
      <c r="G72" s="145">
        <f t="shared" si="18"/>
        <v>20413.867903302973</v>
      </c>
      <c r="H72" s="145">
        <f t="shared" si="18"/>
        <v>19819.289226507743</v>
      </c>
      <c r="I72" s="145">
        <f t="shared" si="18"/>
        <v>19242.028375250236</v>
      </c>
      <c r="J72" s="145">
        <f t="shared" si="18"/>
        <v>18681.58094684489</v>
      </c>
      <c r="K72" s="145">
        <f t="shared" si="18"/>
        <v>18137.457229946493</v>
      </c>
      <c r="L72" s="145">
        <f t="shared" si="18"/>
        <v>17609.181776647089</v>
      </c>
      <c r="M72" s="145">
        <f t="shared" si="18"/>
        <v>17096.292987036006</v>
      </c>
      <c r="N72" s="145">
        <f t="shared" si="18"/>
        <v>16598.342705860196</v>
      </c>
      <c r="O72" s="145">
        <f t="shared" si="18"/>
        <v>16114.895830932232</v>
      </c>
    </row>
    <row r="75" spans="3:26" x14ac:dyDescent="0.25">
      <c r="C75" t="s">
        <v>98</v>
      </c>
      <c r="D75">
        <f>10*365</f>
        <v>3650</v>
      </c>
      <c r="E75">
        <f t="shared" ref="E75:Z75" si="19">10*365</f>
        <v>3650</v>
      </c>
      <c r="F75">
        <f t="shared" si="19"/>
        <v>3650</v>
      </c>
      <c r="G75">
        <f t="shared" si="19"/>
        <v>3650</v>
      </c>
      <c r="H75">
        <f t="shared" si="19"/>
        <v>3650</v>
      </c>
      <c r="I75">
        <f t="shared" si="19"/>
        <v>3650</v>
      </c>
      <c r="J75">
        <f t="shared" si="19"/>
        <v>3650</v>
      </c>
      <c r="K75">
        <f t="shared" si="19"/>
        <v>3650</v>
      </c>
      <c r="L75">
        <f t="shared" si="19"/>
        <v>3650</v>
      </c>
      <c r="M75">
        <f t="shared" si="19"/>
        <v>3650</v>
      </c>
      <c r="N75">
        <f t="shared" si="19"/>
        <v>3650</v>
      </c>
      <c r="O75">
        <f t="shared" si="19"/>
        <v>3650</v>
      </c>
      <c r="P75">
        <f t="shared" si="19"/>
        <v>3650</v>
      </c>
      <c r="Q75">
        <f t="shared" si="19"/>
        <v>3650</v>
      </c>
      <c r="R75">
        <f t="shared" si="19"/>
        <v>3650</v>
      </c>
      <c r="S75">
        <f t="shared" si="19"/>
        <v>3650</v>
      </c>
      <c r="T75">
        <f t="shared" si="19"/>
        <v>3650</v>
      </c>
      <c r="U75">
        <f t="shared" si="19"/>
        <v>3650</v>
      </c>
      <c r="V75">
        <f t="shared" si="19"/>
        <v>3650</v>
      </c>
      <c r="W75">
        <f t="shared" si="19"/>
        <v>3650</v>
      </c>
      <c r="X75">
        <f t="shared" si="19"/>
        <v>3650</v>
      </c>
      <c r="Y75">
        <f t="shared" si="19"/>
        <v>3650</v>
      </c>
      <c r="Z75">
        <f t="shared" si="19"/>
        <v>3650</v>
      </c>
    </row>
    <row r="76" spans="3:26" x14ac:dyDescent="0.25">
      <c r="C76" t="s">
        <v>107</v>
      </c>
      <c r="D76" s="66">
        <f t="shared" ref="D76:O76" si="20">(D27/100)*D75</f>
        <v>193.45</v>
      </c>
      <c r="E76" s="66">
        <f t="shared" si="20"/>
        <v>193.45</v>
      </c>
      <c r="F76" s="66">
        <f t="shared" si="20"/>
        <v>193.45</v>
      </c>
      <c r="G76" s="66">
        <f t="shared" si="20"/>
        <v>193.45</v>
      </c>
      <c r="H76" s="66">
        <f t="shared" si="20"/>
        <v>193.45</v>
      </c>
      <c r="I76" s="66">
        <f t="shared" si="20"/>
        <v>193.45</v>
      </c>
      <c r="J76" s="66">
        <f t="shared" si="20"/>
        <v>193.45</v>
      </c>
      <c r="K76" s="66">
        <f t="shared" si="20"/>
        <v>193.45</v>
      </c>
      <c r="L76" s="66">
        <f t="shared" si="20"/>
        <v>193.45</v>
      </c>
      <c r="M76" s="66">
        <f t="shared" si="20"/>
        <v>193.45</v>
      </c>
      <c r="N76" s="66">
        <f t="shared" si="20"/>
        <v>193.45</v>
      </c>
      <c r="O76" s="66">
        <f t="shared" si="20"/>
        <v>193.45</v>
      </c>
      <c r="P76" s="66">
        <f>O76</f>
        <v>193.45</v>
      </c>
      <c r="Q76" s="66">
        <f t="shared" ref="Q76:Z76" si="21">P76</f>
        <v>193.45</v>
      </c>
      <c r="R76" s="66">
        <f t="shared" si="21"/>
        <v>193.45</v>
      </c>
      <c r="S76" s="66">
        <f t="shared" si="21"/>
        <v>193.45</v>
      </c>
      <c r="T76" s="66">
        <f t="shared" si="21"/>
        <v>193.45</v>
      </c>
      <c r="U76" s="66">
        <f t="shared" si="21"/>
        <v>193.45</v>
      </c>
      <c r="V76" s="66">
        <f t="shared" si="21"/>
        <v>193.45</v>
      </c>
      <c r="W76" s="66">
        <f t="shared" si="21"/>
        <v>193.45</v>
      </c>
      <c r="X76" s="66">
        <f t="shared" si="21"/>
        <v>193.45</v>
      </c>
      <c r="Y76" s="66">
        <f t="shared" si="21"/>
        <v>193.45</v>
      </c>
      <c r="Z76" s="66">
        <f t="shared" si="21"/>
        <v>193.45</v>
      </c>
    </row>
    <row r="77" spans="3:26" x14ac:dyDescent="0.25">
      <c r="C77" t="s">
        <v>108</v>
      </c>
      <c r="D77">
        <f>D76*$D$28</f>
        <v>1354.1499999999999</v>
      </c>
      <c r="E77">
        <f t="shared" ref="E77:Z77" si="22">E76*$D$28</f>
        <v>1354.1499999999999</v>
      </c>
      <c r="F77">
        <f t="shared" si="22"/>
        <v>1354.1499999999999</v>
      </c>
      <c r="G77">
        <f t="shared" si="22"/>
        <v>1354.1499999999999</v>
      </c>
      <c r="H77">
        <f t="shared" si="22"/>
        <v>1354.1499999999999</v>
      </c>
      <c r="I77">
        <f t="shared" si="22"/>
        <v>1354.1499999999999</v>
      </c>
      <c r="J77">
        <f t="shared" si="22"/>
        <v>1354.1499999999999</v>
      </c>
      <c r="K77">
        <f t="shared" si="22"/>
        <v>1354.1499999999999</v>
      </c>
      <c r="L77">
        <f t="shared" si="22"/>
        <v>1354.1499999999999</v>
      </c>
      <c r="M77">
        <f t="shared" si="22"/>
        <v>1354.1499999999999</v>
      </c>
      <c r="N77">
        <f t="shared" si="22"/>
        <v>1354.1499999999999</v>
      </c>
      <c r="O77">
        <f t="shared" si="22"/>
        <v>1354.1499999999999</v>
      </c>
      <c r="P77">
        <f t="shared" si="22"/>
        <v>1354.1499999999999</v>
      </c>
      <c r="Q77">
        <f t="shared" si="22"/>
        <v>1354.1499999999999</v>
      </c>
      <c r="R77">
        <f t="shared" si="22"/>
        <v>1354.1499999999999</v>
      </c>
      <c r="S77">
        <f t="shared" si="22"/>
        <v>1354.1499999999999</v>
      </c>
      <c r="T77">
        <f t="shared" si="22"/>
        <v>1354.1499999999999</v>
      </c>
      <c r="U77">
        <f t="shared" si="22"/>
        <v>1354.1499999999999</v>
      </c>
      <c r="V77">
        <f t="shared" si="22"/>
        <v>1354.1499999999999</v>
      </c>
      <c r="W77">
        <f t="shared" si="22"/>
        <v>1354.1499999999999</v>
      </c>
      <c r="X77">
        <f t="shared" si="22"/>
        <v>1354.1499999999999</v>
      </c>
      <c r="Y77">
        <f t="shared" si="22"/>
        <v>1354.1499999999999</v>
      </c>
      <c r="Z77">
        <f t="shared" si="22"/>
        <v>1354.1499999999999</v>
      </c>
    </row>
    <row r="78" spans="3:26" x14ac:dyDescent="0.25">
      <c r="D78">
        <f>D77/(1+$D$29)^(D59-2019)</f>
        <v>1354.1499999999999</v>
      </c>
      <c r="E78">
        <f t="shared" ref="E78:Z78" si="23">E77/(1+$D$29)^(E59-2019)</f>
        <v>1314.7087378640774</v>
      </c>
      <c r="F78">
        <f t="shared" si="23"/>
        <v>1276.4162503534733</v>
      </c>
      <c r="G78">
        <f t="shared" si="23"/>
        <v>1239.2390780130809</v>
      </c>
      <c r="H78">
        <f t="shared" si="23"/>
        <v>1203.1447359350302</v>
      </c>
      <c r="I78">
        <f t="shared" si="23"/>
        <v>1168.1016853738156</v>
      </c>
      <c r="J78">
        <f t="shared" si="23"/>
        <v>1134.0793061881704</v>
      </c>
      <c r="K78">
        <f t="shared" si="23"/>
        <v>1101.0478700856024</v>
      </c>
      <c r="L78">
        <f t="shared" si="23"/>
        <v>1068.9785146462161</v>
      </c>
      <c r="M78">
        <f t="shared" si="23"/>
        <v>1037.8432181031224</v>
      </c>
      <c r="N78">
        <f t="shared" si="23"/>
        <v>1007.6147748574003</v>
      </c>
      <c r="O78">
        <f t="shared" si="23"/>
        <v>978.26677170621383</v>
      </c>
      <c r="P78">
        <f t="shared" si="23"/>
        <v>949.77356476331454</v>
      </c>
      <c r="Q78">
        <f t="shared" si="23"/>
        <v>922.11025705176178</v>
      </c>
      <c r="R78">
        <f t="shared" si="23"/>
        <v>895.25267674928318</v>
      </c>
      <c r="S78">
        <f t="shared" si="23"/>
        <v>869.17735606726512</v>
      </c>
      <c r="T78">
        <f t="shared" si="23"/>
        <v>843.86151074491784</v>
      </c>
      <c r="U78">
        <f t="shared" si="23"/>
        <v>819.28302014069686</v>
      </c>
      <c r="V78">
        <f t="shared" si="23"/>
        <v>795.42040790358919</v>
      </c>
      <c r="W78">
        <f t="shared" si="23"/>
        <v>772.25282320736812</v>
      </c>
      <c r="X78">
        <f t="shared" si="23"/>
        <v>749.76002253142542</v>
      </c>
      <c r="Y78">
        <f t="shared" si="23"/>
        <v>727.92235197225773</v>
      </c>
      <c r="Z78">
        <f t="shared" si="23"/>
        <v>706.72073007015308</v>
      </c>
    </row>
    <row r="79" spans="3:26" x14ac:dyDescent="0.25">
      <c r="D79">
        <f>SUM(D78:K78)</f>
        <v>9790.8876638132497</v>
      </c>
      <c r="E79">
        <f t="shared" ref="E79:O79" si="24">SUM(E78:L78)</f>
        <v>9505.7161784594664</v>
      </c>
      <c r="F79">
        <f t="shared" si="24"/>
        <v>9228.8506586985113</v>
      </c>
      <c r="G79">
        <f t="shared" si="24"/>
        <v>8960.0491832024381</v>
      </c>
      <c r="H79">
        <f t="shared" si="24"/>
        <v>8699.0768768955713</v>
      </c>
      <c r="I79">
        <f t="shared" si="24"/>
        <v>8445.7057057238562</v>
      </c>
      <c r="J79">
        <f t="shared" si="24"/>
        <v>8199.7142774018012</v>
      </c>
      <c r="K79">
        <f t="shared" si="24"/>
        <v>7960.8876479629143</v>
      </c>
      <c r="L79">
        <f t="shared" si="24"/>
        <v>7729.0171339445778</v>
      </c>
      <c r="M79">
        <f t="shared" si="24"/>
        <v>7503.9001300432792</v>
      </c>
      <c r="N79">
        <f t="shared" si="24"/>
        <v>7285.3399320808539</v>
      </c>
      <c r="O79">
        <f t="shared" si="24"/>
        <v>7073.1455651270426</v>
      </c>
    </row>
    <row r="81" spans="4:27" x14ac:dyDescent="0.25">
      <c r="D81">
        <v>3000</v>
      </c>
      <c r="E81">
        <v>3000</v>
      </c>
      <c r="F81">
        <v>3000</v>
      </c>
      <c r="G81">
        <v>3000</v>
      </c>
      <c r="H81">
        <v>3000</v>
      </c>
      <c r="I81">
        <v>3000</v>
      </c>
      <c r="J81">
        <v>3000</v>
      </c>
      <c r="K81">
        <v>3000</v>
      </c>
      <c r="L81">
        <v>3000</v>
      </c>
      <c r="M81">
        <v>3000</v>
      </c>
      <c r="N81">
        <v>3000</v>
      </c>
      <c r="O81">
        <v>3000</v>
      </c>
      <c r="P81">
        <v>3000</v>
      </c>
      <c r="Q81">
        <v>3000</v>
      </c>
      <c r="R81">
        <v>3000</v>
      </c>
      <c r="S81">
        <v>3000</v>
      </c>
      <c r="T81">
        <v>3000</v>
      </c>
      <c r="U81">
        <v>3000</v>
      </c>
      <c r="V81">
        <v>3000</v>
      </c>
      <c r="W81">
        <v>3000</v>
      </c>
      <c r="X81">
        <v>3000</v>
      </c>
      <c r="Y81">
        <v>3000</v>
      </c>
      <c r="Z81">
        <v>3000</v>
      </c>
      <c r="AA81">
        <v>3000</v>
      </c>
    </row>
    <row r="82" spans="4:27" x14ac:dyDescent="0.25">
      <c r="D82">
        <f>D81/1.03^(D59-2019)</f>
        <v>3000</v>
      </c>
      <c r="E82">
        <f t="shared" ref="E82:Z82" si="25">E81/1.03^(E59-2019)</f>
        <v>2912.6213592233007</v>
      </c>
      <c r="F82">
        <f t="shared" si="25"/>
        <v>2827.7877274012631</v>
      </c>
      <c r="G82">
        <f t="shared" si="25"/>
        <v>2745.4249780594787</v>
      </c>
      <c r="H82">
        <f t="shared" si="25"/>
        <v>2665.4611437470671</v>
      </c>
      <c r="I82">
        <f t="shared" si="25"/>
        <v>2587.8263531524922</v>
      </c>
      <c r="J82">
        <f t="shared" si="25"/>
        <v>2512.4527700509634</v>
      </c>
      <c r="K82">
        <f t="shared" si="25"/>
        <v>2439.2745340300612</v>
      </c>
      <c r="L82">
        <f t="shared" si="25"/>
        <v>2368.2277029418074</v>
      </c>
      <c r="M82">
        <f t="shared" si="25"/>
        <v>2299.2501970308808</v>
      </c>
      <c r="N82">
        <f t="shared" si="25"/>
        <v>2232.2817446901754</v>
      </c>
      <c r="O82">
        <f t="shared" si="25"/>
        <v>2167.2638297962867</v>
      </c>
      <c r="P82">
        <f t="shared" si="25"/>
        <v>2104.1396405789196</v>
      </c>
      <c r="Q82">
        <f t="shared" si="25"/>
        <v>2042.8540199795336</v>
      </c>
      <c r="R82">
        <f t="shared" si="25"/>
        <v>1983.3534174558577</v>
      </c>
      <c r="S82">
        <f t="shared" si="25"/>
        <v>1925.585842190153</v>
      </c>
      <c r="T82">
        <f t="shared" si="25"/>
        <v>1869.500817660343</v>
      </c>
      <c r="U82">
        <f t="shared" si="25"/>
        <v>1815.0493375343137</v>
      </c>
      <c r="V82">
        <f t="shared" si="25"/>
        <v>1762.1838228488482</v>
      </c>
      <c r="W82">
        <f t="shared" si="25"/>
        <v>1710.858080435775</v>
      </c>
      <c r="X82">
        <f t="shared" si="25"/>
        <v>1661.0272625590048</v>
      </c>
      <c r="Y82">
        <f t="shared" si="25"/>
        <v>1612.6478277271895</v>
      </c>
      <c r="Z82">
        <f t="shared" si="25"/>
        <v>1565.6775026477567</v>
      </c>
    </row>
    <row r="83" spans="4:27" x14ac:dyDescent="0.25">
      <c r="D83">
        <f>SUM(D82:K82)</f>
        <v>21690.848865664626</v>
      </c>
      <c r="E83">
        <f t="shared" ref="E83:O83" si="26">SUM(E82:L82)</f>
        <v>21059.076568606433</v>
      </c>
      <c r="F83">
        <f t="shared" si="26"/>
        <v>20445.705406414014</v>
      </c>
      <c r="G83">
        <f t="shared" si="26"/>
        <v>19850.199423702925</v>
      </c>
      <c r="H83">
        <f t="shared" si="26"/>
        <v>19272.038275439732</v>
      </c>
      <c r="I83">
        <f t="shared" si="26"/>
        <v>18710.716772271586</v>
      </c>
      <c r="J83">
        <f t="shared" si="26"/>
        <v>18165.744439098631</v>
      </c>
      <c r="K83">
        <f t="shared" si="26"/>
        <v>17636.645086503522</v>
      </c>
      <c r="L83">
        <f t="shared" si="26"/>
        <v>17122.956394663615</v>
      </c>
      <c r="M83">
        <f t="shared" si="26"/>
        <v>16624.229509382149</v>
      </c>
      <c r="N83">
        <f t="shared" si="26"/>
        <v>16140.02864988558</v>
      </c>
      <c r="O83">
        <f t="shared" si="26"/>
        <v>15669.930728044254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A61"/>
  <sheetViews>
    <sheetView topLeftCell="A4" zoomScaleNormal="100" workbookViewId="0">
      <selection activeCell="F24" sqref="F24"/>
    </sheetView>
  </sheetViews>
  <sheetFormatPr defaultRowHeight="14.4" x14ac:dyDescent="0.25"/>
  <cols>
    <col min="3" max="3" width="36.88671875" bestFit="1" customWidth="1"/>
    <col min="4" max="4" width="13.88671875" bestFit="1" customWidth="1"/>
    <col min="5" max="9" width="12.77734375" bestFit="1" customWidth="1"/>
    <col min="10" max="10" width="12.77734375" customWidth="1"/>
    <col min="11" max="15" width="12.77734375" bestFit="1" customWidth="1"/>
    <col min="16" max="16" width="10.5546875" bestFit="1" customWidth="1"/>
  </cols>
  <sheetData>
    <row r="4" spans="3:15" x14ac:dyDescent="0.25">
      <c r="C4" s="131" t="s">
        <v>64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65000</v>
      </c>
      <c r="E6" s="71">
        <v>59928</v>
      </c>
      <c r="F6" s="71">
        <v>55343.200000000004</v>
      </c>
      <c r="G6" s="71">
        <v>51196.880000000005</v>
      </c>
      <c r="H6" s="72">
        <v>47445.192000000003</v>
      </c>
      <c r="I6" s="72">
        <v>44048.6728</v>
      </c>
      <c r="J6" s="72">
        <v>40971.805520000002</v>
      </c>
      <c r="K6" s="73">
        <v>38182.624968000004</v>
      </c>
      <c r="L6" s="73">
        <v>35652.362471200002</v>
      </c>
      <c r="M6" s="73">
        <v>33355.126224079999</v>
      </c>
      <c r="N6" s="73">
        <v>31267.613601671997</v>
      </c>
      <c r="O6" s="103">
        <v>29368.852241504799</v>
      </c>
    </row>
    <row r="7" spans="3:15" x14ac:dyDescent="0.25">
      <c r="C7" s="102" t="s">
        <v>46</v>
      </c>
      <c r="D7" s="74">
        <v>0</v>
      </c>
      <c r="E7" s="75">
        <v>0</v>
      </c>
      <c r="F7" s="76">
        <f>F6*0.1</f>
        <v>5534.3200000000006</v>
      </c>
      <c r="G7" s="76">
        <f t="shared" ref="G7:O7" si="0">G6*0.1</f>
        <v>5119.688000000001</v>
      </c>
      <c r="H7" s="77">
        <f t="shared" si="0"/>
        <v>4744.5192000000006</v>
      </c>
      <c r="I7" s="77">
        <f t="shared" si="0"/>
        <v>4404.8672800000004</v>
      </c>
      <c r="J7" s="77">
        <f t="shared" si="0"/>
        <v>4097.1805520000007</v>
      </c>
      <c r="K7" s="78">
        <f t="shared" si="0"/>
        <v>3818.2624968000005</v>
      </c>
      <c r="L7" s="78">
        <f t="shared" si="0"/>
        <v>3565.2362471200004</v>
      </c>
      <c r="M7" s="78">
        <f t="shared" si="0"/>
        <v>3335.512622408</v>
      </c>
      <c r="N7" s="78">
        <f t="shared" si="0"/>
        <v>3126.7613601672001</v>
      </c>
      <c r="O7" s="104">
        <f t="shared" si="0"/>
        <v>2936.8852241504801</v>
      </c>
    </row>
    <row r="8" spans="3:15" x14ac:dyDescent="0.25">
      <c r="C8" s="102" t="s">
        <v>48</v>
      </c>
      <c r="D8" s="79">
        <f t="shared" ref="D8:O8" si="1">D6+D7</f>
        <v>65000</v>
      </c>
      <c r="E8" s="80">
        <f t="shared" si="1"/>
        <v>59928</v>
      </c>
      <c r="F8" s="80">
        <f t="shared" si="1"/>
        <v>60877.520000000004</v>
      </c>
      <c r="G8" s="90">
        <f t="shared" si="1"/>
        <v>56316.568000000007</v>
      </c>
      <c r="H8" s="81">
        <f t="shared" si="1"/>
        <v>52189.711200000005</v>
      </c>
      <c r="I8" s="81">
        <f t="shared" si="1"/>
        <v>48453.540079999999</v>
      </c>
      <c r="J8" s="81">
        <f t="shared" si="1"/>
        <v>45068.986072</v>
      </c>
      <c r="K8" s="82">
        <f t="shared" si="1"/>
        <v>42000.887464800006</v>
      </c>
      <c r="L8" s="82">
        <f t="shared" si="1"/>
        <v>39217.598718320005</v>
      </c>
      <c r="M8" s="82">
        <f t="shared" si="1"/>
        <v>36690.638846488</v>
      </c>
      <c r="N8" s="82">
        <f t="shared" si="1"/>
        <v>34394.374961839196</v>
      </c>
      <c r="O8" s="105">
        <f t="shared" si="1"/>
        <v>32305.737465655278</v>
      </c>
    </row>
    <row r="9" spans="3:15" x14ac:dyDescent="0.25">
      <c r="C9" s="102" t="s">
        <v>84</v>
      </c>
      <c r="D9" s="79">
        <v>10</v>
      </c>
      <c r="E9" s="90">
        <v>10</v>
      </c>
      <c r="F9" s="90">
        <v>10</v>
      </c>
      <c r="G9" s="90">
        <v>10</v>
      </c>
      <c r="H9" s="94">
        <v>10</v>
      </c>
      <c r="I9" s="94">
        <v>10</v>
      </c>
      <c r="J9" s="94">
        <v>10</v>
      </c>
      <c r="K9" s="95">
        <v>10</v>
      </c>
      <c r="L9" s="95">
        <v>10</v>
      </c>
      <c r="M9" s="95">
        <v>10</v>
      </c>
      <c r="N9" s="95">
        <v>10</v>
      </c>
      <c r="O9" s="95">
        <v>10</v>
      </c>
    </row>
    <row r="10" spans="3:15" x14ac:dyDescent="0.25">
      <c r="C10" s="102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95">
        <v>8</v>
      </c>
    </row>
    <row r="11" spans="3:15" x14ac:dyDescent="0.25">
      <c r="C11" s="102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95">
        <v>11.6</v>
      </c>
    </row>
    <row r="12" spans="3:15" x14ac:dyDescent="0.25">
      <c r="C12" s="102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95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2449.0414425926415</v>
      </c>
      <c r="E14" s="90">
        <v>2377.7101384394582</v>
      </c>
      <c r="F14" s="90">
        <v>2308.4564450868515</v>
      </c>
      <c r="G14" s="90">
        <v>2241.219849598885</v>
      </c>
      <c r="H14" s="94">
        <v>2175.9416015523157</v>
      </c>
      <c r="I14" s="94">
        <v>2112.5646617012771</v>
      </c>
      <c r="J14" s="94">
        <v>2051.0336521371623</v>
      </c>
      <c r="K14" s="95">
        <v>1991.2948079001578</v>
      </c>
      <c r="L14" s="95">
        <v>1933.2959300001535</v>
      </c>
      <c r="M14" s="95">
        <v>1876.9863398059742</v>
      </c>
      <c r="N14" s="95">
        <v>1822.3168347630819</v>
      </c>
      <c r="O14" s="95">
        <v>1769.2396454010504</v>
      </c>
    </row>
    <row r="15" spans="3:15" x14ac:dyDescent="0.25">
      <c r="C15" s="102" t="s">
        <v>89</v>
      </c>
      <c r="D15" s="79">
        <v>300</v>
      </c>
      <c r="E15" s="90">
        <f>D15*(1-$D$13)</f>
        <v>291</v>
      </c>
      <c r="F15" s="90">
        <f t="shared" ref="F15:O15" si="2">E15*(1-$D$13)</f>
        <v>282.27</v>
      </c>
      <c r="G15" s="90">
        <f t="shared" si="2"/>
        <v>273.80189999999999</v>
      </c>
      <c r="H15" s="94">
        <f t="shared" si="2"/>
        <v>265.58784299999996</v>
      </c>
      <c r="I15" s="94">
        <f t="shared" si="2"/>
        <v>257.62020770999993</v>
      </c>
      <c r="J15" s="94">
        <f t="shared" si="2"/>
        <v>249.89160147869993</v>
      </c>
      <c r="K15" s="95">
        <f t="shared" si="2"/>
        <v>242.39485343433893</v>
      </c>
      <c r="L15" s="95">
        <f t="shared" si="2"/>
        <v>235.12300783130874</v>
      </c>
      <c r="M15" s="95">
        <f t="shared" si="2"/>
        <v>228.06931759636947</v>
      </c>
      <c r="N15" s="95">
        <f t="shared" si="2"/>
        <v>221.22723806847839</v>
      </c>
      <c r="O15" s="95">
        <f t="shared" si="2"/>
        <v>214.59042092642403</v>
      </c>
    </row>
    <row r="16" spans="3:15" x14ac:dyDescent="0.25">
      <c r="C16" s="102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95">
        <v>16114.895830932232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9750</v>
      </c>
      <c r="E18" s="90">
        <f t="shared" ref="E18:O18" si="3">0.15*E6</f>
        <v>8989.1999999999989</v>
      </c>
      <c r="F18" s="90">
        <f t="shared" si="3"/>
        <v>8301.48</v>
      </c>
      <c r="G18" s="90">
        <f t="shared" si="3"/>
        <v>7679.5320000000002</v>
      </c>
      <c r="H18" s="94">
        <f t="shared" si="3"/>
        <v>7116.7788</v>
      </c>
      <c r="I18" s="94">
        <f t="shared" si="3"/>
        <v>6607.3009199999997</v>
      </c>
      <c r="J18" s="94">
        <f t="shared" si="3"/>
        <v>6145.7708279999997</v>
      </c>
      <c r="K18" s="95">
        <f t="shared" si="3"/>
        <v>5727.3937452</v>
      </c>
      <c r="L18" s="95">
        <f t="shared" si="3"/>
        <v>5347.8543706800001</v>
      </c>
      <c r="M18" s="95">
        <f t="shared" si="3"/>
        <v>5003.2689336119993</v>
      </c>
      <c r="N18" s="95">
        <f t="shared" si="3"/>
        <v>4690.1420402507993</v>
      </c>
      <c r="O18" s="95">
        <f t="shared" si="3"/>
        <v>4405.3278362257197</v>
      </c>
    </row>
    <row r="19" spans="3:15" x14ac:dyDescent="0.25">
      <c r="C19" s="160" t="s">
        <v>93</v>
      </c>
      <c r="D19" s="161">
        <f>D8+D14+D15+D16+D17-D18</f>
        <v>83305.03178586805</v>
      </c>
      <c r="E19" s="158">
        <f t="shared" ref="E19:O19" si="4">E8+E14+E15+E16+E17-E18</f>
        <v>75264.582597053595</v>
      </c>
      <c r="F19" s="158">
        <f t="shared" si="4"/>
        <v>76193.05038548891</v>
      </c>
      <c r="G19" s="158">
        <f t="shared" si="4"/>
        <v>71565.92565290186</v>
      </c>
      <c r="H19" s="159">
        <f t="shared" si="4"/>
        <v>67333.751071060062</v>
      </c>
      <c r="I19" s="159">
        <f t="shared" si="4"/>
        <v>63458.452404661519</v>
      </c>
      <c r="J19" s="159">
        <f t="shared" si="4"/>
        <v>59905.72144446076</v>
      </c>
      <c r="K19" s="162">
        <f t="shared" si="4"/>
        <v>56644.64061088099</v>
      </c>
      <c r="L19" s="162">
        <f t="shared" si="4"/>
        <v>53647.345062118562</v>
      </c>
      <c r="M19" s="162">
        <f t="shared" si="4"/>
        <v>50888.718557314343</v>
      </c>
      <c r="N19" s="162">
        <f t="shared" si="4"/>
        <v>48346.119700280156</v>
      </c>
      <c r="O19" s="162">
        <f t="shared" si="4"/>
        <v>45999.135526689272</v>
      </c>
    </row>
    <row r="20" spans="3:15" x14ac:dyDescent="0.25">
      <c r="C20" s="131" t="s">
        <v>63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55000</v>
      </c>
      <c r="E22" s="87">
        <v>55300</v>
      </c>
      <c r="F22" s="87">
        <v>55606</v>
      </c>
      <c r="G22" s="87">
        <v>55918.12</v>
      </c>
      <c r="H22" s="88">
        <v>56236.482400000001</v>
      </c>
      <c r="I22" s="88">
        <v>56561.212048000001</v>
      </c>
      <c r="J22" s="88">
        <v>56892.436288960002</v>
      </c>
      <c r="K22" s="89">
        <v>57230.285014739202</v>
      </c>
      <c r="L22" s="89">
        <v>57574.89071503398</v>
      </c>
      <c r="M22" s="89">
        <v>57926.388529334654</v>
      </c>
      <c r="N22" s="89">
        <v>58284.916299921344</v>
      </c>
      <c r="O22" s="107">
        <v>58650.614625919778</v>
      </c>
    </row>
    <row r="23" spans="3:15" x14ac:dyDescent="0.25">
      <c r="C23" s="102" t="s">
        <v>46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56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10</v>
      </c>
      <c r="E25" s="71">
        <f>D25</f>
        <v>10</v>
      </c>
      <c r="F25" s="71">
        <f t="shared" ref="F25:O25" si="5">E25</f>
        <v>10</v>
      </c>
      <c r="G25" s="80">
        <f t="shared" si="5"/>
        <v>10</v>
      </c>
      <c r="H25" s="72">
        <f t="shared" si="5"/>
        <v>10</v>
      </c>
      <c r="I25" s="72">
        <f t="shared" si="5"/>
        <v>10</v>
      </c>
      <c r="J25" s="72">
        <f t="shared" si="5"/>
        <v>10</v>
      </c>
      <c r="K25" s="73">
        <f t="shared" si="5"/>
        <v>10</v>
      </c>
      <c r="L25" s="73">
        <f t="shared" si="5"/>
        <v>10</v>
      </c>
      <c r="M25" s="73">
        <f t="shared" si="5"/>
        <v>10</v>
      </c>
      <c r="N25" s="73">
        <f t="shared" si="5"/>
        <v>10</v>
      </c>
      <c r="O25" s="103">
        <f t="shared" si="5"/>
        <v>10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9790.8876638132497</v>
      </c>
      <c r="E30" s="71">
        <v>9505.7161784594664</v>
      </c>
      <c r="F30" s="71">
        <v>9228.8506586985113</v>
      </c>
      <c r="G30" s="80">
        <v>8960.0491832024381</v>
      </c>
      <c r="H30" s="72">
        <v>8699.0768768955713</v>
      </c>
      <c r="I30" s="72">
        <v>8445.7057057238562</v>
      </c>
      <c r="J30" s="72">
        <v>8199.7142774018012</v>
      </c>
      <c r="K30" s="73">
        <v>7960.8876479629143</v>
      </c>
      <c r="L30" s="73">
        <v>7729.0171339445778</v>
      </c>
      <c r="M30" s="73">
        <v>7503.9001300432792</v>
      </c>
      <c r="N30" s="73">
        <v>7285.3399320808539</v>
      </c>
      <c r="O30" s="103">
        <v>7073.1455651270426</v>
      </c>
    </row>
    <row r="31" spans="3:15" x14ac:dyDescent="0.25">
      <c r="C31" s="102" t="s">
        <v>89</v>
      </c>
      <c r="D31" s="70">
        <f>2*1200+3*600</f>
        <v>4200</v>
      </c>
      <c r="E31" s="71">
        <f>D31*(1-$D$29)</f>
        <v>4074</v>
      </c>
      <c r="F31" s="71">
        <f t="shared" ref="F31:O31" si="6">E31*(1-$D$29)</f>
        <v>3951.7799999999997</v>
      </c>
      <c r="G31" s="80">
        <f t="shared" si="6"/>
        <v>3833.2265999999995</v>
      </c>
      <c r="H31" s="72">
        <f t="shared" si="6"/>
        <v>3718.2298019999994</v>
      </c>
      <c r="I31" s="72">
        <f t="shared" si="6"/>
        <v>3606.6829079399995</v>
      </c>
      <c r="J31" s="72">
        <f t="shared" si="6"/>
        <v>3498.4824207017996</v>
      </c>
      <c r="K31" s="73">
        <f t="shared" si="6"/>
        <v>3393.5279480807453</v>
      </c>
      <c r="L31" s="73">
        <f t="shared" si="6"/>
        <v>3291.7221096383228</v>
      </c>
      <c r="M31" s="73">
        <f t="shared" si="6"/>
        <v>3192.970446349173</v>
      </c>
      <c r="N31" s="73">
        <f t="shared" si="6"/>
        <v>3097.1813329586976</v>
      </c>
      <c r="O31" s="103">
        <f t="shared" si="6"/>
        <v>3004.2658929699364</v>
      </c>
    </row>
    <row r="32" spans="3:15" x14ac:dyDescent="0.25">
      <c r="C32" s="102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103">
        <v>15669.930728044254</v>
      </c>
    </row>
    <row r="33" spans="3:26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103">
        <f t="shared" si="7"/>
        <v>257.50850511170893</v>
      </c>
    </row>
    <row r="34" spans="3:26" x14ac:dyDescent="0.25">
      <c r="C34" s="102" t="s">
        <v>87</v>
      </c>
      <c r="D34" s="79">
        <f>0.35*D22</f>
        <v>19250</v>
      </c>
      <c r="E34" s="71">
        <f t="shared" ref="E34:O34" si="8">0.35*E22</f>
        <v>19355</v>
      </c>
      <c r="F34" s="71">
        <f t="shared" si="8"/>
        <v>19462.099999999999</v>
      </c>
      <c r="G34" s="80">
        <f t="shared" si="8"/>
        <v>19571.342000000001</v>
      </c>
      <c r="H34" s="72">
        <f t="shared" si="8"/>
        <v>19682.768840000001</v>
      </c>
      <c r="I34" s="72">
        <f t="shared" si="8"/>
        <v>19796.424216799998</v>
      </c>
      <c r="J34" s="72">
        <f t="shared" si="8"/>
        <v>19912.352701135998</v>
      </c>
      <c r="K34" s="73">
        <f t="shared" si="8"/>
        <v>20030.599755158721</v>
      </c>
      <c r="L34" s="73">
        <f t="shared" si="8"/>
        <v>20151.211750261893</v>
      </c>
      <c r="M34" s="73">
        <f t="shared" si="8"/>
        <v>20274.235985267129</v>
      </c>
      <c r="N34" s="73">
        <f t="shared" si="8"/>
        <v>20399.720704972468</v>
      </c>
      <c r="O34" s="103">
        <f t="shared" si="8"/>
        <v>20527.71511907192</v>
      </c>
    </row>
    <row r="35" spans="3:26" x14ac:dyDescent="0.25">
      <c r="C35" s="160" t="s">
        <v>93</v>
      </c>
      <c r="D35" s="163">
        <f>D24+D30+D31+D32-D34</f>
        <v>76931.736529477872</v>
      </c>
      <c r="E35" s="164">
        <f t="shared" ref="E35:O35" si="9">E24+E30+E31+E32-E34</f>
        <v>76113.792747065891</v>
      </c>
      <c r="F35" s="164">
        <f t="shared" si="9"/>
        <v>75330.836065112526</v>
      </c>
      <c r="G35" s="165">
        <f t="shared" si="9"/>
        <v>74582.065206905361</v>
      </c>
      <c r="H35" s="166">
        <f t="shared" si="9"/>
        <v>73866.706754335304</v>
      </c>
      <c r="I35" s="166">
        <f t="shared" si="9"/>
        <v>73184.014421935455</v>
      </c>
      <c r="J35" s="166">
        <f t="shared" si="9"/>
        <v>72533.268353922234</v>
      </c>
      <c r="K35" s="167">
        <f t="shared" si="9"/>
        <v>71913.774443601593</v>
      </c>
      <c r="L35" s="167">
        <f t="shared" si="9"/>
        <v>71324.863674522014</v>
      </c>
      <c r="M35" s="167">
        <f t="shared" si="9"/>
        <v>70765.891482775594</v>
      </c>
      <c r="N35" s="167">
        <f t="shared" si="9"/>
        <v>70236.237139866149</v>
      </c>
      <c r="O35" s="168">
        <f t="shared" si="9"/>
        <v>69735.303155581074</v>
      </c>
    </row>
    <row r="37" spans="3:26" x14ac:dyDescent="0.25">
      <c r="D37">
        <v>2019</v>
      </c>
      <c r="E37">
        <v>2020</v>
      </c>
      <c r="F37">
        <v>2021</v>
      </c>
      <c r="G37">
        <v>2022</v>
      </c>
      <c r="H37">
        <v>2023</v>
      </c>
      <c r="I37">
        <v>2024</v>
      </c>
      <c r="J37">
        <v>2025</v>
      </c>
      <c r="K37">
        <v>2026</v>
      </c>
      <c r="L37">
        <v>2027</v>
      </c>
      <c r="M37">
        <v>2028</v>
      </c>
      <c r="N37">
        <v>2029</v>
      </c>
      <c r="O37">
        <v>2030</v>
      </c>
      <c r="P37">
        <v>2031</v>
      </c>
      <c r="Q37">
        <v>2032</v>
      </c>
      <c r="R37">
        <v>2033</v>
      </c>
      <c r="S37">
        <v>2034</v>
      </c>
      <c r="T37">
        <v>2035</v>
      </c>
      <c r="U37">
        <v>2036</v>
      </c>
      <c r="V37">
        <v>2037</v>
      </c>
      <c r="W37">
        <v>2038</v>
      </c>
      <c r="X37">
        <v>2039</v>
      </c>
      <c r="Y37">
        <v>2040</v>
      </c>
      <c r="Z37">
        <v>2041</v>
      </c>
    </row>
    <row r="38" spans="3:26" x14ac:dyDescent="0.25">
      <c r="C38" t="s">
        <v>98</v>
      </c>
      <c r="D38">
        <f>10*365</f>
        <v>3650</v>
      </c>
      <c r="E38">
        <f t="shared" ref="E38:Z38" si="10">10*365</f>
        <v>3650</v>
      </c>
      <c r="F38">
        <f t="shared" si="10"/>
        <v>3650</v>
      </c>
      <c r="G38">
        <f t="shared" si="10"/>
        <v>3650</v>
      </c>
      <c r="H38">
        <f t="shared" si="10"/>
        <v>3650</v>
      </c>
      <c r="I38">
        <f t="shared" si="10"/>
        <v>3650</v>
      </c>
      <c r="J38">
        <f t="shared" si="10"/>
        <v>3650</v>
      </c>
      <c r="K38">
        <f t="shared" si="10"/>
        <v>3650</v>
      </c>
      <c r="L38">
        <f t="shared" si="10"/>
        <v>3650</v>
      </c>
      <c r="M38">
        <f t="shared" si="10"/>
        <v>3650</v>
      </c>
      <c r="N38">
        <f t="shared" si="10"/>
        <v>3650</v>
      </c>
      <c r="O38">
        <f t="shared" si="10"/>
        <v>3650</v>
      </c>
      <c r="P38">
        <f t="shared" si="10"/>
        <v>3650</v>
      </c>
      <c r="Q38">
        <f t="shared" si="10"/>
        <v>3650</v>
      </c>
      <c r="R38">
        <f t="shared" si="10"/>
        <v>3650</v>
      </c>
      <c r="S38">
        <f t="shared" si="10"/>
        <v>3650</v>
      </c>
      <c r="T38">
        <f t="shared" si="10"/>
        <v>3650</v>
      </c>
      <c r="U38">
        <f t="shared" si="10"/>
        <v>3650</v>
      </c>
      <c r="V38">
        <f t="shared" si="10"/>
        <v>3650</v>
      </c>
      <c r="W38">
        <f t="shared" si="10"/>
        <v>3650</v>
      </c>
      <c r="X38">
        <f t="shared" si="10"/>
        <v>3650</v>
      </c>
      <c r="Y38">
        <f t="shared" si="10"/>
        <v>3650</v>
      </c>
      <c r="Z38">
        <f t="shared" si="10"/>
        <v>3650</v>
      </c>
    </row>
    <row r="39" spans="3:26" x14ac:dyDescent="0.25">
      <c r="C39" t="s">
        <v>99</v>
      </c>
      <c r="D39" s="31">
        <f>(D11/100)*D38</f>
        <v>423.4</v>
      </c>
      <c r="E39" s="31">
        <f>D39</f>
        <v>423.4</v>
      </c>
      <c r="F39" s="31">
        <f t="shared" ref="F39:Z40" si="11">E39</f>
        <v>423.4</v>
      </c>
      <c r="G39" s="31">
        <f t="shared" si="11"/>
        <v>423.4</v>
      </c>
      <c r="H39" s="31">
        <f t="shared" si="11"/>
        <v>423.4</v>
      </c>
      <c r="I39" s="31">
        <f t="shared" si="11"/>
        <v>423.4</v>
      </c>
      <c r="J39" s="31">
        <f t="shared" si="11"/>
        <v>423.4</v>
      </c>
      <c r="K39" s="31">
        <f t="shared" si="11"/>
        <v>423.4</v>
      </c>
      <c r="L39" s="31">
        <f t="shared" si="11"/>
        <v>423.4</v>
      </c>
      <c r="M39" s="31">
        <f t="shared" si="11"/>
        <v>423.4</v>
      </c>
      <c r="N39" s="31">
        <f t="shared" si="11"/>
        <v>423.4</v>
      </c>
      <c r="O39" s="31">
        <f t="shared" si="11"/>
        <v>423.4</v>
      </c>
      <c r="P39" s="31">
        <f t="shared" si="11"/>
        <v>423.4</v>
      </c>
      <c r="Q39" s="31">
        <f t="shared" si="11"/>
        <v>423.4</v>
      </c>
      <c r="R39" s="31">
        <f t="shared" si="11"/>
        <v>423.4</v>
      </c>
      <c r="S39" s="31">
        <f t="shared" si="11"/>
        <v>423.4</v>
      </c>
      <c r="T39" s="31">
        <f t="shared" si="11"/>
        <v>423.4</v>
      </c>
      <c r="U39" s="31">
        <f t="shared" si="11"/>
        <v>423.4</v>
      </c>
      <c r="V39" s="31">
        <f t="shared" si="11"/>
        <v>423.4</v>
      </c>
      <c r="W39" s="31">
        <f t="shared" si="11"/>
        <v>423.4</v>
      </c>
      <c r="X39" s="31">
        <f t="shared" si="11"/>
        <v>423.4</v>
      </c>
      <c r="Y39" s="31">
        <f t="shared" si="11"/>
        <v>423.4</v>
      </c>
      <c r="Z39" s="31">
        <f t="shared" si="11"/>
        <v>423.4</v>
      </c>
    </row>
    <row r="40" spans="3:26" x14ac:dyDescent="0.25">
      <c r="C40" t="s">
        <v>101</v>
      </c>
      <c r="D40">
        <f>D39*D12</f>
        <v>338.72</v>
      </c>
      <c r="E40">
        <f>D40</f>
        <v>338.72</v>
      </c>
      <c r="F40">
        <f t="shared" si="11"/>
        <v>338.72</v>
      </c>
      <c r="G40">
        <f t="shared" si="11"/>
        <v>338.72</v>
      </c>
      <c r="H40">
        <f t="shared" si="11"/>
        <v>338.72</v>
      </c>
      <c r="I40">
        <f t="shared" si="11"/>
        <v>338.72</v>
      </c>
      <c r="J40">
        <f t="shared" si="11"/>
        <v>338.72</v>
      </c>
      <c r="K40">
        <f t="shared" si="11"/>
        <v>338.72</v>
      </c>
      <c r="L40">
        <f t="shared" si="11"/>
        <v>338.72</v>
      </c>
      <c r="M40">
        <f t="shared" si="11"/>
        <v>338.72</v>
      </c>
      <c r="N40">
        <f t="shared" si="11"/>
        <v>338.72</v>
      </c>
      <c r="O40">
        <f t="shared" si="11"/>
        <v>338.72</v>
      </c>
      <c r="P40">
        <f t="shared" si="11"/>
        <v>338.72</v>
      </c>
      <c r="Q40">
        <f t="shared" si="11"/>
        <v>338.72</v>
      </c>
      <c r="R40">
        <f t="shared" si="11"/>
        <v>338.72</v>
      </c>
      <c r="S40">
        <f t="shared" si="11"/>
        <v>338.72</v>
      </c>
      <c r="T40">
        <f t="shared" si="11"/>
        <v>338.72</v>
      </c>
      <c r="U40">
        <f t="shared" si="11"/>
        <v>338.72</v>
      </c>
      <c r="V40">
        <f t="shared" si="11"/>
        <v>338.72</v>
      </c>
      <c r="W40">
        <f t="shared" si="11"/>
        <v>338.72</v>
      </c>
      <c r="X40">
        <f t="shared" si="11"/>
        <v>338.72</v>
      </c>
      <c r="Y40">
        <f t="shared" si="11"/>
        <v>338.72</v>
      </c>
      <c r="Z40">
        <f t="shared" si="11"/>
        <v>338.72</v>
      </c>
    </row>
    <row r="41" spans="3:26" x14ac:dyDescent="0.25">
      <c r="C41" t="s">
        <v>100</v>
      </c>
      <c r="D41">
        <f>D40/(1+$D$13)^(D37-2019)</f>
        <v>338.72</v>
      </c>
      <c r="E41">
        <f t="shared" ref="E41:Z41" si="12">E40/(1+$D$13)^(E37-2019)</f>
        <v>328.85436893203888</v>
      </c>
      <c r="F41">
        <f t="shared" si="12"/>
        <v>319.27608634178534</v>
      </c>
      <c r="G41">
        <f t="shared" si="12"/>
        <v>309.97678285610226</v>
      </c>
      <c r="H41">
        <f t="shared" si="12"/>
        <v>300.94833287000222</v>
      </c>
      <c r="I41">
        <f t="shared" si="12"/>
        <v>292.18284744660411</v>
      </c>
      <c r="J41">
        <f t="shared" si="12"/>
        <v>283.67266742388745</v>
      </c>
      <c r="K41">
        <f t="shared" si="12"/>
        <v>275.4103567222208</v>
      </c>
      <c r="L41">
        <f t="shared" si="12"/>
        <v>267.38869584681635</v>
      </c>
      <c r="M41">
        <f t="shared" si="12"/>
        <v>259.60067557943336</v>
      </c>
      <c r="N41">
        <f t="shared" si="12"/>
        <v>252.03949085381879</v>
      </c>
      <c r="O41">
        <f t="shared" si="12"/>
        <v>244.69853480953279</v>
      </c>
      <c r="P41">
        <f t="shared" si="12"/>
        <v>237.5713930189639</v>
      </c>
      <c r="Q41">
        <f t="shared" si="12"/>
        <v>230.65183788248925</v>
      </c>
      <c r="R41">
        <f t="shared" si="12"/>
        <v>223.93382318688273</v>
      </c>
      <c r="S41">
        <f t="shared" si="12"/>
        <v>217.41147882221622</v>
      </c>
      <c r="T41">
        <f t="shared" si="12"/>
        <v>211.07910565263717</v>
      </c>
      <c r="U41">
        <f t="shared" si="12"/>
        <v>204.93117053654092</v>
      </c>
      <c r="V41">
        <f t="shared" si="12"/>
        <v>198.96230149178731</v>
      </c>
      <c r="W41">
        <f t="shared" si="12"/>
        <v>193.16728300173526</v>
      </c>
      <c r="X41">
        <f t="shared" si="12"/>
        <v>187.54105145799539</v>
      </c>
      <c r="Y41">
        <f t="shared" si="12"/>
        <v>182.07869073591789</v>
      </c>
      <c r="Z41">
        <f t="shared" si="12"/>
        <v>176.77542789894937</v>
      </c>
    </row>
    <row r="42" spans="3:26" x14ac:dyDescent="0.25">
      <c r="C42" t="s">
        <v>102</v>
      </c>
      <c r="D42">
        <f>SUM(D41:K41)</f>
        <v>2449.0414425926415</v>
      </c>
      <c r="E42">
        <f>SUM(E41:L41)</f>
        <v>2377.7101384394582</v>
      </c>
      <c r="F42">
        <f>SUM(F41:M41)</f>
        <v>2308.4564450868515</v>
      </c>
      <c r="G42">
        <f>SUM(G41:N41)</f>
        <v>2241.219849598885</v>
      </c>
      <c r="H42">
        <f>SUM(H41:O41)</f>
        <v>2175.9416015523157</v>
      </c>
      <c r="I42">
        <f t="shared" ref="I42:N42" si="13">SUM(I41:P41)</f>
        <v>2112.5646617012771</v>
      </c>
      <c r="J42">
        <f t="shared" si="13"/>
        <v>2051.0336521371623</v>
      </c>
      <c r="K42">
        <f t="shared" si="13"/>
        <v>1991.2948079001578</v>
      </c>
      <c r="L42">
        <f t="shared" si="13"/>
        <v>1933.2959300001535</v>
      </c>
      <c r="M42">
        <f t="shared" si="13"/>
        <v>1876.9863398059742</v>
      </c>
      <c r="N42">
        <f t="shared" si="13"/>
        <v>1822.3168347630819</v>
      </c>
      <c r="O42">
        <f>SUM(O41:V41)</f>
        <v>1769.2396454010504</v>
      </c>
      <c r="P42">
        <f t="shared" ref="P42:Z42" si="14">SUM(P41:W41)</f>
        <v>1717.7083935932526</v>
      </c>
      <c r="Q42">
        <f t="shared" si="14"/>
        <v>1667.6780520322841</v>
      </c>
      <c r="R42">
        <f t="shared" si="14"/>
        <v>1619.1049048857128</v>
      </c>
      <c r="S42">
        <f t="shared" si="14"/>
        <v>1571.9465095977796</v>
      </c>
      <c r="T42">
        <f t="shared" si="14"/>
        <v>1354.5350307755632</v>
      </c>
      <c r="U42">
        <f t="shared" si="14"/>
        <v>1143.4559251229261</v>
      </c>
      <c r="V42">
        <f t="shared" si="14"/>
        <v>938.52475458638526</v>
      </c>
      <c r="W42">
        <f t="shared" si="14"/>
        <v>739.56245309459791</v>
      </c>
      <c r="X42">
        <f t="shared" si="14"/>
        <v>546.3951700928626</v>
      </c>
      <c r="Y42">
        <f t="shared" si="14"/>
        <v>358.85411863486729</v>
      </c>
      <c r="Z42">
        <f t="shared" si="14"/>
        <v>176.77542789894937</v>
      </c>
    </row>
    <row r="44" spans="3:26" x14ac:dyDescent="0.25">
      <c r="C44" t="s">
        <v>103</v>
      </c>
      <c r="D44">
        <f>400</f>
        <v>400</v>
      </c>
    </row>
    <row r="48" spans="3:26" x14ac:dyDescent="0.25">
      <c r="C48" t="s">
        <v>104</v>
      </c>
      <c r="D48">
        <v>3500</v>
      </c>
      <c r="E48">
        <v>3500</v>
      </c>
      <c r="F48">
        <v>3500</v>
      </c>
      <c r="G48">
        <v>3500</v>
      </c>
      <c r="H48">
        <v>3500</v>
      </c>
      <c r="I48">
        <v>3500</v>
      </c>
      <c r="J48">
        <v>3500</v>
      </c>
      <c r="K48">
        <v>3500</v>
      </c>
      <c r="L48">
        <v>3500</v>
      </c>
      <c r="M48">
        <v>3500</v>
      </c>
      <c r="N48">
        <v>3500</v>
      </c>
      <c r="O48">
        <v>3500</v>
      </c>
      <c r="P48">
        <v>3500</v>
      </c>
      <c r="Q48">
        <v>3500</v>
      </c>
      <c r="R48">
        <v>3500</v>
      </c>
      <c r="S48">
        <v>3500</v>
      </c>
      <c r="T48">
        <v>3500</v>
      </c>
      <c r="U48">
        <v>3500</v>
      </c>
      <c r="V48">
        <v>3500</v>
      </c>
      <c r="W48">
        <v>3500</v>
      </c>
      <c r="X48">
        <v>3500</v>
      </c>
      <c r="Y48">
        <v>3500</v>
      </c>
      <c r="Z48">
        <v>3500</v>
      </c>
    </row>
    <row r="49" spans="3:27" x14ac:dyDescent="0.25">
      <c r="C49" t="s">
        <v>105</v>
      </c>
      <c r="D49">
        <f>D48/(1+$D$13)^(D37-2019)</f>
        <v>3500</v>
      </c>
      <c r="E49">
        <f t="shared" ref="E49:Z49" si="15">E48/(1+$D$13)^(E37-2019)</f>
        <v>3398.0582524271845</v>
      </c>
      <c r="F49">
        <f t="shared" si="15"/>
        <v>3299.0856819681403</v>
      </c>
      <c r="G49">
        <f t="shared" si="15"/>
        <v>3202.9958077360584</v>
      </c>
      <c r="H49">
        <f t="shared" si="15"/>
        <v>3109.7046677049116</v>
      </c>
      <c r="I49">
        <f t="shared" si="15"/>
        <v>3019.1307453445743</v>
      </c>
      <c r="J49">
        <f t="shared" si="15"/>
        <v>2931.1948983927905</v>
      </c>
      <c r="K49">
        <f t="shared" si="15"/>
        <v>2845.8202897017381</v>
      </c>
      <c r="L49">
        <f t="shared" si="15"/>
        <v>2762.9323200987751</v>
      </c>
      <c r="M49">
        <f t="shared" si="15"/>
        <v>2682.4585632026942</v>
      </c>
      <c r="N49">
        <f t="shared" si="15"/>
        <v>2604.3287021385381</v>
      </c>
      <c r="O49">
        <f t="shared" si="15"/>
        <v>2528.4744680956678</v>
      </c>
      <c r="P49">
        <f t="shared" si="15"/>
        <v>2454.8295806754063</v>
      </c>
      <c r="Q49">
        <f t="shared" si="15"/>
        <v>2383.3296899761226</v>
      </c>
      <c r="R49">
        <f t="shared" si="15"/>
        <v>2313.9123203651675</v>
      </c>
      <c r="S49">
        <f t="shared" si="15"/>
        <v>2246.5168158885117</v>
      </c>
      <c r="T49">
        <f t="shared" si="15"/>
        <v>2181.0842872704002</v>
      </c>
      <c r="U49">
        <f t="shared" si="15"/>
        <v>2117.5575604566993</v>
      </c>
      <c r="V49">
        <f t="shared" si="15"/>
        <v>2055.8811266569896</v>
      </c>
      <c r="W49">
        <f t="shared" si="15"/>
        <v>1996.0010938417374</v>
      </c>
      <c r="X49">
        <f t="shared" si="15"/>
        <v>1937.8651396521723</v>
      </c>
      <c r="Y49">
        <f t="shared" si="15"/>
        <v>1881.422465681721</v>
      </c>
      <c r="Z49">
        <f t="shared" si="15"/>
        <v>1826.6237530890494</v>
      </c>
    </row>
    <row r="50" spans="3:27" x14ac:dyDescent="0.25">
      <c r="C50" t="s">
        <v>106</v>
      </c>
      <c r="D50">
        <f>SUM(D49:K49)</f>
        <v>25305.9903432754</v>
      </c>
      <c r="E50" s="145">
        <f>NPV(0.03,E49:L49)</f>
        <v>21657.07245861413</v>
      </c>
      <c r="F50" s="145">
        <f t="shared" ref="F50:O50" si="16">NPV(0.03,F49:M49)</f>
        <v>21026.283940402063</v>
      </c>
      <c r="G50" s="145">
        <f t="shared" si="16"/>
        <v>20413.867903302973</v>
      </c>
      <c r="H50" s="145">
        <f t="shared" si="16"/>
        <v>19819.289226507743</v>
      </c>
      <c r="I50" s="145">
        <f t="shared" si="16"/>
        <v>19242.028375250236</v>
      </c>
      <c r="J50" s="145">
        <f t="shared" si="16"/>
        <v>18681.58094684489</v>
      </c>
      <c r="K50" s="145">
        <f t="shared" si="16"/>
        <v>18137.457229946493</v>
      </c>
      <c r="L50" s="145">
        <f t="shared" si="16"/>
        <v>17609.181776647089</v>
      </c>
      <c r="M50" s="145">
        <f t="shared" si="16"/>
        <v>17096.292987036006</v>
      </c>
      <c r="N50" s="145">
        <f t="shared" si="16"/>
        <v>16598.342705860196</v>
      </c>
      <c r="O50" s="145">
        <f t="shared" si="16"/>
        <v>16114.895830932232</v>
      </c>
    </row>
    <row r="53" spans="3:27" x14ac:dyDescent="0.25">
      <c r="C53" t="s">
        <v>98</v>
      </c>
      <c r="D53">
        <f>10*365</f>
        <v>3650</v>
      </c>
      <c r="E53">
        <f t="shared" ref="E53:Z53" si="17">10*365</f>
        <v>3650</v>
      </c>
      <c r="F53">
        <f t="shared" si="17"/>
        <v>3650</v>
      </c>
      <c r="G53">
        <f t="shared" si="17"/>
        <v>3650</v>
      </c>
      <c r="H53">
        <f t="shared" si="17"/>
        <v>3650</v>
      </c>
      <c r="I53">
        <f t="shared" si="17"/>
        <v>3650</v>
      </c>
      <c r="J53">
        <f t="shared" si="17"/>
        <v>3650</v>
      </c>
      <c r="K53">
        <f t="shared" si="17"/>
        <v>3650</v>
      </c>
      <c r="L53">
        <f t="shared" si="17"/>
        <v>3650</v>
      </c>
      <c r="M53">
        <f t="shared" si="17"/>
        <v>3650</v>
      </c>
      <c r="N53">
        <f t="shared" si="17"/>
        <v>3650</v>
      </c>
      <c r="O53">
        <f t="shared" si="17"/>
        <v>3650</v>
      </c>
      <c r="P53">
        <f t="shared" si="17"/>
        <v>3650</v>
      </c>
      <c r="Q53">
        <f t="shared" si="17"/>
        <v>3650</v>
      </c>
      <c r="R53">
        <f t="shared" si="17"/>
        <v>3650</v>
      </c>
      <c r="S53">
        <f t="shared" si="17"/>
        <v>3650</v>
      </c>
      <c r="T53">
        <f t="shared" si="17"/>
        <v>3650</v>
      </c>
      <c r="U53">
        <f t="shared" si="17"/>
        <v>3650</v>
      </c>
      <c r="V53">
        <f t="shared" si="17"/>
        <v>3650</v>
      </c>
      <c r="W53">
        <f t="shared" si="17"/>
        <v>3650</v>
      </c>
      <c r="X53">
        <f t="shared" si="17"/>
        <v>3650</v>
      </c>
      <c r="Y53">
        <f t="shared" si="17"/>
        <v>3650</v>
      </c>
      <c r="Z53">
        <f t="shared" si="17"/>
        <v>3650</v>
      </c>
    </row>
    <row r="54" spans="3:27" x14ac:dyDescent="0.25">
      <c r="C54" t="s">
        <v>107</v>
      </c>
      <c r="D54" s="66">
        <f>(D27/100)*D53</f>
        <v>193.45</v>
      </c>
      <c r="E54" s="66">
        <f t="shared" ref="E54:O54" si="18">(E27/100)*E53</f>
        <v>193.45</v>
      </c>
      <c r="F54" s="66">
        <f t="shared" si="18"/>
        <v>193.45</v>
      </c>
      <c r="G54" s="66">
        <f t="shared" si="18"/>
        <v>193.45</v>
      </c>
      <c r="H54" s="66">
        <f t="shared" si="18"/>
        <v>193.45</v>
      </c>
      <c r="I54" s="66">
        <f t="shared" si="18"/>
        <v>193.45</v>
      </c>
      <c r="J54" s="66">
        <f t="shared" si="18"/>
        <v>193.45</v>
      </c>
      <c r="K54" s="66">
        <f t="shared" si="18"/>
        <v>193.45</v>
      </c>
      <c r="L54" s="66">
        <f t="shared" si="18"/>
        <v>193.45</v>
      </c>
      <c r="M54" s="66">
        <f t="shared" si="18"/>
        <v>193.45</v>
      </c>
      <c r="N54" s="66">
        <f t="shared" si="18"/>
        <v>193.45</v>
      </c>
      <c r="O54" s="66">
        <f t="shared" si="18"/>
        <v>193.45</v>
      </c>
      <c r="P54" s="66">
        <f>O54</f>
        <v>193.45</v>
      </c>
      <c r="Q54" s="66">
        <f t="shared" ref="Q54:Z54" si="19">P54</f>
        <v>193.45</v>
      </c>
      <c r="R54" s="66">
        <f t="shared" si="19"/>
        <v>193.45</v>
      </c>
      <c r="S54" s="66">
        <f t="shared" si="19"/>
        <v>193.45</v>
      </c>
      <c r="T54" s="66">
        <f t="shared" si="19"/>
        <v>193.45</v>
      </c>
      <c r="U54" s="66">
        <f t="shared" si="19"/>
        <v>193.45</v>
      </c>
      <c r="V54" s="66">
        <f t="shared" si="19"/>
        <v>193.45</v>
      </c>
      <c r="W54" s="66">
        <f t="shared" si="19"/>
        <v>193.45</v>
      </c>
      <c r="X54" s="66">
        <f t="shared" si="19"/>
        <v>193.45</v>
      </c>
      <c r="Y54" s="66">
        <f t="shared" si="19"/>
        <v>193.45</v>
      </c>
      <c r="Z54" s="66">
        <f t="shared" si="19"/>
        <v>193.45</v>
      </c>
    </row>
    <row r="55" spans="3:27" x14ac:dyDescent="0.25">
      <c r="C55" t="s">
        <v>108</v>
      </c>
      <c r="D55">
        <f>D54*$D$28</f>
        <v>1354.1499999999999</v>
      </c>
      <c r="E55">
        <f t="shared" ref="E55:Z55" si="20">E54*$D$28</f>
        <v>1354.1499999999999</v>
      </c>
      <c r="F55">
        <f t="shared" si="20"/>
        <v>1354.1499999999999</v>
      </c>
      <c r="G55">
        <f t="shared" si="20"/>
        <v>1354.1499999999999</v>
      </c>
      <c r="H55">
        <f t="shared" si="20"/>
        <v>1354.1499999999999</v>
      </c>
      <c r="I55">
        <f t="shared" si="20"/>
        <v>1354.1499999999999</v>
      </c>
      <c r="J55">
        <f t="shared" si="20"/>
        <v>1354.1499999999999</v>
      </c>
      <c r="K55">
        <f t="shared" si="20"/>
        <v>1354.1499999999999</v>
      </c>
      <c r="L55">
        <f t="shared" si="20"/>
        <v>1354.1499999999999</v>
      </c>
      <c r="M55">
        <f t="shared" si="20"/>
        <v>1354.1499999999999</v>
      </c>
      <c r="N55">
        <f t="shared" si="20"/>
        <v>1354.1499999999999</v>
      </c>
      <c r="O55">
        <f t="shared" si="20"/>
        <v>1354.1499999999999</v>
      </c>
      <c r="P55">
        <f t="shared" si="20"/>
        <v>1354.1499999999999</v>
      </c>
      <c r="Q55">
        <f t="shared" si="20"/>
        <v>1354.1499999999999</v>
      </c>
      <c r="R55">
        <f t="shared" si="20"/>
        <v>1354.1499999999999</v>
      </c>
      <c r="S55">
        <f t="shared" si="20"/>
        <v>1354.1499999999999</v>
      </c>
      <c r="T55">
        <f t="shared" si="20"/>
        <v>1354.1499999999999</v>
      </c>
      <c r="U55">
        <f t="shared" si="20"/>
        <v>1354.1499999999999</v>
      </c>
      <c r="V55">
        <f t="shared" si="20"/>
        <v>1354.1499999999999</v>
      </c>
      <c r="W55">
        <f t="shared" si="20"/>
        <v>1354.1499999999999</v>
      </c>
      <c r="X55">
        <f t="shared" si="20"/>
        <v>1354.1499999999999</v>
      </c>
      <c r="Y55">
        <f t="shared" si="20"/>
        <v>1354.1499999999999</v>
      </c>
      <c r="Z55">
        <f t="shared" si="20"/>
        <v>1354.1499999999999</v>
      </c>
    </row>
    <row r="56" spans="3:27" x14ac:dyDescent="0.25">
      <c r="D56">
        <f>D55/(1+$D$29)^(D37-2019)</f>
        <v>1354.1499999999999</v>
      </c>
      <c r="E56">
        <f t="shared" ref="E56:Z56" si="21">E55/(1+$D$29)^(E37-2019)</f>
        <v>1314.7087378640774</v>
      </c>
      <c r="F56">
        <f t="shared" si="21"/>
        <v>1276.4162503534733</v>
      </c>
      <c r="G56">
        <f t="shared" si="21"/>
        <v>1239.2390780130809</v>
      </c>
      <c r="H56">
        <f t="shared" si="21"/>
        <v>1203.1447359350302</v>
      </c>
      <c r="I56">
        <f t="shared" si="21"/>
        <v>1168.1016853738156</v>
      </c>
      <c r="J56">
        <f t="shared" si="21"/>
        <v>1134.0793061881704</v>
      </c>
      <c r="K56">
        <f t="shared" si="21"/>
        <v>1101.0478700856024</v>
      </c>
      <c r="L56">
        <f t="shared" si="21"/>
        <v>1068.9785146462161</v>
      </c>
      <c r="M56">
        <f t="shared" si="21"/>
        <v>1037.8432181031224</v>
      </c>
      <c r="N56">
        <f t="shared" si="21"/>
        <v>1007.6147748574003</v>
      </c>
      <c r="O56">
        <f t="shared" si="21"/>
        <v>978.26677170621383</v>
      </c>
      <c r="P56">
        <f t="shared" si="21"/>
        <v>949.77356476331454</v>
      </c>
      <c r="Q56">
        <f t="shared" si="21"/>
        <v>922.11025705176178</v>
      </c>
      <c r="R56">
        <f t="shared" si="21"/>
        <v>895.25267674928318</v>
      </c>
      <c r="S56">
        <f t="shared" si="21"/>
        <v>869.17735606726512</v>
      </c>
      <c r="T56">
        <f t="shared" si="21"/>
        <v>843.86151074491784</v>
      </c>
      <c r="U56">
        <f t="shared" si="21"/>
        <v>819.28302014069686</v>
      </c>
      <c r="V56">
        <f t="shared" si="21"/>
        <v>795.42040790358919</v>
      </c>
      <c r="W56">
        <f t="shared" si="21"/>
        <v>772.25282320736812</v>
      </c>
      <c r="X56">
        <f t="shared" si="21"/>
        <v>749.76002253142542</v>
      </c>
      <c r="Y56">
        <f t="shared" si="21"/>
        <v>727.92235197225773</v>
      </c>
      <c r="Z56">
        <f t="shared" si="21"/>
        <v>706.72073007015308</v>
      </c>
    </row>
    <row r="57" spans="3:27" x14ac:dyDescent="0.25">
      <c r="D57">
        <f>SUM(D56:K56)</f>
        <v>9790.8876638132497</v>
      </c>
      <c r="E57">
        <f t="shared" ref="E57:O57" si="22">SUM(E56:L56)</f>
        <v>9505.7161784594664</v>
      </c>
      <c r="F57">
        <f t="shared" si="22"/>
        <v>9228.8506586985113</v>
      </c>
      <c r="G57">
        <f t="shared" si="22"/>
        <v>8960.0491832024381</v>
      </c>
      <c r="H57">
        <f t="shared" si="22"/>
        <v>8699.0768768955713</v>
      </c>
      <c r="I57">
        <f t="shared" si="22"/>
        <v>8445.7057057238562</v>
      </c>
      <c r="J57">
        <f t="shared" si="22"/>
        <v>8199.7142774018012</v>
      </c>
      <c r="K57">
        <f t="shared" si="22"/>
        <v>7960.8876479629143</v>
      </c>
      <c r="L57">
        <f t="shared" si="22"/>
        <v>7729.0171339445778</v>
      </c>
      <c r="M57">
        <f t="shared" si="22"/>
        <v>7503.9001300432792</v>
      </c>
      <c r="N57">
        <f t="shared" si="22"/>
        <v>7285.3399320808539</v>
      </c>
      <c r="O57">
        <f t="shared" si="22"/>
        <v>7073.1455651270426</v>
      </c>
    </row>
    <row r="59" spans="3:27" x14ac:dyDescent="0.25">
      <c r="D59">
        <v>3000</v>
      </c>
      <c r="E59">
        <v>3000</v>
      </c>
      <c r="F59">
        <v>3000</v>
      </c>
      <c r="G59">
        <v>3000</v>
      </c>
      <c r="H59">
        <v>3000</v>
      </c>
      <c r="I59">
        <v>3000</v>
      </c>
      <c r="J59">
        <v>3000</v>
      </c>
      <c r="K59">
        <v>3000</v>
      </c>
      <c r="L59">
        <v>3000</v>
      </c>
      <c r="M59">
        <v>3000</v>
      </c>
      <c r="N59">
        <v>3000</v>
      </c>
      <c r="O59">
        <v>3000</v>
      </c>
      <c r="P59">
        <v>3000</v>
      </c>
      <c r="Q59">
        <v>3000</v>
      </c>
      <c r="R59">
        <v>3000</v>
      </c>
      <c r="S59">
        <v>3000</v>
      </c>
      <c r="T59">
        <v>3000</v>
      </c>
      <c r="U59">
        <v>3000</v>
      </c>
      <c r="V59">
        <v>3000</v>
      </c>
      <c r="W59">
        <v>3000</v>
      </c>
      <c r="X59">
        <v>3000</v>
      </c>
      <c r="Y59">
        <v>3000</v>
      </c>
      <c r="Z59">
        <v>3000</v>
      </c>
      <c r="AA59">
        <v>3000</v>
      </c>
    </row>
    <row r="60" spans="3:27" x14ac:dyDescent="0.25">
      <c r="D60">
        <f>D59/1.03^(D37-2019)</f>
        <v>3000</v>
      </c>
      <c r="E60">
        <f t="shared" ref="E60:Z60" si="23">E59/1.03^(E37-2019)</f>
        <v>2912.6213592233007</v>
      </c>
      <c r="F60">
        <f t="shared" si="23"/>
        <v>2827.7877274012631</v>
      </c>
      <c r="G60">
        <f t="shared" si="23"/>
        <v>2745.4249780594787</v>
      </c>
      <c r="H60">
        <f t="shared" si="23"/>
        <v>2665.4611437470671</v>
      </c>
      <c r="I60">
        <f t="shared" si="23"/>
        <v>2587.8263531524922</v>
      </c>
      <c r="J60">
        <f t="shared" si="23"/>
        <v>2512.4527700509634</v>
      </c>
      <c r="K60">
        <f t="shared" si="23"/>
        <v>2439.2745340300612</v>
      </c>
      <c r="L60">
        <f t="shared" si="23"/>
        <v>2368.2277029418074</v>
      </c>
      <c r="M60">
        <f t="shared" si="23"/>
        <v>2299.2501970308808</v>
      </c>
      <c r="N60">
        <f t="shared" si="23"/>
        <v>2232.2817446901754</v>
      </c>
      <c r="O60">
        <f t="shared" si="23"/>
        <v>2167.2638297962867</v>
      </c>
      <c r="P60">
        <f t="shared" si="23"/>
        <v>2104.1396405789196</v>
      </c>
      <c r="Q60">
        <f t="shared" si="23"/>
        <v>2042.8540199795336</v>
      </c>
      <c r="R60">
        <f t="shared" si="23"/>
        <v>1983.3534174558577</v>
      </c>
      <c r="S60">
        <f t="shared" si="23"/>
        <v>1925.585842190153</v>
      </c>
      <c r="T60">
        <f t="shared" si="23"/>
        <v>1869.500817660343</v>
      </c>
      <c r="U60">
        <f t="shared" si="23"/>
        <v>1815.0493375343137</v>
      </c>
      <c r="V60">
        <f t="shared" si="23"/>
        <v>1762.1838228488482</v>
      </c>
      <c r="W60">
        <f t="shared" si="23"/>
        <v>1710.858080435775</v>
      </c>
      <c r="X60">
        <f t="shared" si="23"/>
        <v>1661.0272625590048</v>
      </c>
      <c r="Y60">
        <f t="shared" si="23"/>
        <v>1612.6478277271895</v>
      </c>
      <c r="Z60">
        <f t="shared" si="23"/>
        <v>1565.6775026477567</v>
      </c>
    </row>
    <row r="61" spans="3:27" x14ac:dyDescent="0.25">
      <c r="D61">
        <f>SUM(D60:K60)</f>
        <v>21690.848865664626</v>
      </c>
      <c r="E61">
        <f t="shared" ref="E61:O61" si="24">SUM(E60:L60)</f>
        <v>21059.076568606433</v>
      </c>
      <c r="F61">
        <f t="shared" si="24"/>
        <v>20445.705406414014</v>
      </c>
      <c r="G61">
        <f t="shared" si="24"/>
        <v>19850.199423702925</v>
      </c>
      <c r="H61">
        <f t="shared" si="24"/>
        <v>19272.038275439732</v>
      </c>
      <c r="I61">
        <f t="shared" si="24"/>
        <v>18710.716772271586</v>
      </c>
      <c r="J61">
        <f t="shared" si="24"/>
        <v>18165.744439098631</v>
      </c>
      <c r="K61">
        <f t="shared" si="24"/>
        <v>17636.645086503522</v>
      </c>
      <c r="L61">
        <f t="shared" si="24"/>
        <v>17122.956394663615</v>
      </c>
      <c r="M61">
        <f t="shared" si="24"/>
        <v>16624.229509382149</v>
      </c>
      <c r="N61">
        <f t="shared" si="24"/>
        <v>16140.02864988558</v>
      </c>
      <c r="O61">
        <f t="shared" si="24"/>
        <v>15669.930728044254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7"/>
  <sheetViews>
    <sheetView topLeftCell="A10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3.88671875" bestFit="1" customWidth="1"/>
    <col min="5" max="9" width="12.77734375" bestFit="1" customWidth="1"/>
    <col min="10" max="10" width="12.77734375" customWidth="1"/>
    <col min="11" max="15" width="12.77734375" bestFit="1" customWidth="1"/>
    <col min="16" max="16" width="10.5546875" bestFit="1" customWidth="1"/>
  </cols>
  <sheetData>
    <row r="4" spans="3:15" x14ac:dyDescent="0.25">
      <c r="C4" s="131" t="s">
        <v>366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62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98">
        <v>27843.852241504803</v>
      </c>
    </row>
    <row r="7" spans="3:15" x14ac:dyDescent="0.25">
      <c r="C7" s="243" t="s">
        <v>46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99">
        <f t="shared" si="0"/>
        <v>2784.3852241504806</v>
      </c>
    </row>
    <row r="8" spans="3:15" x14ac:dyDescent="0.25">
      <c r="C8" s="243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0">
        <f t="shared" si="1"/>
        <v>30628.237465655282</v>
      </c>
    </row>
    <row r="9" spans="3:15" x14ac:dyDescent="0.25">
      <c r="C9" s="243" t="s">
        <v>84</v>
      </c>
      <c r="D9" s="79">
        <v>20</v>
      </c>
      <c r="E9" s="90">
        <v>20</v>
      </c>
      <c r="F9" s="90">
        <v>20</v>
      </c>
      <c r="G9" s="90">
        <v>20</v>
      </c>
      <c r="H9" s="94">
        <v>20</v>
      </c>
      <c r="I9" s="94">
        <v>20</v>
      </c>
      <c r="J9" s="94">
        <v>20</v>
      </c>
      <c r="K9" s="95">
        <v>20</v>
      </c>
      <c r="L9" s="95">
        <v>20</v>
      </c>
      <c r="M9" s="95">
        <v>20</v>
      </c>
      <c r="N9" s="95">
        <v>20</v>
      </c>
      <c r="O9" s="101">
        <v>20</v>
      </c>
    </row>
    <row r="10" spans="3:15" x14ac:dyDescent="0.25">
      <c r="C10" s="243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101">
        <v>8</v>
      </c>
    </row>
    <row r="11" spans="3:15" x14ac:dyDescent="0.25">
      <c r="C11" s="243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101">
        <v>11.6</v>
      </c>
    </row>
    <row r="12" spans="3:15" x14ac:dyDescent="0.25">
      <c r="C12" s="243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101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4898.082885185283</v>
      </c>
      <c r="E14" s="90">
        <v>4755.4202768789164</v>
      </c>
      <c r="F14" s="90">
        <v>4616.9128901737031</v>
      </c>
      <c r="G14" s="90">
        <v>4482.4396991977701</v>
      </c>
      <c r="H14" s="94">
        <v>4351.8832031046313</v>
      </c>
      <c r="I14" s="94">
        <v>4225.1293234025543</v>
      </c>
      <c r="J14" s="94">
        <v>4102.0673042743247</v>
      </c>
      <c r="K14" s="95">
        <v>3982.5896158003156</v>
      </c>
      <c r="L14" s="95">
        <v>3866.591860000307</v>
      </c>
      <c r="M14" s="95">
        <v>3753.9726796119485</v>
      </c>
      <c r="N14" s="95">
        <v>3644.6336695261639</v>
      </c>
      <c r="O14" s="101">
        <v>3538.4792908021009</v>
      </c>
    </row>
    <row r="15" spans="3:15" x14ac:dyDescent="0.25">
      <c r="C15" s="243" t="s">
        <v>89</v>
      </c>
      <c r="D15" s="79">
        <f>3*100+2*300</f>
        <v>900</v>
      </c>
      <c r="E15" s="90">
        <f>D15*(1-$D$13)</f>
        <v>873</v>
      </c>
      <c r="F15" s="90">
        <f t="shared" ref="F15:O15" si="2">E15*(1-$D$13)</f>
        <v>846.81</v>
      </c>
      <c r="G15" s="90">
        <f t="shared" si="2"/>
        <v>821.40569999999991</v>
      </c>
      <c r="H15" s="94">
        <f t="shared" si="2"/>
        <v>796.76352899999983</v>
      </c>
      <c r="I15" s="94">
        <f t="shared" si="2"/>
        <v>772.86062312999979</v>
      </c>
      <c r="J15" s="94">
        <f t="shared" si="2"/>
        <v>749.67480443609975</v>
      </c>
      <c r="K15" s="95">
        <f t="shared" si="2"/>
        <v>727.18456030301672</v>
      </c>
      <c r="L15" s="95">
        <f t="shared" si="2"/>
        <v>705.36902349392619</v>
      </c>
      <c r="M15" s="95">
        <f t="shared" si="2"/>
        <v>684.20795278910839</v>
      </c>
      <c r="N15" s="95">
        <f t="shared" si="2"/>
        <v>663.68171420543513</v>
      </c>
      <c r="O15" s="101">
        <f t="shared" si="2"/>
        <v>643.77126277927209</v>
      </c>
    </row>
    <row r="16" spans="3:15" x14ac:dyDescent="0.25">
      <c r="C16" s="243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101">
        <v>16114.895830932232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101">
        <f t="shared" si="3"/>
        <v>4176.5778362257206</v>
      </c>
    </row>
    <row r="19" spans="3:15" x14ac:dyDescent="0.25">
      <c r="C19" s="244" t="s">
        <v>93</v>
      </c>
      <c r="D19" s="161">
        <f>D8+D14+D15+D16+D17-D18</f>
        <v>85057.823228460678</v>
      </c>
      <c r="E19" s="158">
        <f t="shared" ref="E19:O19" si="4">E8+E14+E15+E16+E17-E18</f>
        <v>76928.042735493058</v>
      </c>
      <c r="F19" s="158">
        <f t="shared" si="4"/>
        <v>77617.296830575782</v>
      </c>
      <c r="G19" s="158">
        <f t="shared" si="4"/>
        <v>72905.999302500742</v>
      </c>
      <c r="H19" s="159">
        <f t="shared" si="4"/>
        <v>68592.118358612381</v>
      </c>
      <c r="I19" s="159">
        <f t="shared" si="4"/>
        <v>64637.507481782792</v>
      </c>
      <c r="J19" s="159">
        <f t="shared" si="4"/>
        <v>61007.788299555315</v>
      </c>
      <c r="K19" s="162">
        <f t="shared" si="4"/>
        <v>57671.975125649828</v>
      </c>
      <c r="L19" s="162">
        <f t="shared" si="4"/>
        <v>54602.137007781334</v>
      </c>
      <c r="M19" s="162">
        <f t="shared" si="4"/>
        <v>51773.093532313062</v>
      </c>
      <c r="N19" s="162">
        <f t="shared" si="4"/>
        <v>49162.141011180196</v>
      </c>
      <c r="O19" s="172">
        <f t="shared" si="4"/>
        <v>46748.806013943169</v>
      </c>
    </row>
    <row r="20" spans="3:15" x14ac:dyDescent="0.25">
      <c r="C20" s="131" t="s">
        <v>370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51066</v>
      </c>
      <c r="E22" s="87">
        <v>51366</v>
      </c>
      <c r="F22" s="87">
        <v>51672</v>
      </c>
      <c r="G22" s="87">
        <v>51984.12</v>
      </c>
      <c r="H22" s="88">
        <v>52302.482400000001</v>
      </c>
      <c r="I22" s="88">
        <v>52627.212048000001</v>
      </c>
      <c r="J22" s="88">
        <v>52958.436288960002</v>
      </c>
      <c r="K22" s="89">
        <v>53296.285014739202</v>
      </c>
      <c r="L22" s="89">
        <v>53640.89071503398</v>
      </c>
      <c r="M22" s="89">
        <v>53992.388529334654</v>
      </c>
      <c r="N22" s="89">
        <v>54350.916299921344</v>
      </c>
      <c r="O22" s="107">
        <v>54716.614625919778</v>
      </c>
    </row>
    <row r="23" spans="3:15" x14ac:dyDescent="0.25">
      <c r="C23" s="102" t="s">
        <v>46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56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20</v>
      </c>
      <c r="E25" s="71">
        <f>D25</f>
        <v>20</v>
      </c>
      <c r="F25" s="71">
        <f t="shared" ref="F25:O25" si="5">E25</f>
        <v>20</v>
      </c>
      <c r="G25" s="80">
        <f t="shared" si="5"/>
        <v>20</v>
      </c>
      <c r="H25" s="72">
        <f t="shared" si="5"/>
        <v>20</v>
      </c>
      <c r="I25" s="72">
        <f t="shared" si="5"/>
        <v>20</v>
      </c>
      <c r="J25" s="72">
        <f t="shared" si="5"/>
        <v>20</v>
      </c>
      <c r="K25" s="73">
        <f t="shared" si="5"/>
        <v>20</v>
      </c>
      <c r="L25" s="73">
        <f t="shared" si="5"/>
        <v>20</v>
      </c>
      <c r="M25" s="73">
        <f t="shared" si="5"/>
        <v>20</v>
      </c>
      <c r="N25" s="73">
        <f t="shared" si="5"/>
        <v>20</v>
      </c>
      <c r="O25" s="103">
        <f t="shared" si="5"/>
        <v>20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19581.775327626499</v>
      </c>
      <c r="E30" s="71">
        <v>19011.432356918933</v>
      </c>
      <c r="F30" s="71">
        <v>18457.701317397023</v>
      </c>
      <c r="G30" s="80">
        <v>17920.098366404876</v>
      </c>
      <c r="H30" s="72">
        <v>17398.153753791143</v>
      </c>
      <c r="I30" s="72">
        <v>16891.411411447712</v>
      </c>
      <c r="J30" s="72">
        <v>16399.428554803602</v>
      </c>
      <c r="K30" s="73">
        <v>15921.775295925829</v>
      </c>
      <c r="L30" s="73">
        <v>15458.034267889156</v>
      </c>
      <c r="M30" s="73">
        <v>15007.800260086558</v>
      </c>
      <c r="N30" s="73">
        <v>14570.679864161708</v>
      </c>
      <c r="O30" s="103">
        <v>14146.291130254085</v>
      </c>
    </row>
    <row r="31" spans="3:15" x14ac:dyDescent="0.25">
      <c r="C31" s="102" t="s">
        <v>89</v>
      </c>
      <c r="D31" s="70">
        <f>5*1200+6*600</f>
        <v>9600</v>
      </c>
      <c r="E31" s="71">
        <f>D31*(1-$D$29)</f>
        <v>9312</v>
      </c>
      <c r="F31" s="71">
        <f t="shared" ref="F31:O31" si="6">E31*(1-$D$29)</f>
        <v>9032.64</v>
      </c>
      <c r="G31" s="80">
        <f t="shared" si="6"/>
        <v>8761.6607999999997</v>
      </c>
      <c r="H31" s="72">
        <f t="shared" si="6"/>
        <v>8498.8109759999988</v>
      </c>
      <c r="I31" s="72">
        <f t="shared" si="6"/>
        <v>8243.8466467199978</v>
      </c>
      <c r="J31" s="72">
        <f t="shared" si="6"/>
        <v>7996.5312473183976</v>
      </c>
      <c r="K31" s="73">
        <f t="shared" si="6"/>
        <v>7756.6353098988457</v>
      </c>
      <c r="L31" s="73">
        <f t="shared" si="6"/>
        <v>7523.9362506018797</v>
      </c>
      <c r="M31" s="73">
        <f t="shared" si="6"/>
        <v>7298.2181630838231</v>
      </c>
      <c r="N31" s="73">
        <f t="shared" si="6"/>
        <v>7079.2716181913083</v>
      </c>
      <c r="O31" s="103">
        <f t="shared" si="6"/>
        <v>6866.893469645569</v>
      </c>
    </row>
    <row r="32" spans="3:15" x14ac:dyDescent="0.25">
      <c r="C32" s="102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103">
        <v>15669.930728044254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103">
        <f t="shared" si="7"/>
        <v>257.50850511170893</v>
      </c>
    </row>
    <row r="34" spans="3:15" x14ac:dyDescent="0.25">
      <c r="C34" s="102" t="s">
        <v>87</v>
      </c>
      <c r="D34" s="79">
        <f>0.35*D22</f>
        <v>17873.099999999999</v>
      </c>
      <c r="E34" s="71">
        <f t="shared" ref="E34:O34" si="8">0.35*E22</f>
        <v>17978.099999999999</v>
      </c>
      <c r="F34" s="71">
        <f t="shared" si="8"/>
        <v>18085.199999999997</v>
      </c>
      <c r="G34" s="80">
        <f t="shared" si="8"/>
        <v>18194.441999999999</v>
      </c>
      <c r="H34" s="72">
        <f t="shared" si="8"/>
        <v>18305.868839999999</v>
      </c>
      <c r="I34" s="72">
        <f t="shared" si="8"/>
        <v>18419.5242168</v>
      </c>
      <c r="J34" s="72">
        <f t="shared" si="8"/>
        <v>18535.452701136001</v>
      </c>
      <c r="K34" s="73">
        <f t="shared" si="8"/>
        <v>18653.699755158719</v>
      </c>
      <c r="L34" s="73">
        <f t="shared" si="8"/>
        <v>18774.311750261892</v>
      </c>
      <c r="M34" s="73">
        <f t="shared" si="8"/>
        <v>18897.335985267127</v>
      </c>
      <c r="N34" s="73">
        <f t="shared" si="8"/>
        <v>19022.82070497247</v>
      </c>
      <c r="O34" s="103">
        <f t="shared" si="8"/>
        <v>19150.815119071922</v>
      </c>
    </row>
    <row r="35" spans="3:15" x14ac:dyDescent="0.25">
      <c r="C35" s="160" t="s">
        <v>93</v>
      </c>
      <c r="D35" s="163">
        <f>D24+D30+D31+D32-D34</f>
        <v>93499.524193291116</v>
      </c>
      <c r="E35" s="164">
        <f t="shared" ref="E35:O35" si="9">E24+E30+E31+E32-E34</f>
        <v>92234.408925525349</v>
      </c>
      <c r="F35" s="164">
        <f t="shared" si="9"/>
        <v>91017.446723811037</v>
      </c>
      <c r="G35" s="165">
        <f t="shared" si="9"/>
        <v>89847.448590107815</v>
      </c>
      <c r="H35" s="166">
        <f t="shared" si="9"/>
        <v>88723.264805230865</v>
      </c>
      <c r="I35" s="166">
        <f t="shared" si="9"/>
        <v>87643.783866439306</v>
      </c>
      <c r="J35" s="166">
        <f t="shared" si="9"/>
        <v>86607.931457940635</v>
      </c>
      <c r="K35" s="167">
        <f t="shared" si="9"/>
        <v>85614.669453382608</v>
      </c>
      <c r="L35" s="167">
        <f t="shared" si="9"/>
        <v>84662.99494943014</v>
      </c>
      <c r="M35" s="167">
        <f t="shared" si="9"/>
        <v>83751.939329553512</v>
      </c>
      <c r="N35" s="167">
        <f t="shared" si="9"/>
        <v>82880.567357179607</v>
      </c>
      <c r="O35" s="168">
        <f t="shared" si="9"/>
        <v>82047.97629738375</v>
      </c>
    </row>
    <row r="37" spans="3:15" x14ac:dyDescent="0.25">
      <c r="D37" s="193">
        <v>2019</v>
      </c>
      <c r="E37" s="193">
        <v>2020</v>
      </c>
      <c r="F37" s="193">
        <v>2021</v>
      </c>
      <c r="G37" s="193">
        <v>2022</v>
      </c>
      <c r="H37" s="193">
        <v>2023</v>
      </c>
      <c r="I37" s="193">
        <v>2024</v>
      </c>
      <c r="J37" s="193">
        <v>2025</v>
      </c>
      <c r="K37" s="193">
        <v>2026</v>
      </c>
      <c r="L37" s="193">
        <v>2027</v>
      </c>
      <c r="M37" s="193">
        <v>2028</v>
      </c>
      <c r="N37" s="193">
        <v>2029</v>
      </c>
      <c r="O37" s="193">
        <v>2030</v>
      </c>
    </row>
    <row r="38" spans="3:15" x14ac:dyDescent="0.25">
      <c r="C38" t="s">
        <v>299</v>
      </c>
      <c r="D38" s="30">
        <f>D19-D35</f>
        <v>-8441.7009648304374</v>
      </c>
      <c r="E38" s="30">
        <f t="shared" ref="E38:O38" si="10">E19-E35</f>
        <v>-15306.366190032291</v>
      </c>
      <c r="F38" s="30">
        <f t="shared" si="10"/>
        <v>-13400.149893235255</v>
      </c>
      <c r="G38" s="30">
        <f t="shared" si="10"/>
        <v>-16941.449287607073</v>
      </c>
      <c r="H38" s="30">
        <f t="shared" si="10"/>
        <v>-20131.146446618484</v>
      </c>
      <c r="I38" s="30">
        <f t="shared" si="10"/>
        <v>-23006.276384656514</v>
      </c>
      <c r="J38" s="30">
        <f t="shared" si="10"/>
        <v>-25600.143158385319</v>
      </c>
      <c r="K38" s="30">
        <f t="shared" si="10"/>
        <v>-27942.694327732781</v>
      </c>
      <c r="L38" s="30">
        <f t="shared" si="10"/>
        <v>-30060.857941648806</v>
      </c>
      <c r="M38" s="30">
        <f t="shared" si="10"/>
        <v>-31978.84579724045</v>
      </c>
      <c r="N38" s="30">
        <f t="shared" si="10"/>
        <v>-33718.426345999411</v>
      </c>
      <c r="O38" s="30">
        <f t="shared" si="10"/>
        <v>-35299.170283440581</v>
      </c>
    </row>
    <row r="57" spans="3:26" x14ac:dyDescent="0.25">
      <c r="D57">
        <v>2019</v>
      </c>
      <c r="E57">
        <v>2020</v>
      </c>
      <c r="F57">
        <v>2021</v>
      </c>
      <c r="G57">
        <v>2022</v>
      </c>
      <c r="H57">
        <v>2023</v>
      </c>
      <c r="I57">
        <v>2024</v>
      </c>
      <c r="J57">
        <v>2025</v>
      </c>
      <c r="K57">
        <v>2026</v>
      </c>
      <c r="L57">
        <v>2027</v>
      </c>
      <c r="M57">
        <v>2028</v>
      </c>
      <c r="N57">
        <v>2029</v>
      </c>
      <c r="O57">
        <v>2030</v>
      </c>
      <c r="P57">
        <v>2031</v>
      </c>
      <c r="Q57">
        <v>2032</v>
      </c>
      <c r="R57">
        <v>2033</v>
      </c>
      <c r="S57">
        <v>2034</v>
      </c>
      <c r="T57">
        <v>2035</v>
      </c>
      <c r="U57">
        <v>2036</v>
      </c>
      <c r="V57">
        <v>2037</v>
      </c>
      <c r="W57">
        <v>2038</v>
      </c>
      <c r="X57">
        <v>2039</v>
      </c>
      <c r="Y57">
        <v>2040</v>
      </c>
      <c r="Z57">
        <v>2041</v>
      </c>
    </row>
    <row r="58" spans="3:26" x14ac:dyDescent="0.25">
      <c r="C58" t="s">
        <v>98</v>
      </c>
      <c r="D58">
        <f>20*365</f>
        <v>7300</v>
      </c>
      <c r="E58">
        <f t="shared" ref="E58:Z58" si="11">60*365</f>
        <v>21900</v>
      </c>
      <c r="F58">
        <f t="shared" si="11"/>
        <v>21900</v>
      </c>
      <c r="G58">
        <f t="shared" si="11"/>
        <v>21900</v>
      </c>
      <c r="H58">
        <f t="shared" si="11"/>
        <v>21900</v>
      </c>
      <c r="I58">
        <f t="shared" si="11"/>
        <v>21900</v>
      </c>
      <c r="J58">
        <f t="shared" si="11"/>
        <v>21900</v>
      </c>
      <c r="K58">
        <f t="shared" si="11"/>
        <v>21900</v>
      </c>
      <c r="L58">
        <f t="shared" si="11"/>
        <v>21900</v>
      </c>
      <c r="M58">
        <f t="shared" si="11"/>
        <v>21900</v>
      </c>
      <c r="N58">
        <f t="shared" si="11"/>
        <v>21900</v>
      </c>
      <c r="O58">
        <f t="shared" si="11"/>
        <v>21900</v>
      </c>
      <c r="P58">
        <f t="shared" si="11"/>
        <v>21900</v>
      </c>
      <c r="Q58">
        <f t="shared" si="11"/>
        <v>21900</v>
      </c>
      <c r="R58">
        <f t="shared" si="11"/>
        <v>21900</v>
      </c>
      <c r="S58">
        <f t="shared" si="11"/>
        <v>21900</v>
      </c>
      <c r="T58">
        <f t="shared" si="11"/>
        <v>21900</v>
      </c>
      <c r="U58">
        <f t="shared" si="11"/>
        <v>21900</v>
      </c>
      <c r="V58">
        <f t="shared" si="11"/>
        <v>21900</v>
      </c>
      <c r="W58">
        <f t="shared" si="11"/>
        <v>21900</v>
      </c>
      <c r="X58">
        <f t="shared" si="11"/>
        <v>21900</v>
      </c>
      <c r="Y58">
        <f t="shared" si="11"/>
        <v>21900</v>
      </c>
      <c r="Z58">
        <f t="shared" si="11"/>
        <v>21900</v>
      </c>
    </row>
    <row r="59" spans="3:26" x14ac:dyDescent="0.25">
      <c r="C59" t="s">
        <v>99</v>
      </c>
      <c r="D59" s="31">
        <f>(D11/100)*D58</f>
        <v>846.8</v>
      </c>
      <c r="E59" s="31">
        <f>D59</f>
        <v>846.8</v>
      </c>
      <c r="F59" s="31">
        <f t="shared" ref="F59:Z60" si="12">E59</f>
        <v>846.8</v>
      </c>
      <c r="G59" s="31">
        <f t="shared" si="12"/>
        <v>846.8</v>
      </c>
      <c r="H59" s="31">
        <f t="shared" si="12"/>
        <v>846.8</v>
      </c>
      <c r="I59" s="31">
        <f t="shared" si="12"/>
        <v>846.8</v>
      </c>
      <c r="J59" s="31">
        <f t="shared" si="12"/>
        <v>846.8</v>
      </c>
      <c r="K59" s="31">
        <f t="shared" si="12"/>
        <v>846.8</v>
      </c>
      <c r="L59" s="31">
        <f t="shared" si="12"/>
        <v>846.8</v>
      </c>
      <c r="M59" s="31">
        <f t="shared" si="12"/>
        <v>846.8</v>
      </c>
      <c r="N59" s="31">
        <f t="shared" si="12"/>
        <v>846.8</v>
      </c>
      <c r="O59" s="31">
        <f t="shared" si="12"/>
        <v>846.8</v>
      </c>
      <c r="P59" s="31">
        <f t="shared" si="12"/>
        <v>846.8</v>
      </c>
      <c r="Q59" s="31">
        <f t="shared" si="12"/>
        <v>846.8</v>
      </c>
      <c r="R59" s="31">
        <f t="shared" si="12"/>
        <v>846.8</v>
      </c>
      <c r="S59" s="31">
        <f t="shared" si="12"/>
        <v>846.8</v>
      </c>
      <c r="T59" s="31">
        <f t="shared" si="12"/>
        <v>846.8</v>
      </c>
      <c r="U59" s="31">
        <f t="shared" si="12"/>
        <v>846.8</v>
      </c>
      <c r="V59" s="31">
        <f t="shared" si="12"/>
        <v>846.8</v>
      </c>
      <c r="W59" s="31">
        <f t="shared" si="12"/>
        <v>846.8</v>
      </c>
      <c r="X59" s="31">
        <f t="shared" si="12"/>
        <v>846.8</v>
      </c>
      <c r="Y59" s="31">
        <f t="shared" si="12"/>
        <v>846.8</v>
      </c>
      <c r="Z59" s="31">
        <f t="shared" si="12"/>
        <v>846.8</v>
      </c>
    </row>
    <row r="60" spans="3:26" x14ac:dyDescent="0.25">
      <c r="C60" t="s">
        <v>101</v>
      </c>
      <c r="D60">
        <f>D59*D12</f>
        <v>677.44</v>
      </c>
      <c r="E60">
        <f>D60</f>
        <v>677.44</v>
      </c>
      <c r="F60">
        <f t="shared" si="12"/>
        <v>677.44</v>
      </c>
      <c r="G60">
        <f t="shared" si="12"/>
        <v>677.44</v>
      </c>
      <c r="H60">
        <f t="shared" si="12"/>
        <v>677.44</v>
      </c>
      <c r="I60">
        <f t="shared" si="12"/>
        <v>677.44</v>
      </c>
      <c r="J60">
        <f t="shared" si="12"/>
        <v>677.44</v>
      </c>
      <c r="K60">
        <f t="shared" si="12"/>
        <v>677.44</v>
      </c>
      <c r="L60">
        <f t="shared" si="12"/>
        <v>677.44</v>
      </c>
      <c r="M60">
        <f t="shared" si="12"/>
        <v>677.44</v>
      </c>
      <c r="N60">
        <f t="shared" si="12"/>
        <v>677.44</v>
      </c>
      <c r="O60">
        <f t="shared" si="12"/>
        <v>677.44</v>
      </c>
      <c r="P60">
        <f t="shared" si="12"/>
        <v>677.44</v>
      </c>
      <c r="Q60">
        <f t="shared" si="12"/>
        <v>677.44</v>
      </c>
      <c r="R60">
        <f t="shared" si="12"/>
        <v>677.44</v>
      </c>
      <c r="S60">
        <f t="shared" si="12"/>
        <v>677.44</v>
      </c>
      <c r="T60">
        <f t="shared" si="12"/>
        <v>677.44</v>
      </c>
      <c r="U60">
        <f t="shared" si="12"/>
        <v>677.44</v>
      </c>
      <c r="V60">
        <f t="shared" si="12"/>
        <v>677.44</v>
      </c>
      <c r="W60">
        <f t="shared" si="12"/>
        <v>677.44</v>
      </c>
      <c r="X60">
        <f t="shared" si="12"/>
        <v>677.44</v>
      </c>
      <c r="Y60">
        <f t="shared" si="12"/>
        <v>677.44</v>
      </c>
      <c r="Z60">
        <f t="shared" si="12"/>
        <v>677.44</v>
      </c>
    </row>
    <row r="61" spans="3:26" x14ac:dyDescent="0.25">
      <c r="C61" t="s">
        <v>100</v>
      </c>
      <c r="D61">
        <f>D60/(1+$D$13)^(D57-2019)</f>
        <v>677.44</v>
      </c>
      <c r="E61">
        <f t="shared" ref="E61:Z61" si="13">E60/(1+$D$13)^(E57-2019)</f>
        <v>657.70873786407776</v>
      </c>
      <c r="F61">
        <f t="shared" si="13"/>
        <v>638.55217268357069</v>
      </c>
      <c r="G61">
        <f t="shared" si="13"/>
        <v>619.95356571220452</v>
      </c>
      <c r="H61">
        <f t="shared" si="13"/>
        <v>601.89666574000444</v>
      </c>
      <c r="I61">
        <f t="shared" si="13"/>
        <v>584.36569489320823</v>
      </c>
      <c r="J61">
        <f t="shared" si="13"/>
        <v>567.34533484777489</v>
      </c>
      <c r="K61">
        <f t="shared" si="13"/>
        <v>550.82071344444159</v>
      </c>
      <c r="L61">
        <f t="shared" si="13"/>
        <v>534.77739169363269</v>
      </c>
      <c r="M61">
        <f t="shared" si="13"/>
        <v>519.20135115886671</v>
      </c>
      <c r="N61">
        <f t="shared" si="13"/>
        <v>504.07898170763758</v>
      </c>
      <c r="O61">
        <f t="shared" si="13"/>
        <v>489.39706961906558</v>
      </c>
      <c r="P61">
        <f t="shared" si="13"/>
        <v>475.14278603792781</v>
      </c>
      <c r="Q61">
        <f t="shared" si="13"/>
        <v>461.30367576497849</v>
      </c>
      <c r="R61">
        <f t="shared" si="13"/>
        <v>447.86764637376547</v>
      </c>
      <c r="S61">
        <f t="shared" si="13"/>
        <v>434.82295764443245</v>
      </c>
      <c r="T61">
        <f t="shared" si="13"/>
        <v>422.15821130527434</v>
      </c>
      <c r="U61">
        <f t="shared" si="13"/>
        <v>409.86234107308184</v>
      </c>
      <c r="V61">
        <f t="shared" si="13"/>
        <v>397.92460298357463</v>
      </c>
      <c r="W61">
        <f t="shared" si="13"/>
        <v>386.33456600347051</v>
      </c>
      <c r="X61">
        <f t="shared" si="13"/>
        <v>375.08210291599079</v>
      </c>
      <c r="Y61">
        <f t="shared" si="13"/>
        <v>364.15738147183578</v>
      </c>
      <c r="Z61">
        <f t="shared" si="13"/>
        <v>353.55085579789875</v>
      </c>
    </row>
    <row r="62" spans="3:26" x14ac:dyDescent="0.25">
      <c r="C62" t="s">
        <v>102</v>
      </c>
      <c r="D62">
        <f>SUM(D61:K61)</f>
        <v>4898.082885185283</v>
      </c>
      <c r="E62">
        <f>SUM(E61:L61)</f>
        <v>4755.4202768789164</v>
      </c>
      <c r="F62">
        <f>SUM(F61:M61)</f>
        <v>4616.9128901737031</v>
      </c>
      <c r="G62">
        <f>SUM(G61:N61)</f>
        <v>4482.4396991977701</v>
      </c>
      <c r="H62">
        <f>SUM(H61:O61)</f>
        <v>4351.8832031046313</v>
      </c>
      <c r="I62">
        <f t="shared" ref="I62:N62" si="14">SUM(I61:P61)</f>
        <v>4225.1293234025543</v>
      </c>
      <c r="J62">
        <f t="shared" si="14"/>
        <v>4102.0673042743247</v>
      </c>
      <c r="K62">
        <f t="shared" si="14"/>
        <v>3982.5896158003156</v>
      </c>
      <c r="L62">
        <f t="shared" si="14"/>
        <v>3866.591860000307</v>
      </c>
      <c r="M62">
        <f t="shared" si="14"/>
        <v>3753.9726796119485</v>
      </c>
      <c r="N62">
        <f t="shared" si="14"/>
        <v>3644.6336695261639</v>
      </c>
      <c r="O62">
        <f>SUM(O61:V61)</f>
        <v>3538.4792908021009</v>
      </c>
      <c r="P62">
        <f>SUM(P61:W61)</f>
        <v>3435.4167871865052</v>
      </c>
      <c r="Q62">
        <f>SUM(Q61:X61)</f>
        <v>3335.3561040645682</v>
      </c>
      <c r="R62">
        <f>SUM(R61:Y61)</f>
        <v>3238.2098097714256</v>
      </c>
      <c r="S62">
        <f>SUM(S61:Z61)</f>
        <v>3143.8930191955592</v>
      </c>
      <c r="T62">
        <f t="shared" ref="T62:Z62" si="15">SUM(T41:AA41)</f>
        <v>0</v>
      </c>
      <c r="U62">
        <f t="shared" si="15"/>
        <v>0</v>
      </c>
      <c r="V62">
        <f t="shared" si="15"/>
        <v>0</v>
      </c>
      <c r="W62">
        <f t="shared" si="15"/>
        <v>0</v>
      </c>
      <c r="X62">
        <f t="shared" si="15"/>
        <v>0</v>
      </c>
      <c r="Y62">
        <f t="shared" si="15"/>
        <v>0</v>
      </c>
      <c r="Z62">
        <f t="shared" si="15"/>
        <v>0</v>
      </c>
    </row>
    <row r="64" spans="3:26" x14ac:dyDescent="0.25">
      <c r="C64" t="s">
        <v>103</v>
      </c>
      <c r="D64">
        <f>400</f>
        <v>400</v>
      </c>
    </row>
    <row r="68" spans="3:26" x14ac:dyDescent="0.25">
      <c r="C68" t="s">
        <v>104</v>
      </c>
      <c r="D68">
        <v>3500</v>
      </c>
      <c r="E68">
        <v>3500</v>
      </c>
      <c r="F68">
        <v>3500</v>
      </c>
      <c r="G68">
        <v>3500</v>
      </c>
      <c r="H68">
        <v>3500</v>
      </c>
      <c r="I68">
        <v>3500</v>
      </c>
      <c r="J68">
        <v>3500</v>
      </c>
      <c r="K68">
        <v>3500</v>
      </c>
      <c r="L68">
        <v>3500</v>
      </c>
      <c r="M68">
        <v>3500</v>
      </c>
      <c r="N68">
        <v>3500</v>
      </c>
      <c r="O68">
        <v>3500</v>
      </c>
      <c r="P68">
        <v>3500</v>
      </c>
      <c r="Q68">
        <v>3500</v>
      </c>
      <c r="R68">
        <v>3500</v>
      </c>
      <c r="S68">
        <v>3500</v>
      </c>
      <c r="T68">
        <v>3500</v>
      </c>
      <c r="U68">
        <v>3500</v>
      </c>
      <c r="V68">
        <v>3500</v>
      </c>
      <c r="W68">
        <v>3500</v>
      </c>
      <c r="X68">
        <v>3500</v>
      </c>
      <c r="Y68">
        <v>3500</v>
      </c>
      <c r="Z68">
        <v>3500</v>
      </c>
    </row>
    <row r="69" spans="3:26" x14ac:dyDescent="0.25">
      <c r="C69" t="s">
        <v>105</v>
      </c>
      <c r="D69">
        <f>D68/(1+$D$13)^(D57-2019)</f>
        <v>3500</v>
      </c>
      <c r="E69">
        <f t="shared" ref="E69:Z69" si="16">E68/(1+$D$13)^(E57-2019)</f>
        <v>3398.0582524271845</v>
      </c>
      <c r="F69">
        <f t="shared" si="16"/>
        <v>3299.0856819681403</v>
      </c>
      <c r="G69">
        <f t="shared" si="16"/>
        <v>3202.9958077360584</v>
      </c>
      <c r="H69">
        <f t="shared" si="16"/>
        <v>3109.7046677049116</v>
      </c>
      <c r="I69">
        <f t="shared" si="16"/>
        <v>3019.1307453445743</v>
      </c>
      <c r="J69">
        <f t="shared" si="16"/>
        <v>2931.1948983927905</v>
      </c>
      <c r="K69">
        <f t="shared" si="16"/>
        <v>2845.8202897017381</v>
      </c>
      <c r="L69">
        <f t="shared" si="16"/>
        <v>2762.9323200987751</v>
      </c>
      <c r="M69">
        <f t="shared" si="16"/>
        <v>2682.4585632026942</v>
      </c>
      <c r="N69">
        <f t="shared" si="16"/>
        <v>2604.3287021385381</v>
      </c>
      <c r="O69">
        <f t="shared" si="16"/>
        <v>2528.4744680956678</v>
      </c>
      <c r="P69">
        <f t="shared" si="16"/>
        <v>2454.8295806754063</v>
      </c>
      <c r="Q69">
        <f t="shared" si="16"/>
        <v>2383.3296899761226</v>
      </c>
      <c r="R69">
        <f t="shared" si="16"/>
        <v>2313.9123203651675</v>
      </c>
      <c r="S69">
        <f t="shared" si="16"/>
        <v>2246.5168158885117</v>
      </c>
      <c r="T69">
        <f t="shared" si="16"/>
        <v>2181.0842872704002</v>
      </c>
      <c r="U69">
        <f t="shared" si="16"/>
        <v>2117.5575604566993</v>
      </c>
      <c r="V69">
        <f t="shared" si="16"/>
        <v>2055.8811266569896</v>
      </c>
      <c r="W69">
        <f t="shared" si="16"/>
        <v>1996.0010938417374</v>
      </c>
      <c r="X69">
        <f t="shared" si="16"/>
        <v>1937.8651396521723</v>
      </c>
      <c r="Y69">
        <f t="shared" si="16"/>
        <v>1881.422465681721</v>
      </c>
      <c r="Z69">
        <f t="shared" si="16"/>
        <v>1826.6237530890494</v>
      </c>
    </row>
    <row r="70" spans="3:26" x14ac:dyDescent="0.25">
      <c r="C70" t="s">
        <v>106</v>
      </c>
      <c r="D70">
        <f>SUM(D69:K69)</f>
        <v>25305.9903432754</v>
      </c>
      <c r="E70" s="145">
        <f>NPV(0.03,E69:L69)</f>
        <v>21657.07245861413</v>
      </c>
      <c r="F70" s="145">
        <f t="shared" ref="F70:O70" si="17">NPV(0.03,F69:M69)</f>
        <v>21026.283940402063</v>
      </c>
      <c r="G70" s="145">
        <f t="shared" si="17"/>
        <v>20413.867903302973</v>
      </c>
      <c r="H70" s="145">
        <f t="shared" si="17"/>
        <v>19819.289226507743</v>
      </c>
      <c r="I70" s="145">
        <f t="shared" si="17"/>
        <v>19242.028375250236</v>
      </c>
      <c r="J70" s="145">
        <f t="shared" si="17"/>
        <v>18681.58094684489</v>
      </c>
      <c r="K70" s="145">
        <f t="shared" si="17"/>
        <v>18137.457229946493</v>
      </c>
      <c r="L70" s="145">
        <f t="shared" si="17"/>
        <v>17609.181776647089</v>
      </c>
      <c r="M70" s="145">
        <f t="shared" si="17"/>
        <v>17096.292987036006</v>
      </c>
      <c r="N70" s="145">
        <f t="shared" si="17"/>
        <v>16598.342705860196</v>
      </c>
      <c r="O70" s="145">
        <f t="shared" si="17"/>
        <v>16114.895830932232</v>
      </c>
    </row>
    <row r="73" spans="3:26" x14ac:dyDescent="0.25">
      <c r="C73" t="s">
        <v>98</v>
      </c>
      <c r="D73">
        <f>20*365</f>
        <v>7300</v>
      </c>
      <c r="E73">
        <f t="shared" ref="E73:Z73" si="18">20*365</f>
        <v>7300</v>
      </c>
      <c r="F73">
        <f t="shared" si="18"/>
        <v>7300</v>
      </c>
      <c r="G73">
        <f t="shared" si="18"/>
        <v>7300</v>
      </c>
      <c r="H73">
        <f t="shared" si="18"/>
        <v>7300</v>
      </c>
      <c r="I73">
        <f t="shared" si="18"/>
        <v>7300</v>
      </c>
      <c r="J73">
        <f t="shared" si="18"/>
        <v>7300</v>
      </c>
      <c r="K73">
        <f t="shared" si="18"/>
        <v>7300</v>
      </c>
      <c r="L73">
        <f t="shared" si="18"/>
        <v>7300</v>
      </c>
      <c r="M73">
        <f t="shared" si="18"/>
        <v>7300</v>
      </c>
      <c r="N73">
        <f t="shared" si="18"/>
        <v>7300</v>
      </c>
      <c r="O73">
        <f t="shared" si="18"/>
        <v>7300</v>
      </c>
      <c r="P73">
        <f t="shared" si="18"/>
        <v>7300</v>
      </c>
      <c r="Q73">
        <f t="shared" si="18"/>
        <v>7300</v>
      </c>
      <c r="R73">
        <f t="shared" si="18"/>
        <v>7300</v>
      </c>
      <c r="S73">
        <f t="shared" si="18"/>
        <v>7300</v>
      </c>
      <c r="T73">
        <f t="shared" si="18"/>
        <v>7300</v>
      </c>
      <c r="U73">
        <f t="shared" si="18"/>
        <v>7300</v>
      </c>
      <c r="V73">
        <f t="shared" si="18"/>
        <v>7300</v>
      </c>
      <c r="W73">
        <f t="shared" si="18"/>
        <v>7300</v>
      </c>
      <c r="X73">
        <f t="shared" si="18"/>
        <v>7300</v>
      </c>
      <c r="Y73">
        <f t="shared" si="18"/>
        <v>7300</v>
      </c>
      <c r="Z73">
        <f t="shared" si="18"/>
        <v>7300</v>
      </c>
    </row>
    <row r="74" spans="3:26" x14ac:dyDescent="0.25">
      <c r="C74" t="s">
        <v>107</v>
      </c>
      <c r="D74" s="66">
        <f t="shared" ref="D74:O74" si="19">(D27/100)*D73</f>
        <v>386.9</v>
      </c>
      <c r="E74" s="66">
        <f t="shared" si="19"/>
        <v>386.9</v>
      </c>
      <c r="F74" s="66">
        <f t="shared" si="19"/>
        <v>386.9</v>
      </c>
      <c r="G74" s="66">
        <f t="shared" si="19"/>
        <v>386.9</v>
      </c>
      <c r="H74" s="66">
        <f t="shared" si="19"/>
        <v>386.9</v>
      </c>
      <c r="I74" s="66">
        <f t="shared" si="19"/>
        <v>386.9</v>
      </c>
      <c r="J74" s="66">
        <f t="shared" si="19"/>
        <v>386.9</v>
      </c>
      <c r="K74" s="66">
        <f t="shared" si="19"/>
        <v>386.9</v>
      </c>
      <c r="L74" s="66">
        <f t="shared" si="19"/>
        <v>386.9</v>
      </c>
      <c r="M74" s="66">
        <f t="shared" si="19"/>
        <v>386.9</v>
      </c>
      <c r="N74" s="66">
        <f t="shared" si="19"/>
        <v>386.9</v>
      </c>
      <c r="O74" s="66">
        <f t="shared" si="19"/>
        <v>386.9</v>
      </c>
      <c r="P74" s="66">
        <f>O74</f>
        <v>386.9</v>
      </c>
      <c r="Q74" s="66">
        <f t="shared" ref="Q74:Z74" si="20">P74</f>
        <v>386.9</v>
      </c>
      <c r="R74" s="66">
        <f t="shared" si="20"/>
        <v>386.9</v>
      </c>
      <c r="S74" s="66">
        <f t="shared" si="20"/>
        <v>386.9</v>
      </c>
      <c r="T74" s="66">
        <f t="shared" si="20"/>
        <v>386.9</v>
      </c>
      <c r="U74" s="66">
        <f t="shared" si="20"/>
        <v>386.9</v>
      </c>
      <c r="V74" s="66">
        <f t="shared" si="20"/>
        <v>386.9</v>
      </c>
      <c r="W74" s="66">
        <f t="shared" si="20"/>
        <v>386.9</v>
      </c>
      <c r="X74" s="66">
        <f t="shared" si="20"/>
        <v>386.9</v>
      </c>
      <c r="Y74" s="66">
        <f t="shared" si="20"/>
        <v>386.9</v>
      </c>
      <c r="Z74" s="66">
        <f t="shared" si="20"/>
        <v>386.9</v>
      </c>
    </row>
    <row r="75" spans="3:26" x14ac:dyDescent="0.25">
      <c r="C75" t="s">
        <v>108</v>
      </c>
      <c r="D75">
        <f>D74*$D$28</f>
        <v>2708.2999999999997</v>
      </c>
      <c r="E75">
        <f t="shared" ref="E75:Z75" si="21">E74*$D$28</f>
        <v>2708.2999999999997</v>
      </c>
      <c r="F75">
        <f t="shared" si="21"/>
        <v>2708.2999999999997</v>
      </c>
      <c r="G75">
        <f t="shared" si="21"/>
        <v>2708.2999999999997</v>
      </c>
      <c r="H75">
        <f t="shared" si="21"/>
        <v>2708.2999999999997</v>
      </c>
      <c r="I75">
        <f t="shared" si="21"/>
        <v>2708.2999999999997</v>
      </c>
      <c r="J75">
        <f t="shared" si="21"/>
        <v>2708.2999999999997</v>
      </c>
      <c r="K75">
        <f t="shared" si="21"/>
        <v>2708.2999999999997</v>
      </c>
      <c r="L75">
        <f t="shared" si="21"/>
        <v>2708.2999999999997</v>
      </c>
      <c r="M75">
        <f t="shared" si="21"/>
        <v>2708.2999999999997</v>
      </c>
      <c r="N75">
        <f t="shared" si="21"/>
        <v>2708.2999999999997</v>
      </c>
      <c r="O75">
        <f t="shared" si="21"/>
        <v>2708.2999999999997</v>
      </c>
      <c r="P75">
        <f t="shared" si="21"/>
        <v>2708.2999999999997</v>
      </c>
      <c r="Q75">
        <f t="shared" si="21"/>
        <v>2708.2999999999997</v>
      </c>
      <c r="R75">
        <f t="shared" si="21"/>
        <v>2708.2999999999997</v>
      </c>
      <c r="S75">
        <f t="shared" si="21"/>
        <v>2708.2999999999997</v>
      </c>
      <c r="T75">
        <f t="shared" si="21"/>
        <v>2708.2999999999997</v>
      </c>
      <c r="U75">
        <f t="shared" si="21"/>
        <v>2708.2999999999997</v>
      </c>
      <c r="V75">
        <f t="shared" si="21"/>
        <v>2708.2999999999997</v>
      </c>
      <c r="W75">
        <f t="shared" si="21"/>
        <v>2708.2999999999997</v>
      </c>
      <c r="X75">
        <f t="shared" si="21"/>
        <v>2708.2999999999997</v>
      </c>
      <c r="Y75">
        <f t="shared" si="21"/>
        <v>2708.2999999999997</v>
      </c>
      <c r="Z75">
        <f t="shared" si="21"/>
        <v>2708.2999999999997</v>
      </c>
    </row>
    <row r="76" spans="3:26" x14ac:dyDescent="0.25">
      <c r="D76">
        <f>D75/(1+$D$29)^(D57-2019)</f>
        <v>2708.2999999999997</v>
      </c>
      <c r="E76">
        <f t="shared" ref="E76:Z76" si="22">E75/(1+$D$29)^(E57-2019)</f>
        <v>2629.4174757281548</v>
      </c>
      <c r="F76">
        <f t="shared" si="22"/>
        <v>2552.8325007069466</v>
      </c>
      <c r="G76">
        <f t="shared" si="22"/>
        <v>2478.4781560261617</v>
      </c>
      <c r="H76">
        <f t="shared" si="22"/>
        <v>2406.2894718700604</v>
      </c>
      <c r="I76">
        <f t="shared" si="22"/>
        <v>2336.2033707476312</v>
      </c>
      <c r="J76">
        <f t="shared" si="22"/>
        <v>2268.1586123763409</v>
      </c>
      <c r="K76">
        <f t="shared" si="22"/>
        <v>2202.0957401712049</v>
      </c>
      <c r="L76">
        <f t="shared" si="22"/>
        <v>2137.9570292924323</v>
      </c>
      <c r="M76">
        <f t="shared" si="22"/>
        <v>2075.6864362062447</v>
      </c>
      <c r="N76">
        <f t="shared" si="22"/>
        <v>2015.2295497148007</v>
      </c>
      <c r="O76">
        <f t="shared" si="22"/>
        <v>1956.5335434124277</v>
      </c>
      <c r="P76">
        <f t="shared" si="22"/>
        <v>1899.5471295266291</v>
      </c>
      <c r="Q76">
        <f t="shared" si="22"/>
        <v>1844.2205141035236</v>
      </c>
      <c r="R76">
        <f t="shared" si="22"/>
        <v>1790.5053534985664</v>
      </c>
      <c r="S76">
        <f t="shared" si="22"/>
        <v>1738.3547121345302</v>
      </c>
      <c r="T76">
        <f t="shared" si="22"/>
        <v>1687.7230214898357</v>
      </c>
      <c r="U76">
        <f t="shared" si="22"/>
        <v>1638.5660402813937</v>
      </c>
      <c r="V76">
        <f t="shared" si="22"/>
        <v>1590.8408158071784</v>
      </c>
      <c r="W76">
        <f t="shared" si="22"/>
        <v>1544.5056464147362</v>
      </c>
      <c r="X76">
        <f t="shared" si="22"/>
        <v>1499.5200450628508</v>
      </c>
      <c r="Y76">
        <f t="shared" si="22"/>
        <v>1455.8447039445155</v>
      </c>
      <c r="Z76">
        <f t="shared" si="22"/>
        <v>1413.4414601403062</v>
      </c>
    </row>
    <row r="77" spans="3:26" x14ac:dyDescent="0.25">
      <c r="D77">
        <f>SUM(D76:K76)</f>
        <v>19581.775327626499</v>
      </c>
      <c r="E77">
        <f t="shared" ref="E77:O77" si="23">SUM(E76:L76)</f>
        <v>19011.432356918933</v>
      </c>
      <c r="F77">
        <f t="shared" si="23"/>
        <v>18457.701317397023</v>
      </c>
      <c r="G77">
        <f t="shared" si="23"/>
        <v>17920.098366404876</v>
      </c>
      <c r="H77">
        <f t="shared" si="23"/>
        <v>17398.153753791143</v>
      </c>
      <c r="I77">
        <f t="shared" si="23"/>
        <v>16891.411411447712</v>
      </c>
      <c r="J77">
        <f t="shared" si="23"/>
        <v>16399.428554803602</v>
      </c>
      <c r="K77">
        <f t="shared" si="23"/>
        <v>15921.775295925829</v>
      </c>
      <c r="L77">
        <f t="shared" si="23"/>
        <v>15458.034267889156</v>
      </c>
      <c r="M77">
        <f t="shared" si="23"/>
        <v>15007.800260086558</v>
      </c>
      <c r="N77">
        <f t="shared" si="23"/>
        <v>14570.679864161708</v>
      </c>
      <c r="O77">
        <f t="shared" si="23"/>
        <v>14146.291130254085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7"/>
  <sheetViews>
    <sheetView topLeftCell="A13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3.88671875" bestFit="1" customWidth="1"/>
    <col min="5" max="9" width="12.77734375" bestFit="1" customWidth="1"/>
    <col min="10" max="10" width="12.77734375" customWidth="1"/>
    <col min="11" max="15" width="12.77734375" bestFit="1" customWidth="1"/>
    <col min="16" max="16" width="10.5546875" bestFit="1" customWidth="1"/>
  </cols>
  <sheetData>
    <row r="4" spans="3:15" x14ac:dyDescent="0.25">
      <c r="C4" s="131" t="s">
        <v>366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55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98">
        <v>27843.852241504803</v>
      </c>
    </row>
    <row r="7" spans="3:15" x14ac:dyDescent="0.25">
      <c r="C7" s="243" t="s">
        <v>24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99">
        <f t="shared" si="0"/>
        <v>2784.3852241504806</v>
      </c>
    </row>
    <row r="8" spans="3:15" x14ac:dyDescent="0.25">
      <c r="C8" s="243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0">
        <f t="shared" si="1"/>
        <v>30628.237465655282</v>
      </c>
    </row>
    <row r="9" spans="3:15" x14ac:dyDescent="0.25">
      <c r="C9" s="243" t="s">
        <v>84</v>
      </c>
      <c r="D9" s="79">
        <v>30</v>
      </c>
      <c r="E9" s="79">
        <v>30</v>
      </c>
      <c r="F9" s="79">
        <v>30</v>
      </c>
      <c r="G9" s="79">
        <v>30</v>
      </c>
      <c r="H9" s="79">
        <v>30</v>
      </c>
      <c r="I9" s="79">
        <v>30</v>
      </c>
      <c r="J9" s="79">
        <v>30</v>
      </c>
      <c r="K9" s="79">
        <v>30</v>
      </c>
      <c r="L9" s="79">
        <v>30</v>
      </c>
      <c r="M9" s="79">
        <v>30</v>
      </c>
      <c r="N9" s="79">
        <v>30</v>
      </c>
      <c r="O9" s="79">
        <v>30</v>
      </c>
    </row>
    <row r="10" spans="3:15" x14ac:dyDescent="0.25">
      <c r="C10" s="243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101">
        <v>8</v>
      </c>
    </row>
    <row r="11" spans="3:15" x14ac:dyDescent="0.25">
      <c r="C11" s="243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101">
        <v>11.6</v>
      </c>
    </row>
    <row r="12" spans="3:15" x14ac:dyDescent="0.25">
      <c r="C12" s="243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101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7347.1243277779213</v>
      </c>
      <c r="E14" s="90">
        <v>7133.1304153183692</v>
      </c>
      <c r="F14" s="90">
        <v>6925.3693352605533</v>
      </c>
      <c r="G14" s="90">
        <v>6723.6595487966551</v>
      </c>
      <c r="H14" s="94">
        <v>6527.824804656947</v>
      </c>
      <c r="I14" s="94">
        <v>6337.6939851038305</v>
      </c>
      <c r="J14" s="94">
        <v>6153.1009564114856</v>
      </c>
      <c r="K14" s="95">
        <v>5973.8844237004723</v>
      </c>
      <c r="L14" s="95">
        <v>5799.8877900004591</v>
      </c>
      <c r="M14" s="95">
        <v>5630.9590194179218</v>
      </c>
      <c r="N14" s="95">
        <v>5466.9505042892442</v>
      </c>
      <c r="O14" s="101">
        <v>5307.7189362031495</v>
      </c>
    </row>
    <row r="15" spans="3:15" x14ac:dyDescent="0.25">
      <c r="C15" s="243" t="s">
        <v>89</v>
      </c>
      <c r="D15" s="79">
        <f>4*100+4*300</f>
        <v>1600</v>
      </c>
      <c r="E15" s="90">
        <f>D15*(1-$D$13)</f>
        <v>1552</v>
      </c>
      <c r="F15" s="90">
        <f t="shared" ref="F15:O15" si="2">E15*(1-$D$13)</f>
        <v>1505.44</v>
      </c>
      <c r="G15" s="90">
        <f t="shared" si="2"/>
        <v>1460.2768000000001</v>
      </c>
      <c r="H15" s="94">
        <f t="shared" si="2"/>
        <v>1416.468496</v>
      </c>
      <c r="I15" s="94">
        <f t="shared" si="2"/>
        <v>1373.9744411199999</v>
      </c>
      <c r="J15" s="94">
        <f t="shared" si="2"/>
        <v>1332.7552078863998</v>
      </c>
      <c r="K15" s="95">
        <f t="shared" si="2"/>
        <v>1292.7725516498078</v>
      </c>
      <c r="L15" s="95">
        <f t="shared" si="2"/>
        <v>1253.9893751003135</v>
      </c>
      <c r="M15" s="95">
        <f t="shared" si="2"/>
        <v>1216.369693847304</v>
      </c>
      <c r="N15" s="95">
        <f t="shared" si="2"/>
        <v>1179.8786030318849</v>
      </c>
      <c r="O15" s="101">
        <f t="shared" si="2"/>
        <v>1144.4822449409285</v>
      </c>
    </row>
    <row r="16" spans="3:15" x14ac:dyDescent="0.25">
      <c r="C16" s="243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101">
        <v>16114.895830932232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101">
        <f t="shared" si="3"/>
        <v>4176.5778362257206</v>
      </c>
    </row>
    <row r="19" spans="3:15" x14ac:dyDescent="0.25">
      <c r="C19" s="244" t="s">
        <v>93</v>
      </c>
      <c r="D19" s="161">
        <f>D8+D14+D15+D16+D17-D18</f>
        <v>88206.864671053307</v>
      </c>
      <c r="E19" s="158">
        <f t="shared" ref="E19:O19" si="4">E8+E14+E15+E16+E17-E18</f>
        <v>79984.752873932506</v>
      </c>
      <c r="F19" s="158">
        <f t="shared" si="4"/>
        <v>80584.383275662622</v>
      </c>
      <c r="G19" s="158">
        <f t="shared" si="4"/>
        <v>75786.090252099631</v>
      </c>
      <c r="H19" s="159">
        <f t="shared" si="4"/>
        <v>71387.764927164695</v>
      </c>
      <c r="I19" s="159">
        <f t="shared" si="4"/>
        <v>67351.185961474068</v>
      </c>
      <c r="J19" s="159">
        <f t="shared" si="4"/>
        <v>63641.902355142774</v>
      </c>
      <c r="K19" s="162">
        <f t="shared" si="4"/>
        <v>60228.85792489678</v>
      </c>
      <c r="L19" s="162">
        <f t="shared" si="4"/>
        <v>57084.05328938787</v>
      </c>
      <c r="M19" s="162">
        <f t="shared" si="4"/>
        <v>54182.241613177226</v>
      </c>
      <c r="N19" s="162">
        <f t="shared" si="4"/>
        <v>51500.654734769727</v>
      </c>
      <c r="O19" s="172">
        <f t="shared" si="4"/>
        <v>49018.756641505875</v>
      </c>
    </row>
    <row r="20" spans="3:15" x14ac:dyDescent="0.25">
      <c r="C20" s="131" t="s">
        <v>370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51066</v>
      </c>
      <c r="E22" s="87">
        <v>51366</v>
      </c>
      <c r="F22" s="87">
        <v>51672</v>
      </c>
      <c r="G22" s="87">
        <v>51984.12</v>
      </c>
      <c r="H22" s="88">
        <v>52302.482400000001</v>
      </c>
      <c r="I22" s="88">
        <v>52627.212048000001</v>
      </c>
      <c r="J22" s="88">
        <v>52958.436288960002</v>
      </c>
      <c r="K22" s="89">
        <v>53296.285014739202</v>
      </c>
      <c r="L22" s="89">
        <v>53640.89071503398</v>
      </c>
      <c r="M22" s="89">
        <v>53992.388529334654</v>
      </c>
      <c r="N22" s="89">
        <v>54350.916299921344</v>
      </c>
      <c r="O22" s="107">
        <v>54716.614625919778</v>
      </c>
    </row>
    <row r="23" spans="3:15" x14ac:dyDescent="0.25">
      <c r="C23" s="102" t="s">
        <v>24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48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30</v>
      </c>
      <c r="E25" s="71">
        <f>D25</f>
        <v>30</v>
      </c>
      <c r="F25" s="71">
        <f t="shared" ref="F25:O25" si="5">E25</f>
        <v>30</v>
      </c>
      <c r="G25" s="80">
        <f t="shared" si="5"/>
        <v>30</v>
      </c>
      <c r="H25" s="72">
        <f t="shared" si="5"/>
        <v>30</v>
      </c>
      <c r="I25" s="72">
        <f t="shared" si="5"/>
        <v>30</v>
      </c>
      <c r="J25" s="72">
        <f t="shared" si="5"/>
        <v>30</v>
      </c>
      <c r="K25" s="73">
        <f t="shared" si="5"/>
        <v>30</v>
      </c>
      <c r="L25" s="73">
        <f t="shared" si="5"/>
        <v>30</v>
      </c>
      <c r="M25" s="73">
        <f t="shared" si="5"/>
        <v>30</v>
      </c>
      <c r="N25" s="73">
        <f t="shared" si="5"/>
        <v>30</v>
      </c>
      <c r="O25" s="103">
        <f t="shared" si="5"/>
        <v>30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29372.662991439756</v>
      </c>
      <c r="E30" s="71">
        <v>28517.148535378405</v>
      </c>
      <c r="F30" s="71">
        <v>27686.551976095539</v>
      </c>
      <c r="G30" s="80">
        <v>26880.147549607322</v>
      </c>
      <c r="H30" s="72">
        <v>26097.230630686718</v>
      </c>
      <c r="I30" s="72">
        <v>25337.117117171572</v>
      </c>
      <c r="J30" s="72">
        <v>24599.142832205409</v>
      </c>
      <c r="K30" s="73">
        <v>23882.662943888747</v>
      </c>
      <c r="L30" s="73">
        <v>23187.051401833731</v>
      </c>
      <c r="M30" s="73">
        <v>22511.700390129841</v>
      </c>
      <c r="N30" s="73">
        <v>21856.019796242563</v>
      </c>
      <c r="O30" s="103">
        <v>21219.43669538113</v>
      </c>
    </row>
    <row r="31" spans="3:15" x14ac:dyDescent="0.25">
      <c r="C31" s="102" t="s">
        <v>89</v>
      </c>
      <c r="D31" s="70">
        <f>8*1200+9*600</f>
        <v>15000</v>
      </c>
      <c r="E31" s="71">
        <f>D31*(1-$D$29)</f>
        <v>14550</v>
      </c>
      <c r="F31" s="71">
        <f t="shared" ref="F31:O31" si="6">E31*(1-$D$29)</f>
        <v>14113.5</v>
      </c>
      <c r="G31" s="80">
        <f t="shared" si="6"/>
        <v>13690.094999999999</v>
      </c>
      <c r="H31" s="72">
        <f t="shared" si="6"/>
        <v>13279.39215</v>
      </c>
      <c r="I31" s="72">
        <f t="shared" si="6"/>
        <v>12881.0103855</v>
      </c>
      <c r="J31" s="72">
        <f t="shared" si="6"/>
        <v>12494.580073935</v>
      </c>
      <c r="K31" s="73">
        <f t="shared" si="6"/>
        <v>12119.742671716949</v>
      </c>
      <c r="L31" s="73">
        <f t="shared" si="6"/>
        <v>11756.150391565441</v>
      </c>
      <c r="M31" s="73">
        <f t="shared" si="6"/>
        <v>11403.465879818477</v>
      </c>
      <c r="N31" s="73">
        <f t="shared" si="6"/>
        <v>11061.361903423922</v>
      </c>
      <c r="O31" s="103">
        <f t="shared" si="6"/>
        <v>10729.521046321204</v>
      </c>
    </row>
    <row r="32" spans="3:15" x14ac:dyDescent="0.25">
      <c r="C32" s="102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103">
        <v>15669.930728044254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103">
        <f t="shared" si="7"/>
        <v>257.50850511170893</v>
      </c>
    </row>
    <row r="34" spans="3:15" x14ac:dyDescent="0.25">
      <c r="C34" s="102" t="s">
        <v>87</v>
      </c>
      <c r="D34" s="79">
        <f>0.35*D22</f>
        <v>17873.099999999999</v>
      </c>
      <c r="E34" s="71">
        <f t="shared" ref="E34:O34" si="8">0.35*E22</f>
        <v>17978.099999999999</v>
      </c>
      <c r="F34" s="71">
        <f t="shared" si="8"/>
        <v>18085.199999999997</v>
      </c>
      <c r="G34" s="80">
        <f t="shared" si="8"/>
        <v>18194.441999999999</v>
      </c>
      <c r="H34" s="72">
        <f t="shared" si="8"/>
        <v>18305.868839999999</v>
      </c>
      <c r="I34" s="72">
        <f t="shared" si="8"/>
        <v>18419.5242168</v>
      </c>
      <c r="J34" s="72">
        <f t="shared" si="8"/>
        <v>18535.452701136001</v>
      </c>
      <c r="K34" s="73">
        <f t="shared" si="8"/>
        <v>18653.699755158719</v>
      </c>
      <c r="L34" s="73">
        <f t="shared" si="8"/>
        <v>18774.311750261892</v>
      </c>
      <c r="M34" s="73">
        <f t="shared" si="8"/>
        <v>18897.335985267127</v>
      </c>
      <c r="N34" s="73">
        <f t="shared" si="8"/>
        <v>19022.82070497247</v>
      </c>
      <c r="O34" s="103">
        <f t="shared" si="8"/>
        <v>19150.815119071922</v>
      </c>
    </row>
    <row r="35" spans="3:15" x14ac:dyDescent="0.25">
      <c r="C35" s="160" t="s">
        <v>93</v>
      </c>
      <c r="D35" s="163">
        <f>D24+D30+D31+D32-D34</f>
        <v>108690.41185710437</v>
      </c>
      <c r="E35" s="164">
        <f t="shared" ref="E35:O35" si="9">E24+E30+E31+E32-E34</f>
        <v>106978.12510398484</v>
      </c>
      <c r="F35" s="164">
        <f t="shared" si="9"/>
        <v>105327.15738250955</v>
      </c>
      <c r="G35" s="165">
        <f t="shared" si="9"/>
        <v>103735.93197331026</v>
      </c>
      <c r="H35" s="166">
        <f t="shared" si="9"/>
        <v>102202.92285612646</v>
      </c>
      <c r="I35" s="166">
        <f t="shared" si="9"/>
        <v>100726.65331094316</v>
      </c>
      <c r="J35" s="166">
        <f t="shared" si="9"/>
        <v>99305.694561959041</v>
      </c>
      <c r="K35" s="167">
        <f t="shared" si="9"/>
        <v>97938.664463163615</v>
      </c>
      <c r="L35" s="167">
        <f t="shared" si="9"/>
        <v>96624.226224338287</v>
      </c>
      <c r="M35" s="167">
        <f t="shared" si="9"/>
        <v>95361.087176331464</v>
      </c>
      <c r="N35" s="167">
        <f t="shared" si="9"/>
        <v>94147.997574493071</v>
      </c>
      <c r="O35" s="168">
        <f t="shared" si="9"/>
        <v>92983.749439186417</v>
      </c>
    </row>
    <row r="37" spans="3:15" x14ac:dyDescent="0.25">
      <c r="D37" s="193">
        <v>2019</v>
      </c>
      <c r="E37" s="193">
        <v>2020</v>
      </c>
      <c r="F37" s="193">
        <v>2021</v>
      </c>
      <c r="G37" s="193">
        <v>2022</v>
      </c>
      <c r="H37" s="193">
        <v>2023</v>
      </c>
      <c r="I37" s="193">
        <v>2024</v>
      </c>
      <c r="J37" s="193">
        <v>2025</v>
      </c>
      <c r="K37" s="193">
        <v>2026</v>
      </c>
      <c r="L37" s="193">
        <v>2027</v>
      </c>
      <c r="M37" s="193">
        <v>2028</v>
      </c>
      <c r="N37" s="193">
        <v>2029</v>
      </c>
      <c r="O37" s="193">
        <v>2030</v>
      </c>
    </row>
    <row r="38" spans="3:15" x14ac:dyDescent="0.25">
      <c r="C38" t="s">
        <v>299</v>
      </c>
      <c r="D38" s="30">
        <f>D19-D35</f>
        <v>-20483.547186051059</v>
      </c>
      <c r="E38" s="30">
        <f t="shared" ref="E38:O38" si="10">E19-E35</f>
        <v>-26993.372230052337</v>
      </c>
      <c r="F38" s="30">
        <f t="shared" si="10"/>
        <v>-24742.774106846933</v>
      </c>
      <c r="G38" s="30">
        <f t="shared" si="10"/>
        <v>-27949.841721210629</v>
      </c>
      <c r="H38" s="30">
        <f t="shared" si="10"/>
        <v>-30815.157928961766</v>
      </c>
      <c r="I38" s="30">
        <f t="shared" si="10"/>
        <v>-33375.467349469094</v>
      </c>
      <c r="J38" s="30">
        <f t="shared" si="10"/>
        <v>-35663.792206816266</v>
      </c>
      <c r="K38" s="30">
        <f t="shared" si="10"/>
        <v>-37709.806538266836</v>
      </c>
      <c r="L38" s="30">
        <f t="shared" si="10"/>
        <v>-39540.172934950417</v>
      </c>
      <c r="M38" s="30">
        <f t="shared" si="10"/>
        <v>-41178.845563154238</v>
      </c>
      <c r="N38" s="30">
        <f t="shared" si="10"/>
        <v>-42647.342839723344</v>
      </c>
      <c r="O38" s="30">
        <f t="shared" si="10"/>
        <v>-43964.992797680541</v>
      </c>
    </row>
    <row r="57" spans="3:26" x14ac:dyDescent="0.25">
      <c r="D57">
        <v>2019</v>
      </c>
      <c r="E57">
        <v>2020</v>
      </c>
      <c r="F57">
        <v>2021</v>
      </c>
      <c r="G57">
        <v>2022</v>
      </c>
      <c r="H57">
        <v>2023</v>
      </c>
      <c r="I57">
        <v>2024</v>
      </c>
      <c r="J57">
        <v>2025</v>
      </c>
      <c r="K57">
        <v>2026</v>
      </c>
      <c r="L57">
        <v>2027</v>
      </c>
      <c r="M57">
        <v>2028</v>
      </c>
      <c r="N57">
        <v>2029</v>
      </c>
      <c r="O57">
        <v>2030</v>
      </c>
      <c r="P57">
        <v>2031</v>
      </c>
      <c r="Q57">
        <v>2032</v>
      </c>
      <c r="R57">
        <v>2033</v>
      </c>
      <c r="S57">
        <v>2034</v>
      </c>
      <c r="T57">
        <v>2035</v>
      </c>
      <c r="U57">
        <v>2036</v>
      </c>
      <c r="V57">
        <v>2037</v>
      </c>
      <c r="W57">
        <v>2038</v>
      </c>
      <c r="X57">
        <v>2039</v>
      </c>
      <c r="Y57">
        <v>2040</v>
      </c>
      <c r="Z57">
        <v>2041</v>
      </c>
    </row>
    <row r="58" spans="3:26" x14ac:dyDescent="0.25">
      <c r="C58" t="s">
        <v>98</v>
      </c>
      <c r="D58">
        <f>30*365</f>
        <v>10950</v>
      </c>
      <c r="E58">
        <f t="shared" ref="E58:Z58" si="11">30*365</f>
        <v>10950</v>
      </c>
      <c r="F58">
        <f t="shared" si="11"/>
        <v>10950</v>
      </c>
      <c r="G58">
        <f t="shared" si="11"/>
        <v>10950</v>
      </c>
      <c r="H58">
        <f t="shared" si="11"/>
        <v>10950</v>
      </c>
      <c r="I58">
        <f t="shared" si="11"/>
        <v>10950</v>
      </c>
      <c r="J58">
        <f t="shared" si="11"/>
        <v>10950</v>
      </c>
      <c r="K58">
        <f t="shared" si="11"/>
        <v>10950</v>
      </c>
      <c r="L58">
        <f t="shared" si="11"/>
        <v>10950</v>
      </c>
      <c r="M58">
        <f t="shared" si="11"/>
        <v>10950</v>
      </c>
      <c r="N58">
        <f t="shared" si="11"/>
        <v>10950</v>
      </c>
      <c r="O58">
        <f t="shared" si="11"/>
        <v>10950</v>
      </c>
      <c r="P58">
        <f t="shared" si="11"/>
        <v>10950</v>
      </c>
      <c r="Q58">
        <f t="shared" si="11"/>
        <v>10950</v>
      </c>
      <c r="R58">
        <f t="shared" si="11"/>
        <v>10950</v>
      </c>
      <c r="S58">
        <f t="shared" si="11"/>
        <v>10950</v>
      </c>
      <c r="T58">
        <f t="shared" si="11"/>
        <v>10950</v>
      </c>
      <c r="U58">
        <f t="shared" si="11"/>
        <v>10950</v>
      </c>
      <c r="V58">
        <f t="shared" si="11"/>
        <v>10950</v>
      </c>
      <c r="W58">
        <f t="shared" si="11"/>
        <v>10950</v>
      </c>
      <c r="X58">
        <f t="shared" si="11"/>
        <v>10950</v>
      </c>
      <c r="Y58">
        <f t="shared" si="11"/>
        <v>10950</v>
      </c>
      <c r="Z58">
        <f t="shared" si="11"/>
        <v>10950</v>
      </c>
    </row>
    <row r="59" spans="3:26" x14ac:dyDescent="0.25">
      <c r="C59" t="s">
        <v>99</v>
      </c>
      <c r="D59" s="31">
        <f>(D11/100)*D58</f>
        <v>1270.1999999999998</v>
      </c>
      <c r="E59" s="31">
        <f>D59</f>
        <v>1270.1999999999998</v>
      </c>
      <c r="F59" s="31">
        <f t="shared" ref="F59:U60" si="12">E59</f>
        <v>1270.1999999999998</v>
      </c>
      <c r="G59" s="31">
        <f t="shared" si="12"/>
        <v>1270.1999999999998</v>
      </c>
      <c r="H59" s="31">
        <f t="shared" si="12"/>
        <v>1270.1999999999998</v>
      </c>
      <c r="I59" s="31">
        <f t="shared" si="12"/>
        <v>1270.1999999999998</v>
      </c>
      <c r="J59" s="31">
        <f t="shared" si="12"/>
        <v>1270.1999999999998</v>
      </c>
      <c r="K59" s="31">
        <f t="shared" si="12"/>
        <v>1270.1999999999998</v>
      </c>
      <c r="L59" s="31">
        <f t="shared" si="12"/>
        <v>1270.1999999999998</v>
      </c>
      <c r="M59" s="31">
        <f t="shared" si="12"/>
        <v>1270.1999999999998</v>
      </c>
      <c r="N59" s="31">
        <f t="shared" si="12"/>
        <v>1270.1999999999998</v>
      </c>
      <c r="O59" s="31">
        <f t="shared" si="12"/>
        <v>1270.1999999999998</v>
      </c>
      <c r="P59" s="31">
        <f t="shared" si="12"/>
        <v>1270.1999999999998</v>
      </c>
      <c r="Q59" s="31">
        <f t="shared" si="12"/>
        <v>1270.1999999999998</v>
      </c>
      <c r="R59" s="31">
        <f t="shared" si="12"/>
        <v>1270.1999999999998</v>
      </c>
      <c r="S59" s="31">
        <f t="shared" si="12"/>
        <v>1270.1999999999998</v>
      </c>
      <c r="T59" s="31">
        <f t="shared" si="12"/>
        <v>1270.1999999999998</v>
      </c>
      <c r="U59" s="31">
        <f t="shared" si="12"/>
        <v>1270.1999999999998</v>
      </c>
      <c r="V59" s="31">
        <f t="shared" ref="V59:Z60" si="13">U59</f>
        <v>1270.1999999999998</v>
      </c>
      <c r="W59" s="31">
        <f t="shared" si="13"/>
        <v>1270.1999999999998</v>
      </c>
      <c r="X59" s="31">
        <f t="shared" si="13"/>
        <v>1270.1999999999998</v>
      </c>
      <c r="Y59" s="31">
        <f t="shared" si="13"/>
        <v>1270.1999999999998</v>
      </c>
      <c r="Z59" s="31">
        <f t="shared" si="13"/>
        <v>1270.1999999999998</v>
      </c>
    </row>
    <row r="60" spans="3:26" x14ac:dyDescent="0.25">
      <c r="C60" t="s">
        <v>101</v>
      </c>
      <c r="D60">
        <f>D59*D12</f>
        <v>1016.1599999999999</v>
      </c>
      <c r="E60">
        <f>D60</f>
        <v>1016.1599999999999</v>
      </c>
      <c r="F60">
        <f t="shared" si="12"/>
        <v>1016.1599999999999</v>
      </c>
      <c r="G60">
        <f t="shared" si="12"/>
        <v>1016.1599999999999</v>
      </c>
      <c r="H60">
        <f t="shared" si="12"/>
        <v>1016.1599999999999</v>
      </c>
      <c r="I60">
        <f t="shared" si="12"/>
        <v>1016.1599999999999</v>
      </c>
      <c r="J60">
        <f t="shared" si="12"/>
        <v>1016.1599999999999</v>
      </c>
      <c r="K60">
        <f t="shared" si="12"/>
        <v>1016.1599999999999</v>
      </c>
      <c r="L60">
        <f t="shared" si="12"/>
        <v>1016.1599999999999</v>
      </c>
      <c r="M60">
        <f t="shared" si="12"/>
        <v>1016.1599999999999</v>
      </c>
      <c r="N60">
        <f t="shared" si="12"/>
        <v>1016.1599999999999</v>
      </c>
      <c r="O60">
        <f t="shared" si="12"/>
        <v>1016.1599999999999</v>
      </c>
      <c r="P60">
        <f t="shared" si="12"/>
        <v>1016.1599999999999</v>
      </c>
      <c r="Q60">
        <f t="shared" si="12"/>
        <v>1016.1599999999999</v>
      </c>
      <c r="R60">
        <f t="shared" si="12"/>
        <v>1016.1599999999999</v>
      </c>
      <c r="S60">
        <f t="shared" si="12"/>
        <v>1016.1599999999999</v>
      </c>
      <c r="T60">
        <f t="shared" si="12"/>
        <v>1016.1599999999999</v>
      </c>
      <c r="U60">
        <f t="shared" si="12"/>
        <v>1016.1599999999999</v>
      </c>
      <c r="V60">
        <f t="shared" si="13"/>
        <v>1016.1599999999999</v>
      </c>
      <c r="W60">
        <f t="shared" si="13"/>
        <v>1016.1599999999999</v>
      </c>
      <c r="X60">
        <f t="shared" si="13"/>
        <v>1016.1599999999999</v>
      </c>
      <c r="Y60">
        <f t="shared" si="13"/>
        <v>1016.1599999999999</v>
      </c>
      <c r="Z60">
        <f t="shared" si="13"/>
        <v>1016.1599999999999</v>
      </c>
    </row>
    <row r="61" spans="3:26" x14ac:dyDescent="0.25">
      <c r="C61" t="s">
        <v>100</v>
      </c>
      <c r="D61">
        <f>D60/(1+$D$13)^(D57-2019)</f>
        <v>1016.1599999999999</v>
      </c>
      <c r="E61">
        <f t="shared" ref="E61:Z61" si="14">E60/(1+$D$13)^(E57-2019)</f>
        <v>986.56310679611636</v>
      </c>
      <c r="F61">
        <f t="shared" si="14"/>
        <v>957.82825902535569</v>
      </c>
      <c r="G61">
        <f t="shared" si="14"/>
        <v>929.9303485683065</v>
      </c>
      <c r="H61">
        <f t="shared" si="14"/>
        <v>902.84499861000643</v>
      </c>
      <c r="I61">
        <f t="shared" si="14"/>
        <v>876.54854233981212</v>
      </c>
      <c r="J61">
        <f t="shared" si="14"/>
        <v>851.01800227166211</v>
      </c>
      <c r="K61">
        <f t="shared" si="14"/>
        <v>826.23107016666222</v>
      </c>
      <c r="L61">
        <f t="shared" si="14"/>
        <v>802.16608754044887</v>
      </c>
      <c r="M61">
        <f t="shared" si="14"/>
        <v>778.80202673829979</v>
      </c>
      <c r="N61">
        <f t="shared" si="14"/>
        <v>756.1184725614562</v>
      </c>
      <c r="O61">
        <f t="shared" si="14"/>
        <v>734.09560442859822</v>
      </c>
      <c r="P61">
        <f t="shared" si="14"/>
        <v>712.71417905689157</v>
      </c>
      <c r="Q61">
        <f t="shared" si="14"/>
        <v>691.95551364746757</v>
      </c>
      <c r="R61">
        <f t="shared" si="14"/>
        <v>671.801469560648</v>
      </c>
      <c r="S61">
        <f t="shared" si="14"/>
        <v>652.2344364666485</v>
      </c>
      <c r="T61">
        <f t="shared" si="14"/>
        <v>633.23731695791128</v>
      </c>
      <c r="U61">
        <f t="shared" si="14"/>
        <v>614.79351160962267</v>
      </c>
      <c r="V61">
        <f t="shared" si="14"/>
        <v>596.8869044753618</v>
      </c>
      <c r="W61">
        <f t="shared" si="14"/>
        <v>579.5018490052056</v>
      </c>
      <c r="X61">
        <f t="shared" si="14"/>
        <v>562.62315437398604</v>
      </c>
      <c r="Y61">
        <f t="shared" si="14"/>
        <v>546.23607220775352</v>
      </c>
      <c r="Z61">
        <f t="shared" si="14"/>
        <v>530.32628369684801</v>
      </c>
    </row>
    <row r="62" spans="3:26" x14ac:dyDescent="0.25">
      <c r="C62" t="s">
        <v>102</v>
      </c>
      <c r="D62">
        <f>SUM(D61:K61)</f>
        <v>7347.1243277779213</v>
      </c>
      <c r="E62">
        <f>SUM(E61:L61)</f>
        <v>7133.1304153183692</v>
      </c>
      <c r="F62">
        <f>SUM(F61:M61)</f>
        <v>6925.3693352605533</v>
      </c>
      <c r="G62">
        <f>SUM(G61:N61)</f>
        <v>6723.6595487966551</v>
      </c>
      <c r="H62">
        <f>SUM(H61:O61)</f>
        <v>6527.824804656947</v>
      </c>
      <c r="I62">
        <f t="shared" ref="I62:N62" si="15">SUM(I61:P61)</f>
        <v>6337.6939851038305</v>
      </c>
      <c r="J62">
        <f t="shared" si="15"/>
        <v>6153.1009564114856</v>
      </c>
      <c r="K62">
        <f t="shared" si="15"/>
        <v>5973.8844237004723</v>
      </c>
      <c r="L62">
        <f t="shared" si="15"/>
        <v>5799.8877900004591</v>
      </c>
      <c r="M62">
        <f t="shared" si="15"/>
        <v>5630.9590194179218</v>
      </c>
      <c r="N62">
        <f t="shared" si="15"/>
        <v>5466.9505042892442</v>
      </c>
      <c r="O62">
        <f>SUM(O61:V61)</f>
        <v>5307.7189362031495</v>
      </c>
      <c r="P62">
        <f>SUM(P61:W61)</f>
        <v>5153.1251807797562</v>
      </c>
      <c r="Q62">
        <f>SUM(Q61:X61)</f>
        <v>5003.0341560968518</v>
      </c>
      <c r="R62">
        <f>SUM(R61:Y61)</f>
        <v>4857.3147146571382</v>
      </c>
      <c r="S62">
        <f>SUM(S61:Z61)</f>
        <v>4715.8395287933372</v>
      </c>
      <c r="T62">
        <f t="shared" ref="T62:Z62" si="16">SUM(T41:AA41)</f>
        <v>0</v>
      </c>
      <c r="U62">
        <f t="shared" si="16"/>
        <v>0</v>
      </c>
      <c r="V62">
        <f t="shared" si="16"/>
        <v>0</v>
      </c>
      <c r="W62">
        <f t="shared" si="16"/>
        <v>0</v>
      </c>
      <c r="X62">
        <f t="shared" si="16"/>
        <v>0</v>
      </c>
      <c r="Y62">
        <f t="shared" si="16"/>
        <v>0</v>
      </c>
      <c r="Z62">
        <f t="shared" si="16"/>
        <v>0</v>
      </c>
    </row>
    <row r="64" spans="3:26" x14ac:dyDescent="0.25">
      <c r="C64" t="s">
        <v>103</v>
      </c>
      <c r="D64">
        <f>400</f>
        <v>400</v>
      </c>
    </row>
    <row r="68" spans="3:26" x14ac:dyDescent="0.25">
      <c r="C68" t="s">
        <v>104</v>
      </c>
      <c r="D68">
        <v>3500</v>
      </c>
      <c r="E68">
        <v>3500</v>
      </c>
      <c r="F68">
        <v>3500</v>
      </c>
      <c r="G68">
        <v>3500</v>
      </c>
      <c r="H68">
        <v>3500</v>
      </c>
      <c r="I68">
        <v>3500</v>
      </c>
      <c r="J68">
        <v>3500</v>
      </c>
      <c r="K68">
        <v>3500</v>
      </c>
      <c r="L68">
        <v>3500</v>
      </c>
      <c r="M68">
        <v>3500</v>
      </c>
      <c r="N68">
        <v>3500</v>
      </c>
      <c r="O68">
        <v>3500</v>
      </c>
      <c r="P68">
        <v>3500</v>
      </c>
      <c r="Q68">
        <v>3500</v>
      </c>
      <c r="R68">
        <v>3500</v>
      </c>
      <c r="S68">
        <v>3500</v>
      </c>
      <c r="T68">
        <v>3500</v>
      </c>
      <c r="U68">
        <v>3500</v>
      </c>
      <c r="V68">
        <v>3500</v>
      </c>
      <c r="W68">
        <v>3500</v>
      </c>
      <c r="X68">
        <v>3500</v>
      </c>
      <c r="Y68">
        <v>3500</v>
      </c>
      <c r="Z68">
        <v>3500</v>
      </c>
    </row>
    <row r="69" spans="3:26" x14ac:dyDescent="0.25">
      <c r="C69" t="s">
        <v>105</v>
      </c>
      <c r="D69">
        <f>D68/(1+$D$13)^(D57-2019)</f>
        <v>3500</v>
      </c>
      <c r="E69">
        <f t="shared" ref="E69:Z69" si="17">E68/(1+$D$13)^(E57-2019)</f>
        <v>3398.0582524271845</v>
      </c>
      <c r="F69">
        <f t="shared" si="17"/>
        <v>3299.0856819681403</v>
      </c>
      <c r="G69">
        <f t="shared" si="17"/>
        <v>3202.9958077360584</v>
      </c>
      <c r="H69">
        <f t="shared" si="17"/>
        <v>3109.7046677049116</v>
      </c>
      <c r="I69">
        <f t="shared" si="17"/>
        <v>3019.1307453445743</v>
      </c>
      <c r="J69">
        <f t="shared" si="17"/>
        <v>2931.1948983927905</v>
      </c>
      <c r="K69">
        <f t="shared" si="17"/>
        <v>2845.8202897017381</v>
      </c>
      <c r="L69">
        <f t="shared" si="17"/>
        <v>2762.9323200987751</v>
      </c>
      <c r="M69">
        <f t="shared" si="17"/>
        <v>2682.4585632026942</v>
      </c>
      <c r="N69">
        <f t="shared" si="17"/>
        <v>2604.3287021385381</v>
      </c>
      <c r="O69">
        <f t="shared" si="17"/>
        <v>2528.4744680956678</v>
      </c>
      <c r="P69">
        <f t="shared" si="17"/>
        <v>2454.8295806754063</v>
      </c>
      <c r="Q69">
        <f t="shared" si="17"/>
        <v>2383.3296899761226</v>
      </c>
      <c r="R69">
        <f t="shared" si="17"/>
        <v>2313.9123203651675</v>
      </c>
      <c r="S69">
        <f t="shared" si="17"/>
        <v>2246.5168158885117</v>
      </c>
      <c r="T69">
        <f t="shared" si="17"/>
        <v>2181.0842872704002</v>
      </c>
      <c r="U69">
        <f t="shared" si="17"/>
        <v>2117.5575604566993</v>
      </c>
      <c r="V69">
        <f t="shared" si="17"/>
        <v>2055.8811266569896</v>
      </c>
      <c r="W69">
        <f t="shared" si="17"/>
        <v>1996.0010938417374</v>
      </c>
      <c r="X69">
        <f t="shared" si="17"/>
        <v>1937.8651396521723</v>
      </c>
      <c r="Y69">
        <f t="shared" si="17"/>
        <v>1881.422465681721</v>
      </c>
      <c r="Z69">
        <f t="shared" si="17"/>
        <v>1826.6237530890494</v>
      </c>
    </row>
    <row r="70" spans="3:26" x14ac:dyDescent="0.25">
      <c r="C70" t="s">
        <v>106</v>
      </c>
      <c r="D70">
        <f>SUM(D69:K69)</f>
        <v>25305.9903432754</v>
      </c>
      <c r="E70" s="145">
        <f>NPV(0.03,E69:L69)</f>
        <v>21657.07245861413</v>
      </c>
      <c r="F70" s="145">
        <f t="shared" ref="F70:O70" si="18">NPV(0.03,F69:M69)</f>
        <v>21026.283940402063</v>
      </c>
      <c r="G70" s="145">
        <f t="shared" si="18"/>
        <v>20413.867903302973</v>
      </c>
      <c r="H70" s="145">
        <f t="shared" si="18"/>
        <v>19819.289226507743</v>
      </c>
      <c r="I70" s="145">
        <f t="shared" si="18"/>
        <v>19242.028375250236</v>
      </c>
      <c r="J70" s="145">
        <f t="shared" si="18"/>
        <v>18681.58094684489</v>
      </c>
      <c r="K70" s="145">
        <f t="shared" si="18"/>
        <v>18137.457229946493</v>
      </c>
      <c r="L70" s="145">
        <f t="shared" si="18"/>
        <v>17609.181776647089</v>
      </c>
      <c r="M70" s="145">
        <f t="shared" si="18"/>
        <v>17096.292987036006</v>
      </c>
      <c r="N70" s="145">
        <f t="shared" si="18"/>
        <v>16598.342705860196</v>
      </c>
      <c r="O70" s="145">
        <f t="shared" si="18"/>
        <v>16114.895830932232</v>
      </c>
    </row>
    <row r="73" spans="3:26" x14ac:dyDescent="0.25">
      <c r="C73" t="s">
        <v>98</v>
      </c>
      <c r="D73">
        <f>30*365</f>
        <v>10950</v>
      </c>
      <c r="E73">
        <f t="shared" ref="E73:Z73" si="19">30*365</f>
        <v>10950</v>
      </c>
      <c r="F73">
        <f t="shared" si="19"/>
        <v>10950</v>
      </c>
      <c r="G73">
        <f t="shared" si="19"/>
        <v>10950</v>
      </c>
      <c r="H73">
        <f t="shared" si="19"/>
        <v>10950</v>
      </c>
      <c r="I73">
        <f t="shared" si="19"/>
        <v>10950</v>
      </c>
      <c r="J73">
        <f t="shared" si="19"/>
        <v>10950</v>
      </c>
      <c r="K73">
        <f t="shared" si="19"/>
        <v>10950</v>
      </c>
      <c r="L73">
        <f t="shared" si="19"/>
        <v>10950</v>
      </c>
      <c r="M73">
        <f t="shared" si="19"/>
        <v>10950</v>
      </c>
      <c r="N73">
        <f t="shared" si="19"/>
        <v>10950</v>
      </c>
      <c r="O73">
        <f t="shared" si="19"/>
        <v>10950</v>
      </c>
      <c r="P73">
        <f t="shared" si="19"/>
        <v>10950</v>
      </c>
      <c r="Q73">
        <f t="shared" si="19"/>
        <v>10950</v>
      </c>
      <c r="R73">
        <f t="shared" si="19"/>
        <v>10950</v>
      </c>
      <c r="S73">
        <f t="shared" si="19"/>
        <v>10950</v>
      </c>
      <c r="T73">
        <f t="shared" si="19"/>
        <v>10950</v>
      </c>
      <c r="U73">
        <f t="shared" si="19"/>
        <v>10950</v>
      </c>
      <c r="V73">
        <f t="shared" si="19"/>
        <v>10950</v>
      </c>
      <c r="W73">
        <f t="shared" si="19"/>
        <v>10950</v>
      </c>
      <c r="X73">
        <f t="shared" si="19"/>
        <v>10950</v>
      </c>
      <c r="Y73">
        <f t="shared" si="19"/>
        <v>10950</v>
      </c>
      <c r="Z73">
        <f t="shared" si="19"/>
        <v>10950</v>
      </c>
    </row>
    <row r="74" spans="3:26" x14ac:dyDescent="0.25">
      <c r="C74" t="s">
        <v>107</v>
      </c>
      <c r="D74" s="66">
        <f t="shared" ref="D74:O74" si="20">(D27/100)*D73</f>
        <v>580.35</v>
      </c>
      <c r="E74" s="66">
        <f t="shared" si="20"/>
        <v>580.35</v>
      </c>
      <c r="F74" s="66">
        <f t="shared" si="20"/>
        <v>580.35</v>
      </c>
      <c r="G74" s="66">
        <f t="shared" si="20"/>
        <v>580.35</v>
      </c>
      <c r="H74" s="66">
        <f t="shared" si="20"/>
        <v>580.35</v>
      </c>
      <c r="I74" s="66">
        <f t="shared" si="20"/>
        <v>580.35</v>
      </c>
      <c r="J74" s="66">
        <f t="shared" si="20"/>
        <v>580.35</v>
      </c>
      <c r="K74" s="66">
        <f t="shared" si="20"/>
        <v>580.35</v>
      </c>
      <c r="L74" s="66">
        <f t="shared" si="20"/>
        <v>580.35</v>
      </c>
      <c r="M74" s="66">
        <f t="shared" si="20"/>
        <v>580.35</v>
      </c>
      <c r="N74" s="66">
        <f t="shared" si="20"/>
        <v>580.35</v>
      </c>
      <c r="O74" s="66">
        <f t="shared" si="20"/>
        <v>580.35</v>
      </c>
      <c r="P74" s="66">
        <f>O74</f>
        <v>580.35</v>
      </c>
      <c r="Q74" s="66">
        <f t="shared" ref="Q74:Z74" si="21">P74</f>
        <v>580.35</v>
      </c>
      <c r="R74" s="66">
        <f t="shared" si="21"/>
        <v>580.35</v>
      </c>
      <c r="S74" s="66">
        <f t="shared" si="21"/>
        <v>580.35</v>
      </c>
      <c r="T74" s="66">
        <f t="shared" si="21"/>
        <v>580.35</v>
      </c>
      <c r="U74" s="66">
        <f t="shared" si="21"/>
        <v>580.35</v>
      </c>
      <c r="V74" s="66">
        <f t="shared" si="21"/>
        <v>580.35</v>
      </c>
      <c r="W74" s="66">
        <f t="shared" si="21"/>
        <v>580.35</v>
      </c>
      <c r="X74" s="66">
        <f t="shared" si="21"/>
        <v>580.35</v>
      </c>
      <c r="Y74" s="66">
        <f t="shared" si="21"/>
        <v>580.35</v>
      </c>
      <c r="Z74" s="66">
        <f t="shared" si="21"/>
        <v>580.35</v>
      </c>
    </row>
    <row r="75" spans="3:26" x14ac:dyDescent="0.25">
      <c r="C75" t="s">
        <v>108</v>
      </c>
      <c r="D75">
        <f>D74*$D$28</f>
        <v>4062.4500000000003</v>
      </c>
      <c r="E75">
        <f t="shared" ref="E75:Z75" si="22">E74*$D$28</f>
        <v>4062.4500000000003</v>
      </c>
      <c r="F75">
        <f t="shared" si="22"/>
        <v>4062.4500000000003</v>
      </c>
      <c r="G75">
        <f t="shared" si="22"/>
        <v>4062.4500000000003</v>
      </c>
      <c r="H75">
        <f t="shared" si="22"/>
        <v>4062.4500000000003</v>
      </c>
      <c r="I75">
        <f t="shared" si="22"/>
        <v>4062.4500000000003</v>
      </c>
      <c r="J75">
        <f t="shared" si="22"/>
        <v>4062.4500000000003</v>
      </c>
      <c r="K75">
        <f t="shared" si="22"/>
        <v>4062.4500000000003</v>
      </c>
      <c r="L75">
        <f t="shared" si="22"/>
        <v>4062.4500000000003</v>
      </c>
      <c r="M75">
        <f t="shared" si="22"/>
        <v>4062.4500000000003</v>
      </c>
      <c r="N75">
        <f t="shared" si="22"/>
        <v>4062.4500000000003</v>
      </c>
      <c r="O75">
        <f t="shared" si="22"/>
        <v>4062.4500000000003</v>
      </c>
      <c r="P75">
        <f t="shared" si="22"/>
        <v>4062.4500000000003</v>
      </c>
      <c r="Q75">
        <f t="shared" si="22"/>
        <v>4062.4500000000003</v>
      </c>
      <c r="R75">
        <f t="shared" si="22"/>
        <v>4062.4500000000003</v>
      </c>
      <c r="S75">
        <f t="shared" si="22"/>
        <v>4062.4500000000003</v>
      </c>
      <c r="T75">
        <f t="shared" si="22"/>
        <v>4062.4500000000003</v>
      </c>
      <c r="U75">
        <f t="shared" si="22"/>
        <v>4062.4500000000003</v>
      </c>
      <c r="V75">
        <f t="shared" si="22"/>
        <v>4062.4500000000003</v>
      </c>
      <c r="W75">
        <f t="shared" si="22"/>
        <v>4062.4500000000003</v>
      </c>
      <c r="X75">
        <f t="shared" si="22"/>
        <v>4062.4500000000003</v>
      </c>
      <c r="Y75">
        <f t="shared" si="22"/>
        <v>4062.4500000000003</v>
      </c>
      <c r="Z75">
        <f t="shared" si="22"/>
        <v>4062.4500000000003</v>
      </c>
    </row>
    <row r="76" spans="3:26" x14ac:dyDescent="0.25">
      <c r="D76">
        <f>D75/(1+$D$29)^(D57-2019)</f>
        <v>4062.4500000000003</v>
      </c>
      <c r="E76">
        <f t="shared" ref="E76:Z76" si="23">E75/(1+$D$29)^(E57-2019)</f>
        <v>3944.1262135922334</v>
      </c>
      <c r="F76">
        <f t="shared" si="23"/>
        <v>3829.248751060421</v>
      </c>
      <c r="G76">
        <f t="shared" si="23"/>
        <v>3717.7172340392435</v>
      </c>
      <c r="H76">
        <f t="shared" si="23"/>
        <v>3609.4342078050909</v>
      </c>
      <c r="I76">
        <f t="shared" si="23"/>
        <v>3504.3050561214477</v>
      </c>
      <c r="J76">
        <f t="shared" si="23"/>
        <v>3402.2379185645123</v>
      </c>
      <c r="K76">
        <f t="shared" si="23"/>
        <v>3303.1436102568077</v>
      </c>
      <c r="L76">
        <f t="shared" si="23"/>
        <v>3206.9355439386486</v>
      </c>
      <c r="M76">
        <f t="shared" si="23"/>
        <v>3113.5296543093673</v>
      </c>
      <c r="N76">
        <f t="shared" si="23"/>
        <v>3022.8443245722015</v>
      </c>
      <c r="O76">
        <f t="shared" si="23"/>
        <v>2934.8003151186422</v>
      </c>
      <c r="P76">
        <f t="shared" si="23"/>
        <v>2849.3206942899442</v>
      </c>
      <c r="Q76">
        <f t="shared" si="23"/>
        <v>2766.3307711552857</v>
      </c>
      <c r="R76">
        <f t="shared" si="23"/>
        <v>2685.75803024785</v>
      </c>
      <c r="S76">
        <f t="shared" si="23"/>
        <v>2607.5320682017959</v>
      </c>
      <c r="T76">
        <f t="shared" si="23"/>
        <v>2531.5845322347536</v>
      </c>
      <c r="U76">
        <f t="shared" si="23"/>
        <v>2457.849060422091</v>
      </c>
      <c r="V76">
        <f t="shared" si="23"/>
        <v>2386.2612237107678</v>
      </c>
      <c r="W76">
        <f t="shared" si="23"/>
        <v>2316.7584696221047</v>
      </c>
      <c r="X76">
        <f t="shared" si="23"/>
        <v>2249.2800675942767</v>
      </c>
      <c r="Y76">
        <f t="shared" si="23"/>
        <v>2183.7670559167736</v>
      </c>
      <c r="Z76">
        <f t="shared" si="23"/>
        <v>2120.1621902104598</v>
      </c>
    </row>
    <row r="77" spans="3:26" x14ac:dyDescent="0.25">
      <c r="D77">
        <f>SUM(D76:K76)</f>
        <v>29372.662991439756</v>
      </c>
      <c r="E77">
        <f t="shared" ref="E77:O77" si="24">SUM(E76:L76)</f>
        <v>28517.148535378405</v>
      </c>
      <c r="F77">
        <f t="shared" si="24"/>
        <v>27686.551976095539</v>
      </c>
      <c r="G77">
        <f t="shared" si="24"/>
        <v>26880.147549607322</v>
      </c>
      <c r="H77">
        <f t="shared" si="24"/>
        <v>26097.230630686718</v>
      </c>
      <c r="I77">
        <f t="shared" si="24"/>
        <v>25337.117117171572</v>
      </c>
      <c r="J77">
        <f t="shared" si="24"/>
        <v>24599.142832205409</v>
      </c>
      <c r="K77">
        <f t="shared" si="24"/>
        <v>23882.662943888747</v>
      </c>
      <c r="L77">
        <f t="shared" si="24"/>
        <v>23187.051401833731</v>
      </c>
      <c r="M77">
        <f t="shared" si="24"/>
        <v>22511.700390129841</v>
      </c>
      <c r="N77">
        <f t="shared" si="24"/>
        <v>21856.019796242563</v>
      </c>
      <c r="O77">
        <f t="shared" si="24"/>
        <v>21219.43669538113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8"/>
  <sheetViews>
    <sheetView topLeftCell="C7" zoomScaleNormal="100" workbookViewId="0">
      <selection activeCell="C4" sqref="C4:O35"/>
    </sheetView>
  </sheetViews>
  <sheetFormatPr defaultRowHeight="14.4" x14ac:dyDescent="0.25"/>
  <cols>
    <col min="3" max="3" width="36.88671875" bestFit="1" customWidth="1"/>
    <col min="4" max="4" width="13.88671875" bestFit="1" customWidth="1"/>
    <col min="5" max="9" width="12.77734375" bestFit="1" customWidth="1"/>
    <col min="10" max="10" width="12.77734375" customWidth="1"/>
    <col min="11" max="15" width="12.77734375" bestFit="1" customWidth="1"/>
    <col min="16" max="16" width="10.5546875" bestFit="1" customWidth="1"/>
  </cols>
  <sheetData>
    <row r="4" spans="3:15" x14ac:dyDescent="0.25">
      <c r="C4" s="131" t="s">
        <v>366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103">
        <v>27843.852241504803</v>
      </c>
    </row>
    <row r="7" spans="3:15" x14ac:dyDescent="0.25">
      <c r="C7" s="102" t="s">
        <v>46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104">
        <f t="shared" si="0"/>
        <v>2784.3852241504806</v>
      </c>
    </row>
    <row r="8" spans="3:15" x14ac:dyDescent="0.25">
      <c r="C8" s="102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5">
        <f t="shared" si="1"/>
        <v>30628.237465655282</v>
      </c>
    </row>
    <row r="9" spans="3:15" x14ac:dyDescent="0.25">
      <c r="C9" s="102" t="s">
        <v>84</v>
      </c>
      <c r="D9" s="79">
        <v>40</v>
      </c>
      <c r="E9" s="90">
        <v>40</v>
      </c>
      <c r="F9" s="90">
        <v>40</v>
      </c>
      <c r="G9" s="90">
        <v>40</v>
      </c>
      <c r="H9" s="94">
        <v>40</v>
      </c>
      <c r="I9" s="94">
        <v>40</v>
      </c>
      <c r="J9" s="94">
        <v>40</v>
      </c>
      <c r="K9" s="95">
        <v>40</v>
      </c>
      <c r="L9" s="95">
        <v>40</v>
      </c>
      <c r="M9" s="95">
        <v>40</v>
      </c>
      <c r="N9" s="95">
        <v>40</v>
      </c>
      <c r="O9" s="95">
        <v>40</v>
      </c>
    </row>
    <row r="10" spans="3:15" x14ac:dyDescent="0.25">
      <c r="C10" s="102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95">
        <v>8</v>
      </c>
    </row>
    <row r="11" spans="3:15" x14ac:dyDescent="0.25">
      <c r="C11" s="102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95">
        <v>11.6</v>
      </c>
    </row>
    <row r="12" spans="3:15" x14ac:dyDescent="0.25">
      <c r="C12" s="102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95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9796.165770370566</v>
      </c>
      <c r="E14" s="90">
        <v>9510.8405537578328</v>
      </c>
      <c r="F14" s="90">
        <v>9233.8257803474062</v>
      </c>
      <c r="G14" s="90">
        <v>8964.8793983955402</v>
      </c>
      <c r="H14" s="94">
        <v>8703.7664062092626</v>
      </c>
      <c r="I14" s="94">
        <v>8450.2586468051086</v>
      </c>
      <c r="J14" s="94">
        <v>8204.1346085486493</v>
      </c>
      <c r="K14" s="95">
        <v>7965.1792316006313</v>
      </c>
      <c r="L14" s="95">
        <v>7733.1837200006139</v>
      </c>
      <c r="M14" s="95">
        <v>7507.945359223897</v>
      </c>
      <c r="N14" s="95">
        <v>7289.2673390523278</v>
      </c>
      <c r="O14" s="95">
        <v>7076.9585816042018</v>
      </c>
    </row>
    <row r="15" spans="3:15" x14ac:dyDescent="0.25">
      <c r="C15" s="102" t="s">
        <v>89</v>
      </c>
      <c r="D15" s="79">
        <f>6*100+5*300</f>
        <v>2100</v>
      </c>
      <c r="E15" s="90">
        <f>D15*(1-$D$13)</f>
        <v>2037</v>
      </c>
      <c r="F15" s="90">
        <f t="shared" ref="F15:O15" si="2">E15*(1-$D$13)</f>
        <v>1975.8899999999999</v>
      </c>
      <c r="G15" s="90">
        <f t="shared" si="2"/>
        <v>1916.6132999999998</v>
      </c>
      <c r="H15" s="94">
        <f t="shared" si="2"/>
        <v>1859.1149009999997</v>
      </c>
      <c r="I15" s="94">
        <f t="shared" si="2"/>
        <v>1803.3414539699997</v>
      </c>
      <c r="J15" s="94">
        <f t="shared" si="2"/>
        <v>1749.2412103508998</v>
      </c>
      <c r="K15" s="95">
        <f t="shared" si="2"/>
        <v>1696.7639740403727</v>
      </c>
      <c r="L15" s="95">
        <f t="shared" si="2"/>
        <v>1645.8610548191614</v>
      </c>
      <c r="M15" s="95">
        <f t="shared" si="2"/>
        <v>1596.4852231745865</v>
      </c>
      <c r="N15" s="95">
        <f t="shared" si="2"/>
        <v>1548.5906664793488</v>
      </c>
      <c r="O15" s="95">
        <f t="shared" si="2"/>
        <v>1502.1329464849682</v>
      </c>
    </row>
    <row r="16" spans="3:15" x14ac:dyDescent="0.25">
      <c r="C16" s="102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95">
        <v>16114.895830932232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95">
        <f t="shared" si="3"/>
        <v>4176.5778362257206</v>
      </c>
    </row>
    <row r="19" spans="3:15" x14ac:dyDescent="0.25">
      <c r="C19" s="160" t="s">
        <v>93</v>
      </c>
      <c r="D19" s="161">
        <f>D8+D14+D15+D16+D17-D18</f>
        <v>91155.906113645964</v>
      </c>
      <c r="E19" s="158">
        <f t="shared" ref="E19:O19" si="4">E8+E14+E15+E16+E17-E18</f>
        <v>82847.463012371969</v>
      </c>
      <c r="F19" s="158">
        <f t="shared" si="4"/>
        <v>83363.289720749483</v>
      </c>
      <c r="G19" s="158">
        <f t="shared" si="4"/>
        <v>78483.646601698507</v>
      </c>
      <c r="H19" s="159">
        <f t="shared" si="4"/>
        <v>74006.352933717018</v>
      </c>
      <c r="I19" s="159">
        <f t="shared" si="4"/>
        <v>69893.117636025345</v>
      </c>
      <c r="J19" s="159">
        <f t="shared" si="4"/>
        <v>66109.422009744449</v>
      </c>
      <c r="K19" s="162">
        <f t="shared" si="4"/>
        <v>62624.14415518751</v>
      </c>
      <c r="L19" s="162">
        <f t="shared" si="4"/>
        <v>59409.220899106876</v>
      </c>
      <c r="M19" s="162">
        <f t="shared" si="4"/>
        <v>56439.343482310498</v>
      </c>
      <c r="N19" s="162">
        <f t="shared" si="4"/>
        <v>53691.683632980275</v>
      </c>
      <c r="O19" s="162">
        <f t="shared" si="4"/>
        <v>51145.646988450964</v>
      </c>
    </row>
    <row r="20" spans="3:15" x14ac:dyDescent="0.25">
      <c r="C20" s="131" t="s">
        <v>369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51066</v>
      </c>
      <c r="E22" s="87">
        <v>51366</v>
      </c>
      <c r="F22" s="87">
        <v>51672</v>
      </c>
      <c r="G22" s="87">
        <v>51984.12</v>
      </c>
      <c r="H22" s="88">
        <v>52302.482400000001</v>
      </c>
      <c r="I22" s="88">
        <v>52627.212048000001</v>
      </c>
      <c r="J22" s="88">
        <v>52958.436288960002</v>
      </c>
      <c r="K22" s="89">
        <v>53296.285014739202</v>
      </c>
      <c r="L22" s="89">
        <v>53640.89071503398</v>
      </c>
      <c r="M22" s="89">
        <v>53992.388529334654</v>
      </c>
      <c r="N22" s="89">
        <v>54350.916299921344</v>
      </c>
      <c r="O22" s="107">
        <v>54716.614625919778</v>
      </c>
    </row>
    <row r="23" spans="3:15" x14ac:dyDescent="0.25">
      <c r="C23" s="102" t="s">
        <v>46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56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40</v>
      </c>
      <c r="E25" s="71">
        <f>D25</f>
        <v>40</v>
      </c>
      <c r="F25" s="71">
        <f t="shared" ref="F25:O25" si="5">E25</f>
        <v>40</v>
      </c>
      <c r="G25" s="80">
        <f t="shared" si="5"/>
        <v>40</v>
      </c>
      <c r="H25" s="72">
        <f t="shared" si="5"/>
        <v>40</v>
      </c>
      <c r="I25" s="72">
        <f t="shared" si="5"/>
        <v>40</v>
      </c>
      <c r="J25" s="72">
        <f t="shared" si="5"/>
        <v>40</v>
      </c>
      <c r="K25" s="73">
        <f t="shared" si="5"/>
        <v>40</v>
      </c>
      <c r="L25" s="73">
        <f t="shared" si="5"/>
        <v>40</v>
      </c>
      <c r="M25" s="73">
        <f t="shared" si="5"/>
        <v>40</v>
      </c>
      <c r="N25" s="73">
        <f t="shared" si="5"/>
        <v>40</v>
      </c>
      <c r="O25" s="103">
        <f t="shared" si="5"/>
        <v>40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39163.550655252999</v>
      </c>
      <c r="E30" s="71">
        <v>38022.864713837866</v>
      </c>
      <c r="F30" s="71">
        <v>36915.402634794045</v>
      </c>
      <c r="G30" s="80">
        <v>35840.196732809753</v>
      </c>
      <c r="H30" s="72">
        <v>34796.307507582285</v>
      </c>
      <c r="I30" s="72">
        <v>33782.822822895425</v>
      </c>
      <c r="J30" s="72">
        <v>32798.857109607205</v>
      </c>
      <c r="K30" s="73">
        <v>31843.550591851657</v>
      </c>
      <c r="L30" s="73">
        <v>30916.068535778311</v>
      </c>
      <c r="M30" s="73">
        <v>30015.600520173117</v>
      </c>
      <c r="N30" s="73">
        <v>29141.359728323416</v>
      </c>
      <c r="O30" s="103">
        <v>28292.58226050817</v>
      </c>
    </row>
    <row r="31" spans="3:15" x14ac:dyDescent="0.25">
      <c r="C31" s="102" t="s">
        <v>89</v>
      </c>
      <c r="D31" s="70">
        <f>11*1200+12*600</f>
        <v>20400</v>
      </c>
      <c r="E31" s="71">
        <f>D31*(1-$D$29)</f>
        <v>19788</v>
      </c>
      <c r="F31" s="71">
        <f t="shared" ref="F31:O31" si="6">E31*(1-$D$29)</f>
        <v>19194.36</v>
      </c>
      <c r="G31" s="80">
        <f t="shared" si="6"/>
        <v>18618.529200000001</v>
      </c>
      <c r="H31" s="72">
        <f t="shared" si="6"/>
        <v>18059.973323999999</v>
      </c>
      <c r="I31" s="72">
        <f t="shared" si="6"/>
        <v>17518.174124279998</v>
      </c>
      <c r="J31" s="72">
        <f t="shared" si="6"/>
        <v>16992.628900551597</v>
      </c>
      <c r="K31" s="73">
        <f t="shared" si="6"/>
        <v>16482.850033535047</v>
      </c>
      <c r="L31" s="73">
        <f t="shared" si="6"/>
        <v>15988.364532528996</v>
      </c>
      <c r="M31" s="73">
        <f t="shared" si="6"/>
        <v>15508.713596553125</v>
      </c>
      <c r="N31" s="73">
        <f t="shared" si="6"/>
        <v>15043.452188656531</v>
      </c>
      <c r="O31" s="103">
        <f t="shared" si="6"/>
        <v>14592.148622996834</v>
      </c>
    </row>
    <row r="32" spans="3:15" x14ac:dyDescent="0.25">
      <c r="C32" s="102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103">
        <v>15669.930728044254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103">
        <f t="shared" si="7"/>
        <v>257.50850511170893</v>
      </c>
    </row>
    <row r="34" spans="3:15" x14ac:dyDescent="0.25">
      <c r="C34" s="102" t="s">
        <v>87</v>
      </c>
      <c r="D34" s="79">
        <f>0.35*D22</f>
        <v>17873.099999999999</v>
      </c>
      <c r="E34" s="71">
        <f t="shared" ref="E34:O34" si="8">0.35*E22</f>
        <v>17978.099999999999</v>
      </c>
      <c r="F34" s="71">
        <f t="shared" si="8"/>
        <v>18085.199999999997</v>
      </c>
      <c r="G34" s="80">
        <f t="shared" si="8"/>
        <v>18194.441999999999</v>
      </c>
      <c r="H34" s="72">
        <f t="shared" si="8"/>
        <v>18305.868839999999</v>
      </c>
      <c r="I34" s="72">
        <f t="shared" si="8"/>
        <v>18419.5242168</v>
      </c>
      <c r="J34" s="72">
        <f t="shared" si="8"/>
        <v>18535.452701136001</v>
      </c>
      <c r="K34" s="73">
        <f t="shared" si="8"/>
        <v>18653.699755158719</v>
      </c>
      <c r="L34" s="73">
        <f t="shared" si="8"/>
        <v>18774.311750261892</v>
      </c>
      <c r="M34" s="73">
        <f t="shared" si="8"/>
        <v>18897.335985267127</v>
      </c>
      <c r="N34" s="73">
        <f t="shared" si="8"/>
        <v>19022.82070497247</v>
      </c>
      <c r="O34" s="103">
        <f t="shared" si="8"/>
        <v>19150.815119071922</v>
      </c>
    </row>
    <row r="35" spans="3:15" x14ac:dyDescent="0.25">
      <c r="C35" s="160" t="s">
        <v>93</v>
      </c>
      <c r="D35" s="163">
        <f>D24+D30+D31+D32-D34</f>
        <v>123881.29952091762</v>
      </c>
      <c r="E35" s="164">
        <f t="shared" ref="E35:O35" si="9">E24+E30+E31+E32-E34</f>
        <v>121721.84128244428</v>
      </c>
      <c r="F35" s="164">
        <f t="shared" si="9"/>
        <v>119636.86804120806</v>
      </c>
      <c r="G35" s="165">
        <f t="shared" si="9"/>
        <v>117624.41535651269</v>
      </c>
      <c r="H35" s="166">
        <f t="shared" si="9"/>
        <v>115682.58090702201</v>
      </c>
      <c r="I35" s="166">
        <f t="shared" si="9"/>
        <v>113809.52275544702</v>
      </c>
      <c r="J35" s="166">
        <f t="shared" si="9"/>
        <v>112003.45766597743</v>
      </c>
      <c r="K35" s="167">
        <f t="shared" si="9"/>
        <v>110262.65947294465</v>
      </c>
      <c r="L35" s="167">
        <f t="shared" si="9"/>
        <v>108585.4574992464</v>
      </c>
      <c r="M35" s="167">
        <f t="shared" si="9"/>
        <v>106970.23502310937</v>
      </c>
      <c r="N35" s="167">
        <f t="shared" si="9"/>
        <v>105415.42779180653</v>
      </c>
      <c r="O35" s="168">
        <f t="shared" si="9"/>
        <v>103919.52258098908</v>
      </c>
    </row>
    <row r="36" spans="3:15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3:15" x14ac:dyDescent="0.25">
      <c r="C37" t="s">
        <v>301</v>
      </c>
      <c r="D37" s="30">
        <f>D19-D35</f>
        <v>-32725.393407271651</v>
      </c>
      <c r="E37" s="30">
        <f t="shared" ref="E37:O37" si="10">E19-E35</f>
        <v>-38874.37827007231</v>
      </c>
      <c r="F37" s="30">
        <f t="shared" si="10"/>
        <v>-36273.578320458575</v>
      </c>
      <c r="G37" s="30">
        <f t="shared" si="10"/>
        <v>-39140.768754814184</v>
      </c>
      <c r="H37" s="30">
        <f t="shared" si="10"/>
        <v>-41676.227973304995</v>
      </c>
      <c r="I37" s="30">
        <f t="shared" si="10"/>
        <v>-43916.405119421674</v>
      </c>
      <c r="J37" s="30">
        <f t="shared" si="10"/>
        <v>-45894.035656232983</v>
      </c>
      <c r="K37" s="30">
        <f t="shared" si="10"/>
        <v>-47638.515317757141</v>
      </c>
      <c r="L37" s="30">
        <f t="shared" si="10"/>
        <v>-49176.236600139528</v>
      </c>
      <c r="M37" s="30">
        <f t="shared" si="10"/>
        <v>-50530.891540798875</v>
      </c>
      <c r="N37" s="30">
        <f t="shared" si="10"/>
        <v>-51723.744158826259</v>
      </c>
      <c r="O37" s="30">
        <f t="shared" si="10"/>
        <v>-52773.875592538119</v>
      </c>
    </row>
    <row r="58" spans="3:26" x14ac:dyDescent="0.25">
      <c r="D58">
        <v>2019</v>
      </c>
      <c r="E58">
        <v>2020</v>
      </c>
      <c r="F58">
        <v>2021</v>
      </c>
      <c r="G58">
        <v>2022</v>
      </c>
      <c r="H58">
        <v>2023</v>
      </c>
      <c r="I58">
        <v>2024</v>
      </c>
      <c r="J58">
        <v>2025</v>
      </c>
      <c r="K58">
        <v>2026</v>
      </c>
      <c r="L58">
        <v>2027</v>
      </c>
      <c r="M58">
        <v>2028</v>
      </c>
      <c r="N58">
        <v>2029</v>
      </c>
      <c r="O58">
        <v>2030</v>
      </c>
      <c r="P58">
        <v>2031</v>
      </c>
      <c r="Q58">
        <v>2032</v>
      </c>
      <c r="R58">
        <v>2033</v>
      </c>
      <c r="S58">
        <v>2034</v>
      </c>
      <c r="T58">
        <v>2035</v>
      </c>
      <c r="U58">
        <v>2036</v>
      </c>
      <c r="V58">
        <v>2037</v>
      </c>
      <c r="W58">
        <v>2038</v>
      </c>
      <c r="X58">
        <v>2039</v>
      </c>
      <c r="Y58">
        <v>2040</v>
      </c>
      <c r="Z58">
        <v>2041</v>
      </c>
    </row>
    <row r="59" spans="3:26" x14ac:dyDescent="0.25">
      <c r="C59" t="s">
        <v>98</v>
      </c>
      <c r="D59">
        <f>40*365</f>
        <v>14600</v>
      </c>
      <c r="E59">
        <f t="shared" ref="E59:Z59" si="11">40*365</f>
        <v>14600</v>
      </c>
      <c r="F59">
        <f t="shared" si="11"/>
        <v>14600</v>
      </c>
      <c r="G59">
        <f t="shared" si="11"/>
        <v>14600</v>
      </c>
      <c r="H59">
        <f t="shared" si="11"/>
        <v>14600</v>
      </c>
      <c r="I59">
        <f t="shared" si="11"/>
        <v>14600</v>
      </c>
      <c r="J59">
        <f t="shared" si="11"/>
        <v>14600</v>
      </c>
      <c r="K59">
        <f t="shared" si="11"/>
        <v>14600</v>
      </c>
      <c r="L59">
        <f t="shared" si="11"/>
        <v>14600</v>
      </c>
      <c r="M59">
        <f t="shared" si="11"/>
        <v>14600</v>
      </c>
      <c r="N59">
        <f t="shared" si="11"/>
        <v>14600</v>
      </c>
      <c r="O59">
        <f t="shared" si="11"/>
        <v>14600</v>
      </c>
      <c r="P59">
        <f t="shared" si="11"/>
        <v>14600</v>
      </c>
      <c r="Q59">
        <f t="shared" si="11"/>
        <v>14600</v>
      </c>
      <c r="R59">
        <f t="shared" si="11"/>
        <v>14600</v>
      </c>
      <c r="S59">
        <f t="shared" si="11"/>
        <v>14600</v>
      </c>
      <c r="T59">
        <f t="shared" si="11"/>
        <v>14600</v>
      </c>
      <c r="U59">
        <f t="shared" si="11"/>
        <v>14600</v>
      </c>
      <c r="V59">
        <f t="shared" si="11"/>
        <v>14600</v>
      </c>
      <c r="W59">
        <f t="shared" si="11"/>
        <v>14600</v>
      </c>
      <c r="X59">
        <f t="shared" si="11"/>
        <v>14600</v>
      </c>
      <c r="Y59">
        <f t="shared" si="11"/>
        <v>14600</v>
      </c>
      <c r="Z59">
        <f t="shared" si="11"/>
        <v>14600</v>
      </c>
    </row>
    <row r="60" spans="3:26" x14ac:dyDescent="0.25">
      <c r="C60" t="s">
        <v>99</v>
      </c>
      <c r="D60" s="31">
        <f>(D11/100)*D59</f>
        <v>1693.6</v>
      </c>
      <c r="E60" s="31">
        <f>D60</f>
        <v>1693.6</v>
      </c>
      <c r="F60" s="31">
        <f t="shared" ref="F60:Z61" si="12">E60</f>
        <v>1693.6</v>
      </c>
      <c r="G60" s="31">
        <f t="shared" si="12"/>
        <v>1693.6</v>
      </c>
      <c r="H60" s="31">
        <f t="shared" si="12"/>
        <v>1693.6</v>
      </c>
      <c r="I60" s="31">
        <f t="shared" si="12"/>
        <v>1693.6</v>
      </c>
      <c r="J60" s="31">
        <f t="shared" si="12"/>
        <v>1693.6</v>
      </c>
      <c r="K60" s="31">
        <f t="shared" si="12"/>
        <v>1693.6</v>
      </c>
      <c r="L60" s="31">
        <f t="shared" si="12"/>
        <v>1693.6</v>
      </c>
      <c r="M60" s="31">
        <f t="shared" si="12"/>
        <v>1693.6</v>
      </c>
      <c r="N60" s="31">
        <f t="shared" si="12"/>
        <v>1693.6</v>
      </c>
      <c r="O60" s="31">
        <f t="shared" si="12"/>
        <v>1693.6</v>
      </c>
      <c r="P60" s="31">
        <f t="shared" si="12"/>
        <v>1693.6</v>
      </c>
      <c r="Q60" s="31">
        <f t="shared" si="12"/>
        <v>1693.6</v>
      </c>
      <c r="R60" s="31">
        <f t="shared" si="12"/>
        <v>1693.6</v>
      </c>
      <c r="S60" s="31">
        <f t="shared" si="12"/>
        <v>1693.6</v>
      </c>
      <c r="T60" s="31">
        <f t="shared" si="12"/>
        <v>1693.6</v>
      </c>
      <c r="U60" s="31">
        <f t="shared" si="12"/>
        <v>1693.6</v>
      </c>
      <c r="V60" s="31">
        <f t="shared" si="12"/>
        <v>1693.6</v>
      </c>
      <c r="W60" s="31">
        <f t="shared" si="12"/>
        <v>1693.6</v>
      </c>
      <c r="X60" s="31">
        <f t="shared" si="12"/>
        <v>1693.6</v>
      </c>
      <c r="Y60" s="31">
        <f t="shared" si="12"/>
        <v>1693.6</v>
      </c>
      <c r="Z60" s="31">
        <f t="shared" si="12"/>
        <v>1693.6</v>
      </c>
    </row>
    <row r="61" spans="3:26" x14ac:dyDescent="0.25">
      <c r="C61" t="s">
        <v>101</v>
      </c>
      <c r="D61">
        <f>D60*D12</f>
        <v>1354.88</v>
      </c>
      <c r="E61">
        <f>D61</f>
        <v>1354.88</v>
      </c>
      <c r="F61">
        <f t="shared" si="12"/>
        <v>1354.88</v>
      </c>
      <c r="G61">
        <f t="shared" si="12"/>
        <v>1354.88</v>
      </c>
      <c r="H61">
        <f t="shared" si="12"/>
        <v>1354.88</v>
      </c>
      <c r="I61">
        <f t="shared" si="12"/>
        <v>1354.88</v>
      </c>
      <c r="J61">
        <f t="shared" si="12"/>
        <v>1354.88</v>
      </c>
      <c r="K61">
        <f t="shared" si="12"/>
        <v>1354.88</v>
      </c>
      <c r="L61">
        <f t="shared" si="12"/>
        <v>1354.88</v>
      </c>
      <c r="M61">
        <f t="shared" si="12"/>
        <v>1354.88</v>
      </c>
      <c r="N61">
        <f t="shared" si="12"/>
        <v>1354.88</v>
      </c>
      <c r="O61">
        <f t="shared" si="12"/>
        <v>1354.88</v>
      </c>
      <c r="P61">
        <f t="shared" si="12"/>
        <v>1354.88</v>
      </c>
      <c r="Q61">
        <f t="shared" si="12"/>
        <v>1354.88</v>
      </c>
      <c r="R61">
        <f t="shared" si="12"/>
        <v>1354.88</v>
      </c>
      <c r="S61">
        <f t="shared" si="12"/>
        <v>1354.88</v>
      </c>
      <c r="T61">
        <f t="shared" si="12"/>
        <v>1354.88</v>
      </c>
      <c r="U61">
        <f t="shared" si="12"/>
        <v>1354.88</v>
      </c>
      <c r="V61">
        <f t="shared" si="12"/>
        <v>1354.88</v>
      </c>
      <c r="W61">
        <f t="shared" si="12"/>
        <v>1354.88</v>
      </c>
      <c r="X61">
        <f t="shared" si="12"/>
        <v>1354.88</v>
      </c>
      <c r="Y61">
        <f t="shared" si="12"/>
        <v>1354.88</v>
      </c>
      <c r="Z61">
        <f t="shared" si="12"/>
        <v>1354.88</v>
      </c>
    </row>
    <row r="62" spans="3:26" x14ac:dyDescent="0.25">
      <c r="C62" t="s">
        <v>100</v>
      </c>
      <c r="D62">
        <f>D61/(1+$D$13)^(D58-2019)</f>
        <v>1354.88</v>
      </c>
      <c r="E62">
        <f t="shared" ref="E62:Z62" si="13">E61/(1+$D$13)^(E58-2019)</f>
        <v>1315.4174757281555</v>
      </c>
      <c r="F62">
        <f t="shared" si="13"/>
        <v>1277.1043453671414</v>
      </c>
      <c r="G62">
        <f t="shared" si="13"/>
        <v>1239.907131424409</v>
      </c>
      <c r="H62">
        <f t="shared" si="13"/>
        <v>1203.7933314800089</v>
      </c>
      <c r="I62">
        <f t="shared" si="13"/>
        <v>1168.7313897864165</v>
      </c>
      <c r="J62">
        <f t="shared" si="13"/>
        <v>1134.6906696955498</v>
      </c>
      <c r="K62">
        <f t="shared" si="13"/>
        <v>1101.6414268888832</v>
      </c>
      <c r="L62">
        <f t="shared" si="13"/>
        <v>1069.5547833872654</v>
      </c>
      <c r="M62">
        <f t="shared" si="13"/>
        <v>1038.4027023177334</v>
      </c>
      <c r="N62">
        <f t="shared" si="13"/>
        <v>1008.1579634152752</v>
      </c>
      <c r="O62">
        <f t="shared" si="13"/>
        <v>978.79413923813115</v>
      </c>
      <c r="P62">
        <f t="shared" si="13"/>
        <v>950.28557207585561</v>
      </c>
      <c r="Q62">
        <f t="shared" si="13"/>
        <v>922.60735152995699</v>
      </c>
      <c r="R62">
        <f t="shared" si="13"/>
        <v>895.73529274753093</v>
      </c>
      <c r="S62">
        <f t="shared" si="13"/>
        <v>869.6459152888649</v>
      </c>
      <c r="T62">
        <f t="shared" si="13"/>
        <v>844.31642261054867</v>
      </c>
      <c r="U62">
        <f t="shared" si="13"/>
        <v>819.72468214616367</v>
      </c>
      <c r="V62">
        <f t="shared" si="13"/>
        <v>795.84920596714926</v>
      </c>
      <c r="W62">
        <f t="shared" si="13"/>
        <v>772.66913200694103</v>
      </c>
      <c r="X62">
        <f t="shared" si="13"/>
        <v>750.16420583198158</v>
      </c>
      <c r="Y62">
        <f t="shared" si="13"/>
        <v>728.31476294367155</v>
      </c>
      <c r="Z62">
        <f t="shared" si="13"/>
        <v>707.1017115957975</v>
      </c>
    </row>
    <row r="63" spans="3:26" x14ac:dyDescent="0.25">
      <c r="C63" t="s">
        <v>102</v>
      </c>
      <c r="D63">
        <f>SUM(D62:K62)</f>
        <v>9796.165770370566</v>
      </c>
      <c r="E63">
        <f>SUM(E62:L62)</f>
        <v>9510.8405537578328</v>
      </c>
      <c r="F63">
        <f>SUM(F62:M62)</f>
        <v>9233.8257803474062</v>
      </c>
      <c r="G63">
        <f>SUM(G62:N62)</f>
        <v>8964.8793983955402</v>
      </c>
      <c r="H63">
        <f>SUM(H62:O62)</f>
        <v>8703.7664062092626</v>
      </c>
      <c r="I63">
        <f t="shared" ref="I63:N63" si="14">SUM(I62:P62)</f>
        <v>8450.2586468051086</v>
      </c>
      <c r="J63">
        <f t="shared" si="14"/>
        <v>8204.1346085486493</v>
      </c>
      <c r="K63">
        <f t="shared" si="14"/>
        <v>7965.1792316006313</v>
      </c>
      <c r="L63">
        <f t="shared" si="14"/>
        <v>7733.1837200006139</v>
      </c>
      <c r="M63">
        <f t="shared" si="14"/>
        <v>7507.945359223897</v>
      </c>
      <c r="N63">
        <f t="shared" si="14"/>
        <v>7289.2673390523278</v>
      </c>
      <c r="O63">
        <f>SUM(O62:V62)</f>
        <v>7076.9585816042018</v>
      </c>
      <c r="P63">
        <f>SUM(P62:W62)</f>
        <v>6870.8335743730104</v>
      </c>
      <c r="Q63">
        <f>SUM(Q62:X62)</f>
        <v>6670.7122081291363</v>
      </c>
      <c r="R63">
        <f>SUM(R62:Y62)</f>
        <v>6476.4196195428513</v>
      </c>
      <c r="S63">
        <f>SUM(S62:Z62)</f>
        <v>6287.7860383911184</v>
      </c>
      <c r="T63">
        <f t="shared" ref="T63:Z63" si="15">SUM(T41:AA41)</f>
        <v>0</v>
      </c>
      <c r="U63">
        <f t="shared" si="15"/>
        <v>0</v>
      </c>
      <c r="V63">
        <f t="shared" si="15"/>
        <v>0</v>
      </c>
      <c r="W63">
        <f t="shared" si="15"/>
        <v>0</v>
      </c>
      <c r="X63">
        <f t="shared" si="15"/>
        <v>0</v>
      </c>
      <c r="Y63">
        <f t="shared" si="15"/>
        <v>0</v>
      </c>
      <c r="Z63">
        <f t="shared" si="15"/>
        <v>0</v>
      </c>
    </row>
    <row r="65" spans="3:26" x14ac:dyDescent="0.25">
      <c r="C65" t="s">
        <v>103</v>
      </c>
      <c r="D65">
        <f>400</f>
        <v>400</v>
      </c>
    </row>
    <row r="69" spans="3:26" x14ac:dyDescent="0.25">
      <c r="C69" t="s">
        <v>104</v>
      </c>
      <c r="D69">
        <v>3500</v>
      </c>
      <c r="E69">
        <v>3500</v>
      </c>
      <c r="F69">
        <v>3500</v>
      </c>
      <c r="G69">
        <v>3500</v>
      </c>
      <c r="H69">
        <v>3500</v>
      </c>
      <c r="I69">
        <v>3500</v>
      </c>
      <c r="J69">
        <v>3500</v>
      </c>
      <c r="K69">
        <v>3500</v>
      </c>
      <c r="L69">
        <v>3500</v>
      </c>
      <c r="M69">
        <v>3500</v>
      </c>
      <c r="N69">
        <v>3500</v>
      </c>
      <c r="O69">
        <v>3500</v>
      </c>
      <c r="P69">
        <v>3500</v>
      </c>
      <c r="Q69">
        <v>3500</v>
      </c>
      <c r="R69">
        <v>3500</v>
      </c>
      <c r="S69">
        <v>3500</v>
      </c>
      <c r="T69">
        <v>3500</v>
      </c>
      <c r="U69">
        <v>3500</v>
      </c>
      <c r="V69">
        <v>3500</v>
      </c>
      <c r="W69">
        <v>3500</v>
      </c>
      <c r="X69">
        <v>3500</v>
      </c>
      <c r="Y69">
        <v>3500</v>
      </c>
      <c r="Z69">
        <v>3500</v>
      </c>
    </row>
    <row r="70" spans="3:26" x14ac:dyDescent="0.25">
      <c r="C70" t="s">
        <v>105</v>
      </c>
      <c r="D70">
        <f>D69/(1+$D$13)^(D58-2019)</f>
        <v>3500</v>
      </c>
      <c r="E70">
        <f t="shared" ref="E70:Z70" si="16">E69/(1+$D$13)^(E58-2019)</f>
        <v>3398.0582524271845</v>
      </c>
      <c r="F70">
        <f t="shared" si="16"/>
        <v>3299.0856819681403</v>
      </c>
      <c r="G70">
        <f t="shared" si="16"/>
        <v>3202.9958077360584</v>
      </c>
      <c r="H70">
        <f t="shared" si="16"/>
        <v>3109.7046677049116</v>
      </c>
      <c r="I70">
        <f t="shared" si="16"/>
        <v>3019.1307453445743</v>
      </c>
      <c r="J70">
        <f t="shared" si="16"/>
        <v>2931.1948983927905</v>
      </c>
      <c r="K70">
        <f t="shared" si="16"/>
        <v>2845.8202897017381</v>
      </c>
      <c r="L70">
        <f t="shared" si="16"/>
        <v>2762.9323200987751</v>
      </c>
      <c r="M70">
        <f t="shared" si="16"/>
        <v>2682.4585632026942</v>
      </c>
      <c r="N70">
        <f t="shared" si="16"/>
        <v>2604.3287021385381</v>
      </c>
      <c r="O70">
        <f t="shared" si="16"/>
        <v>2528.4744680956678</v>
      </c>
      <c r="P70">
        <f t="shared" si="16"/>
        <v>2454.8295806754063</v>
      </c>
      <c r="Q70">
        <f t="shared" si="16"/>
        <v>2383.3296899761226</v>
      </c>
      <c r="R70">
        <f t="shared" si="16"/>
        <v>2313.9123203651675</v>
      </c>
      <c r="S70">
        <f t="shared" si="16"/>
        <v>2246.5168158885117</v>
      </c>
      <c r="T70">
        <f t="shared" si="16"/>
        <v>2181.0842872704002</v>
      </c>
      <c r="U70">
        <f t="shared" si="16"/>
        <v>2117.5575604566993</v>
      </c>
      <c r="V70">
        <f t="shared" si="16"/>
        <v>2055.8811266569896</v>
      </c>
      <c r="W70">
        <f t="shared" si="16"/>
        <v>1996.0010938417374</v>
      </c>
      <c r="X70">
        <f t="shared" si="16"/>
        <v>1937.8651396521723</v>
      </c>
      <c r="Y70">
        <f t="shared" si="16"/>
        <v>1881.422465681721</v>
      </c>
      <c r="Z70">
        <f t="shared" si="16"/>
        <v>1826.6237530890494</v>
      </c>
    </row>
    <row r="71" spans="3:26" x14ac:dyDescent="0.25">
      <c r="C71" t="s">
        <v>106</v>
      </c>
      <c r="D71">
        <f>SUM(D70:K70)</f>
        <v>25305.9903432754</v>
      </c>
      <c r="E71" s="145">
        <f>NPV(0.03,E70:L70)</f>
        <v>21657.07245861413</v>
      </c>
      <c r="F71" s="145">
        <f t="shared" ref="F71:O71" si="17">NPV(0.03,F70:M70)</f>
        <v>21026.283940402063</v>
      </c>
      <c r="G71" s="145">
        <f t="shared" si="17"/>
        <v>20413.867903302973</v>
      </c>
      <c r="H71" s="145">
        <f t="shared" si="17"/>
        <v>19819.289226507743</v>
      </c>
      <c r="I71" s="145">
        <f t="shared" si="17"/>
        <v>19242.028375250236</v>
      </c>
      <c r="J71" s="145">
        <f t="shared" si="17"/>
        <v>18681.58094684489</v>
      </c>
      <c r="K71" s="145">
        <f t="shared" si="17"/>
        <v>18137.457229946493</v>
      </c>
      <c r="L71" s="145">
        <f t="shared" si="17"/>
        <v>17609.181776647089</v>
      </c>
      <c r="M71" s="145">
        <f t="shared" si="17"/>
        <v>17096.292987036006</v>
      </c>
      <c r="N71" s="145">
        <f t="shared" si="17"/>
        <v>16598.342705860196</v>
      </c>
      <c r="O71" s="145">
        <f t="shared" si="17"/>
        <v>16114.895830932232</v>
      </c>
    </row>
    <row r="74" spans="3:26" x14ac:dyDescent="0.25">
      <c r="C74" t="s">
        <v>98</v>
      </c>
      <c r="D74">
        <f>40*365</f>
        <v>14600</v>
      </c>
      <c r="E74">
        <f t="shared" ref="E74:Z74" si="18">40*365</f>
        <v>14600</v>
      </c>
      <c r="F74">
        <f t="shared" si="18"/>
        <v>14600</v>
      </c>
      <c r="G74">
        <f t="shared" si="18"/>
        <v>14600</v>
      </c>
      <c r="H74">
        <f t="shared" si="18"/>
        <v>14600</v>
      </c>
      <c r="I74">
        <f t="shared" si="18"/>
        <v>14600</v>
      </c>
      <c r="J74">
        <f t="shared" si="18"/>
        <v>14600</v>
      </c>
      <c r="K74">
        <f t="shared" si="18"/>
        <v>14600</v>
      </c>
      <c r="L74">
        <f t="shared" si="18"/>
        <v>14600</v>
      </c>
      <c r="M74">
        <f t="shared" si="18"/>
        <v>14600</v>
      </c>
      <c r="N74">
        <f t="shared" si="18"/>
        <v>14600</v>
      </c>
      <c r="O74">
        <f t="shared" si="18"/>
        <v>14600</v>
      </c>
      <c r="P74">
        <f t="shared" si="18"/>
        <v>14600</v>
      </c>
      <c r="Q74">
        <f t="shared" si="18"/>
        <v>14600</v>
      </c>
      <c r="R74">
        <f t="shared" si="18"/>
        <v>14600</v>
      </c>
      <c r="S74">
        <f t="shared" si="18"/>
        <v>14600</v>
      </c>
      <c r="T74">
        <f t="shared" si="18"/>
        <v>14600</v>
      </c>
      <c r="U74">
        <f t="shared" si="18"/>
        <v>14600</v>
      </c>
      <c r="V74">
        <f t="shared" si="18"/>
        <v>14600</v>
      </c>
      <c r="W74">
        <f t="shared" si="18"/>
        <v>14600</v>
      </c>
      <c r="X74">
        <f t="shared" si="18"/>
        <v>14600</v>
      </c>
      <c r="Y74">
        <f t="shared" si="18"/>
        <v>14600</v>
      </c>
      <c r="Z74">
        <f t="shared" si="18"/>
        <v>14600</v>
      </c>
    </row>
    <row r="75" spans="3:26" x14ac:dyDescent="0.25">
      <c r="C75" t="s">
        <v>107</v>
      </c>
      <c r="D75" s="66">
        <f t="shared" ref="D75:O75" si="19">(D27/100)*D74</f>
        <v>773.8</v>
      </c>
      <c r="E75" s="66">
        <f t="shared" si="19"/>
        <v>773.8</v>
      </c>
      <c r="F75" s="66">
        <f t="shared" si="19"/>
        <v>773.8</v>
      </c>
      <c r="G75" s="66">
        <f t="shared" si="19"/>
        <v>773.8</v>
      </c>
      <c r="H75" s="66">
        <f t="shared" si="19"/>
        <v>773.8</v>
      </c>
      <c r="I75" s="66">
        <f t="shared" si="19"/>
        <v>773.8</v>
      </c>
      <c r="J75" s="66">
        <f t="shared" si="19"/>
        <v>773.8</v>
      </c>
      <c r="K75" s="66">
        <f t="shared" si="19"/>
        <v>773.8</v>
      </c>
      <c r="L75" s="66">
        <f t="shared" si="19"/>
        <v>773.8</v>
      </c>
      <c r="M75" s="66">
        <f t="shared" si="19"/>
        <v>773.8</v>
      </c>
      <c r="N75" s="66">
        <f t="shared" si="19"/>
        <v>773.8</v>
      </c>
      <c r="O75" s="66">
        <f t="shared" si="19"/>
        <v>773.8</v>
      </c>
      <c r="P75" s="66">
        <f>O75</f>
        <v>773.8</v>
      </c>
      <c r="Q75" s="66">
        <f t="shared" ref="Q75:Z75" si="20">P75</f>
        <v>773.8</v>
      </c>
      <c r="R75" s="66">
        <f t="shared" si="20"/>
        <v>773.8</v>
      </c>
      <c r="S75" s="66">
        <f t="shared" si="20"/>
        <v>773.8</v>
      </c>
      <c r="T75" s="66">
        <f t="shared" si="20"/>
        <v>773.8</v>
      </c>
      <c r="U75" s="66">
        <f t="shared" si="20"/>
        <v>773.8</v>
      </c>
      <c r="V75" s="66">
        <f t="shared" si="20"/>
        <v>773.8</v>
      </c>
      <c r="W75" s="66">
        <f t="shared" si="20"/>
        <v>773.8</v>
      </c>
      <c r="X75" s="66">
        <f t="shared" si="20"/>
        <v>773.8</v>
      </c>
      <c r="Y75" s="66">
        <f t="shared" si="20"/>
        <v>773.8</v>
      </c>
      <c r="Z75" s="66">
        <f t="shared" si="20"/>
        <v>773.8</v>
      </c>
    </row>
    <row r="76" spans="3:26" x14ac:dyDescent="0.25">
      <c r="C76" t="s">
        <v>108</v>
      </c>
      <c r="D76">
        <f>D75*$D$28</f>
        <v>5416.5999999999995</v>
      </c>
      <c r="E76">
        <f t="shared" ref="E76:Z76" si="21">E75*$D$28</f>
        <v>5416.5999999999995</v>
      </c>
      <c r="F76">
        <f t="shared" si="21"/>
        <v>5416.5999999999995</v>
      </c>
      <c r="G76">
        <f t="shared" si="21"/>
        <v>5416.5999999999995</v>
      </c>
      <c r="H76">
        <f t="shared" si="21"/>
        <v>5416.5999999999995</v>
      </c>
      <c r="I76">
        <f t="shared" si="21"/>
        <v>5416.5999999999995</v>
      </c>
      <c r="J76">
        <f t="shared" si="21"/>
        <v>5416.5999999999995</v>
      </c>
      <c r="K76">
        <f t="shared" si="21"/>
        <v>5416.5999999999995</v>
      </c>
      <c r="L76">
        <f t="shared" si="21"/>
        <v>5416.5999999999995</v>
      </c>
      <c r="M76">
        <f t="shared" si="21"/>
        <v>5416.5999999999995</v>
      </c>
      <c r="N76">
        <f t="shared" si="21"/>
        <v>5416.5999999999995</v>
      </c>
      <c r="O76">
        <f t="shared" si="21"/>
        <v>5416.5999999999995</v>
      </c>
      <c r="P76">
        <f t="shared" si="21"/>
        <v>5416.5999999999995</v>
      </c>
      <c r="Q76">
        <f t="shared" si="21"/>
        <v>5416.5999999999995</v>
      </c>
      <c r="R76">
        <f t="shared" si="21"/>
        <v>5416.5999999999995</v>
      </c>
      <c r="S76">
        <f t="shared" si="21"/>
        <v>5416.5999999999995</v>
      </c>
      <c r="T76">
        <f t="shared" si="21"/>
        <v>5416.5999999999995</v>
      </c>
      <c r="U76">
        <f t="shared" si="21"/>
        <v>5416.5999999999995</v>
      </c>
      <c r="V76">
        <f t="shared" si="21"/>
        <v>5416.5999999999995</v>
      </c>
      <c r="W76">
        <f t="shared" si="21"/>
        <v>5416.5999999999995</v>
      </c>
      <c r="X76">
        <f t="shared" si="21"/>
        <v>5416.5999999999995</v>
      </c>
      <c r="Y76">
        <f t="shared" si="21"/>
        <v>5416.5999999999995</v>
      </c>
      <c r="Z76">
        <f t="shared" si="21"/>
        <v>5416.5999999999995</v>
      </c>
    </row>
    <row r="77" spans="3:26" x14ac:dyDescent="0.25">
      <c r="D77">
        <f>D76/(1+$D$29)^(D58-2019)</f>
        <v>5416.5999999999995</v>
      </c>
      <c r="E77">
        <f t="shared" ref="E77:Z77" si="22">E76/(1+$D$29)^(E58-2019)</f>
        <v>5258.8349514563097</v>
      </c>
      <c r="F77">
        <f t="shared" si="22"/>
        <v>5105.6650014138932</v>
      </c>
      <c r="G77">
        <f t="shared" si="22"/>
        <v>4956.9563120523235</v>
      </c>
      <c r="H77">
        <f t="shared" si="22"/>
        <v>4812.5789437401208</v>
      </c>
      <c r="I77">
        <f t="shared" si="22"/>
        <v>4672.4067414952624</v>
      </c>
      <c r="J77">
        <f t="shared" si="22"/>
        <v>4536.3172247526818</v>
      </c>
      <c r="K77">
        <f t="shared" si="22"/>
        <v>4404.1914803424097</v>
      </c>
      <c r="L77">
        <f t="shared" si="22"/>
        <v>4275.9140585848645</v>
      </c>
      <c r="M77">
        <f t="shared" si="22"/>
        <v>4151.3728724124894</v>
      </c>
      <c r="N77">
        <f t="shared" si="22"/>
        <v>4030.4590994296013</v>
      </c>
      <c r="O77">
        <f t="shared" si="22"/>
        <v>3913.0670868248553</v>
      </c>
      <c r="P77">
        <f t="shared" si="22"/>
        <v>3799.0942590532582</v>
      </c>
      <c r="Q77">
        <f t="shared" si="22"/>
        <v>3688.4410282070471</v>
      </c>
      <c r="R77">
        <f t="shared" si="22"/>
        <v>3581.0107069971327</v>
      </c>
      <c r="S77">
        <f t="shared" si="22"/>
        <v>3476.7094242690605</v>
      </c>
      <c r="T77">
        <f t="shared" si="22"/>
        <v>3375.4460429796713</v>
      </c>
      <c r="U77">
        <f t="shared" si="22"/>
        <v>3277.1320805627875</v>
      </c>
      <c r="V77">
        <f t="shared" si="22"/>
        <v>3181.6816316143568</v>
      </c>
      <c r="W77">
        <f t="shared" si="22"/>
        <v>3089.0112928294725</v>
      </c>
      <c r="X77">
        <f t="shared" si="22"/>
        <v>2999.0400901257017</v>
      </c>
      <c r="Y77">
        <f t="shared" si="22"/>
        <v>2911.6894078890309</v>
      </c>
      <c r="Z77">
        <f t="shared" si="22"/>
        <v>2826.8829202806123</v>
      </c>
    </row>
    <row r="78" spans="3:26" x14ac:dyDescent="0.25">
      <c r="D78">
        <f>SUM(D77:K77)</f>
        <v>39163.550655252999</v>
      </c>
      <c r="E78">
        <f t="shared" ref="E78:O78" si="23">SUM(E77:L77)</f>
        <v>38022.864713837866</v>
      </c>
      <c r="F78">
        <f t="shared" si="23"/>
        <v>36915.402634794045</v>
      </c>
      <c r="G78">
        <f t="shared" si="23"/>
        <v>35840.196732809753</v>
      </c>
      <c r="H78">
        <f t="shared" si="23"/>
        <v>34796.307507582285</v>
      </c>
      <c r="I78">
        <f t="shared" si="23"/>
        <v>33782.822822895425</v>
      </c>
      <c r="J78">
        <f t="shared" si="23"/>
        <v>32798.857109607205</v>
      </c>
      <c r="K78">
        <f t="shared" si="23"/>
        <v>31843.550591851657</v>
      </c>
      <c r="L78">
        <f t="shared" si="23"/>
        <v>30916.068535778311</v>
      </c>
      <c r="M78">
        <f t="shared" si="23"/>
        <v>30015.600520173117</v>
      </c>
      <c r="N78">
        <f t="shared" si="23"/>
        <v>29141.359728323416</v>
      </c>
      <c r="O78">
        <f t="shared" si="23"/>
        <v>28292.58226050817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7"/>
  <sheetViews>
    <sheetView topLeftCell="A13" zoomScaleNormal="100" workbookViewId="0">
      <selection activeCell="C4" sqref="C4:O35"/>
    </sheetView>
  </sheetViews>
  <sheetFormatPr defaultRowHeight="14.4" x14ac:dyDescent="0.25"/>
  <cols>
    <col min="3" max="3" width="36.88671875" bestFit="1" customWidth="1"/>
    <col min="4" max="4" width="13.88671875" bestFit="1" customWidth="1"/>
    <col min="5" max="9" width="12.77734375" bestFit="1" customWidth="1"/>
    <col min="10" max="10" width="12.77734375" customWidth="1"/>
    <col min="11" max="15" width="12.77734375" bestFit="1" customWidth="1"/>
    <col min="16" max="16" width="10.5546875" bestFit="1" customWidth="1"/>
  </cols>
  <sheetData>
    <row r="4" spans="3:15" x14ac:dyDescent="0.25">
      <c r="C4" s="131" t="s">
        <v>366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62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98">
        <v>27843.852241504803</v>
      </c>
    </row>
    <row r="7" spans="3:15" x14ac:dyDescent="0.25">
      <c r="C7" s="243" t="s">
        <v>46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99">
        <f t="shared" si="0"/>
        <v>2784.3852241504806</v>
      </c>
    </row>
    <row r="8" spans="3:15" x14ac:dyDescent="0.25">
      <c r="C8" s="243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0">
        <f t="shared" si="1"/>
        <v>30628.237465655282</v>
      </c>
    </row>
    <row r="9" spans="3:15" x14ac:dyDescent="0.25">
      <c r="C9" s="243" t="s">
        <v>84</v>
      </c>
      <c r="D9" s="79">
        <v>60</v>
      </c>
      <c r="E9" s="90">
        <v>60</v>
      </c>
      <c r="F9" s="90">
        <v>60</v>
      </c>
      <c r="G9" s="90">
        <v>60</v>
      </c>
      <c r="H9" s="94">
        <v>60</v>
      </c>
      <c r="I9" s="94">
        <v>60</v>
      </c>
      <c r="J9" s="94">
        <v>60</v>
      </c>
      <c r="K9" s="95">
        <v>60</v>
      </c>
      <c r="L9" s="95">
        <v>60</v>
      </c>
      <c r="M9" s="95">
        <v>60</v>
      </c>
      <c r="N9" s="95">
        <v>60</v>
      </c>
      <c r="O9" s="101">
        <v>60</v>
      </c>
    </row>
    <row r="10" spans="3:15" x14ac:dyDescent="0.25">
      <c r="C10" s="243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101">
        <v>8</v>
      </c>
    </row>
    <row r="11" spans="3:15" x14ac:dyDescent="0.25">
      <c r="C11" s="243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101">
        <v>11.6</v>
      </c>
    </row>
    <row r="12" spans="3:15" x14ac:dyDescent="0.25">
      <c r="C12" s="243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101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14694.248655555843</v>
      </c>
      <c r="E14" s="90">
        <v>14266.260830636738</v>
      </c>
      <c r="F14" s="90">
        <v>13850.738670521107</v>
      </c>
      <c r="G14" s="90">
        <v>13447.31909759331</v>
      </c>
      <c r="H14" s="94">
        <v>13055.649609313894</v>
      </c>
      <c r="I14" s="94">
        <v>12675.387970207661</v>
      </c>
      <c r="J14" s="94">
        <v>12306.201912822971</v>
      </c>
      <c r="K14" s="95">
        <v>11947.768847400945</v>
      </c>
      <c r="L14" s="95">
        <v>11599.775580000918</v>
      </c>
      <c r="M14" s="95">
        <v>11261.918038835844</v>
      </c>
      <c r="N14" s="95">
        <v>10933.901008578488</v>
      </c>
      <c r="O14" s="101">
        <v>10615.437872406299</v>
      </c>
    </row>
    <row r="15" spans="3:15" x14ac:dyDescent="0.25">
      <c r="C15" s="243" t="s">
        <v>89</v>
      </c>
      <c r="D15" s="79">
        <v>3300</v>
      </c>
      <c r="E15" s="90">
        <f>D15*(1-$D$13)</f>
        <v>3201</v>
      </c>
      <c r="F15" s="90">
        <f t="shared" ref="F15:O15" si="2">E15*(1-$D$13)</f>
        <v>3104.97</v>
      </c>
      <c r="G15" s="90">
        <f t="shared" si="2"/>
        <v>3011.8208999999997</v>
      </c>
      <c r="H15" s="94">
        <f t="shared" si="2"/>
        <v>2921.4662729999995</v>
      </c>
      <c r="I15" s="94">
        <f t="shared" si="2"/>
        <v>2833.8222848099995</v>
      </c>
      <c r="J15" s="94">
        <f t="shared" si="2"/>
        <v>2748.8076162656994</v>
      </c>
      <c r="K15" s="95">
        <f t="shared" si="2"/>
        <v>2666.3433877777284</v>
      </c>
      <c r="L15" s="95">
        <f t="shared" si="2"/>
        <v>2586.3530861443965</v>
      </c>
      <c r="M15" s="95">
        <f t="shared" si="2"/>
        <v>2508.7624935600643</v>
      </c>
      <c r="N15" s="95">
        <f t="shared" si="2"/>
        <v>2433.4996187532624</v>
      </c>
      <c r="O15" s="101">
        <f t="shared" si="2"/>
        <v>2360.4946301906643</v>
      </c>
    </row>
    <row r="16" spans="3:15" x14ac:dyDescent="0.25">
      <c r="C16" s="243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101">
        <v>16114.895830932232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101">
        <f t="shared" si="3"/>
        <v>4176.5778362257206</v>
      </c>
    </row>
    <row r="19" spans="3:15" x14ac:dyDescent="0.25">
      <c r="C19" s="244" t="s">
        <v>93</v>
      </c>
      <c r="D19" s="161">
        <f>D8+D14+D15+D16+D17-D18</f>
        <v>97253.98899883125</v>
      </c>
      <c r="E19" s="158">
        <f t="shared" ref="E19:O19" si="4">E8+E14+E15+E16+E17-E18</f>
        <v>88766.883289250865</v>
      </c>
      <c r="F19" s="158">
        <f t="shared" si="4"/>
        <v>89109.282610923183</v>
      </c>
      <c r="G19" s="158">
        <f t="shared" si="4"/>
        <v>84061.293900896286</v>
      </c>
      <c r="H19" s="159">
        <f t="shared" si="4"/>
        <v>79420.587508821642</v>
      </c>
      <c r="I19" s="159">
        <f t="shared" si="4"/>
        <v>75148.727790267891</v>
      </c>
      <c r="J19" s="159">
        <f t="shared" si="4"/>
        <v>71211.055719933574</v>
      </c>
      <c r="K19" s="162">
        <f t="shared" si="4"/>
        <v>67576.313184725179</v>
      </c>
      <c r="L19" s="162">
        <f t="shared" si="4"/>
        <v>64216.304790432405</v>
      </c>
      <c r="M19" s="162">
        <f t="shared" si="4"/>
        <v>61105.593432307905</v>
      </c>
      <c r="N19" s="162">
        <f t="shared" si="4"/>
        <v>58221.226254780348</v>
      </c>
      <c r="O19" s="172">
        <f t="shared" si="4"/>
        <v>55542.487962958767</v>
      </c>
    </row>
    <row r="20" spans="3:15" x14ac:dyDescent="0.25">
      <c r="C20" s="131" t="s">
        <v>368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237"/>
      <c r="D21" s="238">
        <v>2019</v>
      </c>
      <c r="E21" s="239">
        <v>2020</v>
      </c>
      <c r="F21" s="239">
        <v>2021</v>
      </c>
      <c r="G21" s="239">
        <v>2022</v>
      </c>
      <c r="H21" s="240">
        <v>2023</v>
      </c>
      <c r="I21" s="240">
        <v>2024</v>
      </c>
      <c r="J21" s="240">
        <v>2025</v>
      </c>
      <c r="K21" s="241">
        <v>2026</v>
      </c>
      <c r="L21" s="241">
        <v>2027</v>
      </c>
      <c r="M21" s="241">
        <v>2028</v>
      </c>
      <c r="N21" s="241">
        <v>2029</v>
      </c>
      <c r="O21" s="242">
        <v>2030</v>
      </c>
    </row>
    <row r="22" spans="3:15" x14ac:dyDescent="0.25">
      <c r="C22" s="243" t="s">
        <v>55</v>
      </c>
      <c r="D22" s="70">
        <v>51066</v>
      </c>
      <c r="E22" s="87">
        <v>51366</v>
      </c>
      <c r="F22" s="87">
        <v>51672</v>
      </c>
      <c r="G22" s="87">
        <v>51984.12</v>
      </c>
      <c r="H22" s="88">
        <v>52302.482400000001</v>
      </c>
      <c r="I22" s="88">
        <v>52627.212048000001</v>
      </c>
      <c r="J22" s="88">
        <v>52958.436288960002</v>
      </c>
      <c r="K22" s="89">
        <v>53296.285014739202</v>
      </c>
      <c r="L22" s="89">
        <v>53640.89071503398</v>
      </c>
      <c r="M22" s="89">
        <v>53992.388529334654</v>
      </c>
      <c r="N22" s="89">
        <v>54350.916299921344</v>
      </c>
      <c r="O22" s="245">
        <v>54716.614625919778</v>
      </c>
    </row>
    <row r="23" spans="3:15" x14ac:dyDescent="0.25">
      <c r="C23" s="243" t="s">
        <v>46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99">
        <v>5865.0614625919779</v>
      </c>
    </row>
    <row r="24" spans="3:15" x14ac:dyDescent="0.25">
      <c r="C24" s="243" t="s">
        <v>56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98">
        <v>64515.676088511755</v>
      </c>
    </row>
    <row r="25" spans="3:15" x14ac:dyDescent="0.25">
      <c r="C25" s="243" t="s">
        <v>84</v>
      </c>
      <c r="D25" s="79">
        <v>60</v>
      </c>
      <c r="E25" s="71">
        <f>D25</f>
        <v>60</v>
      </c>
      <c r="F25" s="71">
        <f t="shared" ref="F25:O25" si="5">E25</f>
        <v>60</v>
      </c>
      <c r="G25" s="80">
        <f t="shared" si="5"/>
        <v>60</v>
      </c>
      <c r="H25" s="72">
        <f t="shared" si="5"/>
        <v>60</v>
      </c>
      <c r="I25" s="72">
        <f t="shared" si="5"/>
        <v>60</v>
      </c>
      <c r="J25" s="72">
        <f t="shared" si="5"/>
        <v>60</v>
      </c>
      <c r="K25" s="73">
        <f t="shared" si="5"/>
        <v>60</v>
      </c>
      <c r="L25" s="73">
        <f t="shared" si="5"/>
        <v>60</v>
      </c>
      <c r="M25" s="73">
        <f t="shared" si="5"/>
        <v>60</v>
      </c>
      <c r="N25" s="73">
        <f t="shared" si="5"/>
        <v>60</v>
      </c>
      <c r="O25" s="98">
        <f t="shared" si="5"/>
        <v>60</v>
      </c>
    </row>
    <row r="26" spans="3:15" x14ac:dyDescent="0.25">
      <c r="C26" s="243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98">
        <v>8</v>
      </c>
    </row>
    <row r="27" spans="3:15" x14ac:dyDescent="0.25">
      <c r="C27" s="243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98">
        <v>5.3</v>
      </c>
    </row>
    <row r="28" spans="3:15" x14ac:dyDescent="0.25">
      <c r="C28" s="243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98">
        <v>7</v>
      </c>
    </row>
    <row r="29" spans="3:15" x14ac:dyDescent="0.25">
      <c r="C29" s="243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246">
        <v>0.03</v>
      </c>
    </row>
    <row r="30" spans="3:15" x14ac:dyDescent="0.25">
      <c r="C30" s="243" t="s">
        <v>88</v>
      </c>
      <c r="D30" s="70">
        <v>58745.325982879513</v>
      </c>
      <c r="E30" s="71">
        <v>57034.297070756809</v>
      </c>
      <c r="F30" s="71">
        <v>55373.103952191079</v>
      </c>
      <c r="G30" s="80">
        <v>53760.295099214643</v>
      </c>
      <c r="H30" s="72">
        <v>52194.461261373435</v>
      </c>
      <c r="I30" s="72">
        <v>50674.234234343145</v>
      </c>
      <c r="J30" s="72">
        <v>49198.285664410818</v>
      </c>
      <c r="K30" s="73">
        <v>47765.325887777493</v>
      </c>
      <c r="L30" s="73">
        <v>46374.102803667462</v>
      </c>
      <c r="M30" s="73">
        <v>45023.400780259683</v>
      </c>
      <c r="N30" s="73">
        <v>43712.039592485125</v>
      </c>
      <c r="O30" s="98">
        <v>42438.873390762259</v>
      </c>
    </row>
    <row r="31" spans="3:15" x14ac:dyDescent="0.25">
      <c r="C31" s="243" t="s">
        <v>89</v>
      </c>
      <c r="D31" s="70">
        <f>17*1200+18*600</f>
        <v>31200</v>
      </c>
      <c r="E31" s="71">
        <f>D31*(1-$D$29)</f>
        <v>30264</v>
      </c>
      <c r="F31" s="71">
        <f t="shared" ref="F31:O31" si="6">E31*(1-$D$29)</f>
        <v>29356.079999999998</v>
      </c>
      <c r="G31" s="80">
        <f t="shared" si="6"/>
        <v>28475.397599999997</v>
      </c>
      <c r="H31" s="72">
        <f t="shared" si="6"/>
        <v>27621.135671999997</v>
      </c>
      <c r="I31" s="72">
        <f t="shared" si="6"/>
        <v>26792.501601839995</v>
      </c>
      <c r="J31" s="72">
        <f t="shared" si="6"/>
        <v>25988.726553784792</v>
      </c>
      <c r="K31" s="73">
        <f t="shared" si="6"/>
        <v>25209.064757171247</v>
      </c>
      <c r="L31" s="73">
        <f t="shared" si="6"/>
        <v>24452.792814456108</v>
      </c>
      <c r="M31" s="73">
        <f t="shared" si="6"/>
        <v>23719.209030022423</v>
      </c>
      <c r="N31" s="73">
        <f t="shared" si="6"/>
        <v>23007.632759121749</v>
      </c>
      <c r="O31" s="98">
        <f t="shared" si="6"/>
        <v>22317.403776348096</v>
      </c>
    </row>
    <row r="32" spans="3:15" x14ac:dyDescent="0.25">
      <c r="C32" s="243" t="s">
        <v>90</v>
      </c>
      <c r="D32" s="79">
        <v>21690.848865664626</v>
      </c>
      <c r="E32" s="71">
        <v>21059.076568606433</v>
      </c>
      <c r="F32" s="71">
        <v>20445.705406414014</v>
      </c>
      <c r="G32" s="80">
        <v>19850.199423702925</v>
      </c>
      <c r="H32" s="72">
        <v>19272.038275439732</v>
      </c>
      <c r="I32" s="72">
        <v>18710.716772271586</v>
      </c>
      <c r="J32" s="72">
        <v>18165.744439098631</v>
      </c>
      <c r="K32" s="73">
        <v>17636.645086503522</v>
      </c>
      <c r="L32" s="73">
        <v>17122.956394663615</v>
      </c>
      <c r="M32" s="73">
        <v>16624.229509382149</v>
      </c>
      <c r="N32" s="73">
        <v>16140.02864988558</v>
      </c>
      <c r="O32" s="98">
        <v>15669.930728044254</v>
      </c>
    </row>
    <row r="33" spans="3:15" x14ac:dyDescent="0.25">
      <c r="C33" s="243" t="s">
        <v>91</v>
      </c>
      <c r="D33" s="79">
        <v>360</v>
      </c>
      <c r="E33" s="71">
        <f>D33*(1-$D$29)</f>
        <v>349.2</v>
      </c>
      <c r="F33" s="71">
        <f t="shared" ref="F33:O33" si="7">E33*(1-$D$29)</f>
        <v>338.72399999999999</v>
      </c>
      <c r="G33" s="80">
        <f t="shared" si="7"/>
        <v>328.56227999999999</v>
      </c>
      <c r="H33" s="72">
        <f t="shared" si="7"/>
        <v>318.70541159999999</v>
      </c>
      <c r="I33" s="72">
        <f t="shared" si="7"/>
        <v>309.14424925200001</v>
      </c>
      <c r="J33" s="72">
        <f t="shared" si="7"/>
        <v>299.86992177444</v>
      </c>
      <c r="K33" s="73">
        <f t="shared" si="7"/>
        <v>290.87382412120678</v>
      </c>
      <c r="L33" s="73">
        <f t="shared" si="7"/>
        <v>282.14760939757059</v>
      </c>
      <c r="M33" s="73">
        <f t="shared" si="7"/>
        <v>273.68318111564349</v>
      </c>
      <c r="N33" s="73">
        <f t="shared" si="7"/>
        <v>265.47268568217419</v>
      </c>
      <c r="O33" s="98">
        <f t="shared" si="7"/>
        <v>257.50850511170893</v>
      </c>
    </row>
    <row r="34" spans="3:15" x14ac:dyDescent="0.25">
      <c r="C34" s="243" t="s">
        <v>87</v>
      </c>
      <c r="D34" s="79">
        <f>0.35*D22</f>
        <v>17873.099999999999</v>
      </c>
      <c r="E34" s="71">
        <f t="shared" ref="E34:O34" si="8">0.35*E22</f>
        <v>17978.099999999999</v>
      </c>
      <c r="F34" s="71">
        <f t="shared" si="8"/>
        <v>18085.199999999997</v>
      </c>
      <c r="G34" s="80">
        <f t="shared" si="8"/>
        <v>18194.441999999999</v>
      </c>
      <c r="H34" s="72">
        <f t="shared" si="8"/>
        <v>18305.868839999999</v>
      </c>
      <c r="I34" s="72">
        <f t="shared" si="8"/>
        <v>18419.5242168</v>
      </c>
      <c r="J34" s="72">
        <f t="shared" si="8"/>
        <v>18535.452701136001</v>
      </c>
      <c r="K34" s="73">
        <f t="shared" si="8"/>
        <v>18653.699755158719</v>
      </c>
      <c r="L34" s="73">
        <f t="shared" si="8"/>
        <v>18774.311750261892</v>
      </c>
      <c r="M34" s="73">
        <f t="shared" si="8"/>
        <v>18897.335985267127</v>
      </c>
      <c r="N34" s="73">
        <f t="shared" si="8"/>
        <v>19022.82070497247</v>
      </c>
      <c r="O34" s="98">
        <f t="shared" si="8"/>
        <v>19150.815119071922</v>
      </c>
    </row>
    <row r="35" spans="3:15" x14ac:dyDescent="0.25">
      <c r="C35" s="244" t="s">
        <v>93</v>
      </c>
      <c r="D35" s="163">
        <f>D24+D30+D31+D32-D34</f>
        <v>154263.07484854411</v>
      </c>
      <c r="E35" s="164">
        <f t="shared" ref="E35:O35" si="9">E24+E30+E31+E32-E34</f>
        <v>151209.27363936324</v>
      </c>
      <c r="F35" s="164">
        <f t="shared" si="9"/>
        <v>148256.28935860511</v>
      </c>
      <c r="G35" s="165">
        <f t="shared" si="9"/>
        <v>145401.38212291757</v>
      </c>
      <c r="H35" s="166">
        <f t="shared" si="9"/>
        <v>142641.89700881316</v>
      </c>
      <c r="I35" s="166">
        <f t="shared" si="9"/>
        <v>139975.26164445473</v>
      </c>
      <c r="J35" s="166">
        <f t="shared" si="9"/>
        <v>137398.98387401426</v>
      </c>
      <c r="K35" s="167">
        <f t="shared" si="9"/>
        <v>134910.64949250667</v>
      </c>
      <c r="L35" s="167">
        <f t="shared" si="9"/>
        <v>132507.92004906264</v>
      </c>
      <c r="M35" s="167">
        <f t="shared" si="9"/>
        <v>130188.53071666526</v>
      </c>
      <c r="N35" s="167">
        <f t="shared" si="9"/>
        <v>127950.28822643346</v>
      </c>
      <c r="O35" s="247">
        <f t="shared" si="9"/>
        <v>125791.06886459445</v>
      </c>
    </row>
    <row r="36" spans="3:15" x14ac:dyDescent="0.25">
      <c r="D36" s="193">
        <v>2019</v>
      </c>
      <c r="E36" s="193">
        <v>2020</v>
      </c>
      <c r="F36" s="193">
        <v>2021</v>
      </c>
      <c r="G36" s="193">
        <v>2022</v>
      </c>
      <c r="H36" s="193">
        <v>2023</v>
      </c>
      <c r="I36" s="193">
        <v>2024</v>
      </c>
      <c r="J36" s="193">
        <v>2025</v>
      </c>
      <c r="K36" s="193">
        <v>2026</v>
      </c>
      <c r="L36" s="193">
        <v>2027</v>
      </c>
      <c r="M36" s="193">
        <v>2028</v>
      </c>
      <c r="N36" s="193">
        <v>2029</v>
      </c>
      <c r="O36" s="193">
        <v>2030</v>
      </c>
    </row>
    <row r="37" spans="3:15" x14ac:dyDescent="0.25">
      <c r="C37" t="s">
        <v>303</v>
      </c>
      <c r="D37" s="30">
        <f t="shared" ref="D37:O37" si="10">D19-D35</f>
        <v>-57009.085849712865</v>
      </c>
      <c r="E37" s="30">
        <f t="shared" si="10"/>
        <v>-62442.390350112371</v>
      </c>
      <c r="F37" s="30">
        <f t="shared" si="10"/>
        <v>-59147.006747681924</v>
      </c>
      <c r="G37" s="30">
        <f t="shared" si="10"/>
        <v>-61340.088222021281</v>
      </c>
      <c r="H37" s="30">
        <f t="shared" si="10"/>
        <v>-63221.309499991519</v>
      </c>
      <c r="I37" s="30">
        <f t="shared" si="10"/>
        <v>-64826.53385418684</v>
      </c>
      <c r="J37" s="30">
        <f t="shared" si="10"/>
        <v>-66187.928154080684</v>
      </c>
      <c r="K37" s="30">
        <f t="shared" si="10"/>
        <v>-67334.336307781487</v>
      </c>
      <c r="L37" s="30">
        <f t="shared" si="10"/>
        <v>-68291.615258630234</v>
      </c>
      <c r="M37" s="30">
        <f t="shared" si="10"/>
        <v>-69082.937284357351</v>
      </c>
      <c r="N37" s="30">
        <f t="shared" si="10"/>
        <v>-69729.061971653107</v>
      </c>
      <c r="O37" s="30">
        <f t="shared" si="10"/>
        <v>-70248.58090163568</v>
      </c>
    </row>
    <row r="41" spans="3:15" x14ac:dyDescent="0.25">
      <c r="D41">
        <v>2019</v>
      </c>
      <c r="E41">
        <v>2020</v>
      </c>
      <c r="F41">
        <v>2021</v>
      </c>
      <c r="G41">
        <v>2022</v>
      </c>
      <c r="H41">
        <v>2023</v>
      </c>
      <c r="I41">
        <v>2024</v>
      </c>
      <c r="J41">
        <v>2025</v>
      </c>
      <c r="K41">
        <v>2026</v>
      </c>
      <c r="L41">
        <v>2027</v>
      </c>
      <c r="M41">
        <v>2028</v>
      </c>
      <c r="N41">
        <v>2029</v>
      </c>
      <c r="O41">
        <v>2030</v>
      </c>
    </row>
    <row r="42" spans="3:15" x14ac:dyDescent="0.25">
      <c r="C42" t="s">
        <v>296</v>
      </c>
      <c r="D42">
        <v>3700.1452563901839</v>
      </c>
      <c r="E42">
        <v>-3522.3601500122895</v>
      </c>
      <c r="F42">
        <v>-1963.4356796236098</v>
      </c>
      <c r="G42">
        <v>-5841.7895540035097</v>
      </c>
      <c r="H42">
        <v>-9358.6056832752511</v>
      </c>
      <c r="I42">
        <v>-12551.212017273931</v>
      </c>
      <c r="J42">
        <v>-15453.196909461469</v>
      </c>
      <c r="K42">
        <v>-18094.783832720612</v>
      </c>
      <c r="L42">
        <v>-20503.16861240346</v>
      </c>
      <c r="M42">
        <v>-22702.82292546126</v>
      </c>
      <c r="N42">
        <v>-24715.767439585979</v>
      </c>
      <c r="O42">
        <v>-26561.817628891804</v>
      </c>
    </row>
    <row r="43" spans="3:15" x14ac:dyDescent="0.25">
      <c r="C43" t="s">
        <v>298</v>
      </c>
      <c r="D43">
        <v>-8441.7009648304374</v>
      </c>
      <c r="E43">
        <v>-15306.366190032291</v>
      </c>
      <c r="F43">
        <v>-13400.149893235255</v>
      </c>
      <c r="G43">
        <v>-16941.449287607073</v>
      </c>
      <c r="H43">
        <v>-20131.146446618484</v>
      </c>
      <c r="I43">
        <v>-23006.276384656514</v>
      </c>
      <c r="J43">
        <v>-25600.143158385319</v>
      </c>
      <c r="K43">
        <v>-27942.694327732781</v>
      </c>
      <c r="L43">
        <v>-30060.857941648806</v>
      </c>
      <c r="M43">
        <v>-31978.84579724045</v>
      </c>
      <c r="N43">
        <v>-33718.426345999411</v>
      </c>
      <c r="O43">
        <v>-35299.170283440581</v>
      </c>
    </row>
    <row r="44" spans="3:15" x14ac:dyDescent="0.25">
      <c r="C44" t="s">
        <v>300</v>
      </c>
      <c r="D44">
        <v>-32725.393407271651</v>
      </c>
      <c r="E44">
        <v>-38874.37827007231</v>
      </c>
      <c r="F44">
        <v>-36273.578320458575</v>
      </c>
      <c r="G44">
        <v>-39140.768754814184</v>
      </c>
      <c r="H44">
        <v>-41676.227973304995</v>
      </c>
      <c r="I44">
        <v>-43916.405119421674</v>
      </c>
      <c r="J44">
        <v>-45894.035656232983</v>
      </c>
      <c r="K44">
        <v>-47638.515317757141</v>
      </c>
      <c r="L44">
        <v>-49176.236600139528</v>
      </c>
      <c r="M44">
        <v>-50530.891540798875</v>
      </c>
      <c r="N44">
        <v>-51723.744158826259</v>
      </c>
      <c r="O44">
        <v>-52773.875592538119</v>
      </c>
    </row>
    <row r="45" spans="3:15" x14ac:dyDescent="0.25">
      <c r="C45" t="s">
        <v>302</v>
      </c>
      <c r="D45">
        <v>-57009.085849712865</v>
      </c>
      <c r="E45">
        <v>-62442.390350112371</v>
      </c>
      <c r="F45">
        <v>-59147.006747681924</v>
      </c>
      <c r="G45">
        <v>-61340.088222021281</v>
      </c>
      <c r="H45">
        <v>-63221.309499991519</v>
      </c>
      <c r="I45">
        <v>-64826.53385418684</v>
      </c>
      <c r="J45">
        <v>-66187.928154080684</v>
      </c>
      <c r="K45">
        <v>-67334.336307781487</v>
      </c>
      <c r="L45">
        <v>-68291.615258630234</v>
      </c>
      <c r="M45">
        <v>-69082.937284357351</v>
      </c>
      <c r="N45">
        <v>-69729.061971653107</v>
      </c>
      <c r="O45">
        <v>-70248.58090163568</v>
      </c>
    </row>
    <row r="67" spans="3:26" x14ac:dyDescent="0.25">
      <c r="D67">
        <v>2019</v>
      </c>
      <c r="E67">
        <v>2020</v>
      </c>
      <c r="F67">
        <v>2021</v>
      </c>
      <c r="G67">
        <v>2022</v>
      </c>
      <c r="H67">
        <v>2023</v>
      </c>
      <c r="I67">
        <v>2024</v>
      </c>
      <c r="J67">
        <v>2025</v>
      </c>
      <c r="K67">
        <v>2026</v>
      </c>
      <c r="L67">
        <v>2027</v>
      </c>
      <c r="M67">
        <v>2028</v>
      </c>
      <c r="N67">
        <v>2029</v>
      </c>
      <c r="O67">
        <v>2030</v>
      </c>
      <c r="P67">
        <v>2031</v>
      </c>
      <c r="Q67">
        <v>2032</v>
      </c>
      <c r="R67">
        <v>2033</v>
      </c>
      <c r="S67">
        <v>2034</v>
      </c>
      <c r="T67">
        <v>2035</v>
      </c>
      <c r="U67">
        <v>2036</v>
      </c>
      <c r="V67">
        <v>2037</v>
      </c>
      <c r="W67">
        <v>2038</v>
      </c>
      <c r="X67">
        <v>2039</v>
      </c>
      <c r="Y67">
        <v>2040</v>
      </c>
      <c r="Z67">
        <v>2041</v>
      </c>
    </row>
    <row r="68" spans="3:26" x14ac:dyDescent="0.25">
      <c r="C68" t="s">
        <v>98</v>
      </c>
      <c r="D68">
        <f>60*365</f>
        <v>21900</v>
      </c>
      <c r="E68">
        <f t="shared" ref="E68:Z68" si="11">60*365</f>
        <v>21900</v>
      </c>
      <c r="F68">
        <f t="shared" si="11"/>
        <v>21900</v>
      </c>
      <c r="G68">
        <f t="shared" si="11"/>
        <v>21900</v>
      </c>
      <c r="H68">
        <f t="shared" si="11"/>
        <v>21900</v>
      </c>
      <c r="I68">
        <f t="shared" si="11"/>
        <v>21900</v>
      </c>
      <c r="J68">
        <f t="shared" si="11"/>
        <v>21900</v>
      </c>
      <c r="K68">
        <f t="shared" si="11"/>
        <v>21900</v>
      </c>
      <c r="L68">
        <f t="shared" si="11"/>
        <v>21900</v>
      </c>
      <c r="M68">
        <f t="shared" si="11"/>
        <v>21900</v>
      </c>
      <c r="N68">
        <f t="shared" si="11"/>
        <v>21900</v>
      </c>
      <c r="O68">
        <f t="shared" si="11"/>
        <v>21900</v>
      </c>
      <c r="P68">
        <f t="shared" si="11"/>
        <v>21900</v>
      </c>
      <c r="Q68">
        <f t="shared" si="11"/>
        <v>21900</v>
      </c>
      <c r="R68">
        <f t="shared" si="11"/>
        <v>21900</v>
      </c>
      <c r="S68">
        <f t="shared" si="11"/>
        <v>21900</v>
      </c>
      <c r="T68">
        <f t="shared" si="11"/>
        <v>21900</v>
      </c>
      <c r="U68">
        <f t="shared" si="11"/>
        <v>21900</v>
      </c>
      <c r="V68">
        <f t="shared" si="11"/>
        <v>21900</v>
      </c>
      <c r="W68">
        <f t="shared" si="11"/>
        <v>21900</v>
      </c>
      <c r="X68">
        <f t="shared" si="11"/>
        <v>21900</v>
      </c>
      <c r="Y68">
        <f t="shared" si="11"/>
        <v>21900</v>
      </c>
      <c r="Z68">
        <f t="shared" si="11"/>
        <v>21900</v>
      </c>
    </row>
    <row r="69" spans="3:26" x14ac:dyDescent="0.25">
      <c r="C69" t="s">
        <v>99</v>
      </c>
      <c r="D69" s="31">
        <f>(D11/100)*D68</f>
        <v>2540.3999999999996</v>
      </c>
      <c r="E69" s="31">
        <f>D69</f>
        <v>2540.3999999999996</v>
      </c>
      <c r="F69" s="31">
        <f t="shared" ref="F69:Z69" si="12">E69</f>
        <v>2540.3999999999996</v>
      </c>
      <c r="G69" s="31">
        <f t="shared" si="12"/>
        <v>2540.3999999999996</v>
      </c>
      <c r="H69" s="31">
        <f t="shared" si="12"/>
        <v>2540.3999999999996</v>
      </c>
      <c r="I69" s="31">
        <f t="shared" si="12"/>
        <v>2540.3999999999996</v>
      </c>
      <c r="J69" s="31">
        <f t="shared" si="12"/>
        <v>2540.3999999999996</v>
      </c>
      <c r="K69" s="31">
        <f t="shared" si="12"/>
        <v>2540.3999999999996</v>
      </c>
      <c r="L69" s="31">
        <f t="shared" si="12"/>
        <v>2540.3999999999996</v>
      </c>
      <c r="M69" s="31">
        <f t="shared" si="12"/>
        <v>2540.3999999999996</v>
      </c>
      <c r="N69" s="31">
        <f t="shared" si="12"/>
        <v>2540.3999999999996</v>
      </c>
      <c r="O69" s="31">
        <f t="shared" si="12"/>
        <v>2540.3999999999996</v>
      </c>
      <c r="P69" s="31">
        <f t="shared" si="12"/>
        <v>2540.3999999999996</v>
      </c>
      <c r="Q69" s="31">
        <f t="shared" si="12"/>
        <v>2540.3999999999996</v>
      </c>
      <c r="R69" s="31">
        <f t="shared" si="12"/>
        <v>2540.3999999999996</v>
      </c>
      <c r="S69" s="31">
        <f t="shared" si="12"/>
        <v>2540.3999999999996</v>
      </c>
      <c r="T69" s="31">
        <f t="shared" si="12"/>
        <v>2540.3999999999996</v>
      </c>
      <c r="U69" s="31">
        <f t="shared" si="12"/>
        <v>2540.3999999999996</v>
      </c>
      <c r="V69" s="31">
        <f t="shared" si="12"/>
        <v>2540.3999999999996</v>
      </c>
      <c r="W69" s="31">
        <f t="shared" si="12"/>
        <v>2540.3999999999996</v>
      </c>
      <c r="X69" s="31">
        <f t="shared" si="12"/>
        <v>2540.3999999999996</v>
      </c>
      <c r="Y69" s="31">
        <f t="shared" si="12"/>
        <v>2540.3999999999996</v>
      </c>
      <c r="Z69" s="31">
        <f t="shared" si="12"/>
        <v>2540.3999999999996</v>
      </c>
    </row>
    <row r="70" spans="3:26" x14ac:dyDescent="0.25">
      <c r="C70" t="s">
        <v>101</v>
      </c>
      <c r="D70">
        <f>D69*D12</f>
        <v>2032.3199999999997</v>
      </c>
      <c r="E70">
        <f>D70</f>
        <v>2032.3199999999997</v>
      </c>
      <c r="F70">
        <f t="shared" ref="F70:Z70" si="13">E70</f>
        <v>2032.3199999999997</v>
      </c>
      <c r="G70">
        <f t="shared" si="13"/>
        <v>2032.3199999999997</v>
      </c>
      <c r="H70">
        <f t="shared" si="13"/>
        <v>2032.3199999999997</v>
      </c>
      <c r="I70">
        <f t="shared" si="13"/>
        <v>2032.3199999999997</v>
      </c>
      <c r="J70">
        <f t="shared" si="13"/>
        <v>2032.3199999999997</v>
      </c>
      <c r="K70">
        <f t="shared" si="13"/>
        <v>2032.3199999999997</v>
      </c>
      <c r="L70">
        <f t="shared" si="13"/>
        <v>2032.3199999999997</v>
      </c>
      <c r="M70">
        <f t="shared" si="13"/>
        <v>2032.3199999999997</v>
      </c>
      <c r="N70">
        <f t="shared" si="13"/>
        <v>2032.3199999999997</v>
      </c>
      <c r="O70">
        <f t="shared" si="13"/>
        <v>2032.3199999999997</v>
      </c>
      <c r="P70">
        <f t="shared" si="13"/>
        <v>2032.3199999999997</v>
      </c>
      <c r="Q70">
        <f t="shared" si="13"/>
        <v>2032.3199999999997</v>
      </c>
      <c r="R70">
        <f t="shared" si="13"/>
        <v>2032.3199999999997</v>
      </c>
      <c r="S70">
        <f t="shared" si="13"/>
        <v>2032.3199999999997</v>
      </c>
      <c r="T70">
        <f t="shared" si="13"/>
        <v>2032.3199999999997</v>
      </c>
      <c r="U70">
        <f t="shared" si="13"/>
        <v>2032.3199999999997</v>
      </c>
      <c r="V70">
        <f t="shared" si="13"/>
        <v>2032.3199999999997</v>
      </c>
      <c r="W70">
        <f t="shared" si="13"/>
        <v>2032.3199999999997</v>
      </c>
      <c r="X70">
        <f t="shared" si="13"/>
        <v>2032.3199999999997</v>
      </c>
      <c r="Y70">
        <f t="shared" si="13"/>
        <v>2032.3199999999997</v>
      </c>
      <c r="Z70">
        <f t="shared" si="13"/>
        <v>2032.3199999999997</v>
      </c>
    </row>
    <row r="71" spans="3:26" x14ac:dyDescent="0.25">
      <c r="C71" t="s">
        <v>100</v>
      </c>
      <c r="D71">
        <f>D70/(1+$D$13)^(D67-2019)</f>
        <v>2032.3199999999997</v>
      </c>
      <c r="E71">
        <f t="shared" ref="E71:O71" si="14">E70/(1+$D$13)^(E67-2019)</f>
        <v>1973.1262135922327</v>
      </c>
      <c r="F71">
        <f t="shared" si="14"/>
        <v>1915.6565180507114</v>
      </c>
      <c r="G71">
        <f t="shared" si="14"/>
        <v>1859.860697136613</v>
      </c>
      <c r="H71">
        <f t="shared" si="14"/>
        <v>1805.6899972200129</v>
      </c>
      <c r="I71">
        <f t="shared" si="14"/>
        <v>1753.0970846796242</v>
      </c>
      <c r="J71">
        <f t="shared" si="14"/>
        <v>1702.0360045433242</v>
      </c>
      <c r="K71">
        <f t="shared" si="14"/>
        <v>1652.4621403333244</v>
      </c>
      <c r="L71">
        <f t="shared" si="14"/>
        <v>1604.3321750808977</v>
      </c>
      <c r="M71">
        <f t="shared" si="14"/>
        <v>1557.6040534765996</v>
      </c>
      <c r="N71">
        <f t="shared" si="14"/>
        <v>1512.2369451229124</v>
      </c>
      <c r="O71">
        <f t="shared" si="14"/>
        <v>1468.1912088571964</v>
      </c>
      <c r="P71">
        <f t="shared" ref="P71:Z71" si="15">P70/(1+$D$13)^(P67-2019)</f>
        <v>1425.4283581137831</v>
      </c>
      <c r="Q71">
        <f t="shared" si="15"/>
        <v>1383.9110272949351</v>
      </c>
      <c r="R71">
        <f t="shared" si="15"/>
        <v>1343.602939121296</v>
      </c>
      <c r="S71">
        <f t="shared" si="15"/>
        <v>1304.468872933297</v>
      </c>
      <c r="T71">
        <f t="shared" si="15"/>
        <v>1266.4746339158226</v>
      </c>
      <c r="U71">
        <f t="shared" si="15"/>
        <v>1229.5870232192453</v>
      </c>
      <c r="V71">
        <f t="shared" si="15"/>
        <v>1193.7738089507236</v>
      </c>
      <c r="W71">
        <f t="shared" si="15"/>
        <v>1159.0036980104112</v>
      </c>
      <c r="X71">
        <f t="shared" si="15"/>
        <v>1125.2463087479721</v>
      </c>
      <c r="Y71">
        <f t="shared" si="15"/>
        <v>1092.472144415507</v>
      </c>
      <c r="Z71">
        <f t="shared" si="15"/>
        <v>1060.652567393696</v>
      </c>
    </row>
    <row r="72" spans="3:26" x14ac:dyDescent="0.25">
      <c r="C72" t="s">
        <v>102</v>
      </c>
      <c r="D72">
        <f t="shared" ref="D72:S72" si="16">SUM(D71:K71)</f>
        <v>14694.248655555843</v>
      </c>
      <c r="E72">
        <f t="shared" si="16"/>
        <v>14266.260830636738</v>
      </c>
      <c r="F72">
        <f t="shared" si="16"/>
        <v>13850.738670521107</v>
      </c>
      <c r="G72">
        <f t="shared" si="16"/>
        <v>13447.31909759331</v>
      </c>
      <c r="H72">
        <f t="shared" si="16"/>
        <v>13055.649609313894</v>
      </c>
      <c r="I72">
        <f t="shared" si="16"/>
        <v>12675.387970207661</v>
      </c>
      <c r="J72">
        <f t="shared" si="16"/>
        <v>12306.201912822971</v>
      </c>
      <c r="K72">
        <f t="shared" si="16"/>
        <v>11947.768847400945</v>
      </c>
      <c r="L72">
        <f t="shared" si="16"/>
        <v>11599.775580000918</v>
      </c>
      <c r="M72">
        <f t="shared" si="16"/>
        <v>11261.918038835844</v>
      </c>
      <c r="N72">
        <f t="shared" si="16"/>
        <v>10933.901008578488</v>
      </c>
      <c r="O72">
        <f t="shared" si="16"/>
        <v>10615.437872406299</v>
      </c>
      <c r="P72">
        <f t="shared" si="16"/>
        <v>10306.250361559512</v>
      </c>
      <c r="Q72">
        <f t="shared" si="16"/>
        <v>10006.068312193704</v>
      </c>
      <c r="R72">
        <f t="shared" si="16"/>
        <v>9714.6294293142764</v>
      </c>
      <c r="S72">
        <f t="shared" si="16"/>
        <v>9431.6790575866744</v>
      </c>
      <c r="T72">
        <f t="shared" ref="T72:Z72" si="17">SUM(T41:AA41)</f>
        <v>0</v>
      </c>
      <c r="U72">
        <f t="shared" si="17"/>
        <v>0</v>
      </c>
      <c r="V72">
        <f t="shared" si="17"/>
        <v>0</v>
      </c>
      <c r="W72">
        <f t="shared" si="17"/>
        <v>0</v>
      </c>
      <c r="X72">
        <f t="shared" si="17"/>
        <v>0</v>
      </c>
      <c r="Y72">
        <f t="shared" si="17"/>
        <v>0</v>
      </c>
      <c r="Z72">
        <f t="shared" si="17"/>
        <v>0</v>
      </c>
    </row>
    <row r="74" spans="3:26" x14ac:dyDescent="0.25">
      <c r="C74" t="s">
        <v>103</v>
      </c>
      <c r="D74">
        <f>400</f>
        <v>400</v>
      </c>
    </row>
    <row r="78" spans="3:26" x14ac:dyDescent="0.25">
      <c r="C78" t="s">
        <v>104</v>
      </c>
      <c r="D78">
        <v>3500</v>
      </c>
      <c r="E78">
        <v>3500</v>
      </c>
      <c r="F78">
        <v>3500</v>
      </c>
      <c r="G78">
        <v>3500</v>
      </c>
      <c r="H78">
        <v>3500</v>
      </c>
      <c r="I78">
        <v>3500</v>
      </c>
      <c r="J78">
        <v>3500</v>
      </c>
      <c r="K78">
        <v>3500</v>
      </c>
      <c r="L78">
        <v>3500</v>
      </c>
      <c r="M78">
        <v>3500</v>
      </c>
      <c r="N78">
        <v>3500</v>
      </c>
      <c r="O78">
        <v>3500</v>
      </c>
      <c r="P78">
        <v>3500</v>
      </c>
      <c r="Q78">
        <v>3500</v>
      </c>
      <c r="R78">
        <v>3500</v>
      </c>
      <c r="S78">
        <v>3500</v>
      </c>
      <c r="T78">
        <v>3500</v>
      </c>
      <c r="U78">
        <v>3500</v>
      </c>
      <c r="V78">
        <v>3500</v>
      </c>
      <c r="W78">
        <v>3500</v>
      </c>
      <c r="X78">
        <v>3500</v>
      </c>
      <c r="Y78">
        <v>3500</v>
      </c>
      <c r="Z78">
        <v>3500</v>
      </c>
    </row>
    <row r="79" spans="3:26" x14ac:dyDescent="0.25">
      <c r="C79" t="s">
        <v>105</v>
      </c>
      <c r="D79">
        <f>D78/(1+$D$13)^(D67-2019)</f>
        <v>3500</v>
      </c>
      <c r="E79">
        <f t="shared" ref="E79:O79" si="18">E78/(1+$D$13)^(E67-2019)</f>
        <v>3398.0582524271845</v>
      </c>
      <c r="F79">
        <f t="shared" si="18"/>
        <v>3299.0856819681403</v>
      </c>
      <c r="G79">
        <f t="shared" si="18"/>
        <v>3202.9958077360584</v>
      </c>
      <c r="H79">
        <f t="shared" si="18"/>
        <v>3109.7046677049116</v>
      </c>
      <c r="I79">
        <f t="shared" si="18"/>
        <v>3019.1307453445743</v>
      </c>
      <c r="J79">
        <f t="shared" si="18"/>
        <v>2931.1948983927905</v>
      </c>
      <c r="K79">
        <f t="shared" si="18"/>
        <v>2845.8202897017381</v>
      </c>
      <c r="L79">
        <f t="shared" si="18"/>
        <v>2762.9323200987751</v>
      </c>
      <c r="M79">
        <f t="shared" si="18"/>
        <v>2682.4585632026942</v>
      </c>
      <c r="N79">
        <f t="shared" si="18"/>
        <v>2604.3287021385381</v>
      </c>
      <c r="O79">
        <f t="shared" si="18"/>
        <v>2528.4744680956678</v>
      </c>
      <c r="P79">
        <f t="shared" ref="P79:Z79" si="19">P78/(1+$D$13)^(P67-2019)</f>
        <v>2454.8295806754063</v>
      </c>
      <c r="Q79">
        <f t="shared" si="19"/>
        <v>2383.3296899761226</v>
      </c>
      <c r="R79">
        <f t="shared" si="19"/>
        <v>2313.9123203651675</v>
      </c>
      <c r="S79">
        <f t="shared" si="19"/>
        <v>2246.5168158885117</v>
      </c>
      <c r="T79">
        <f t="shared" si="19"/>
        <v>2181.0842872704002</v>
      </c>
      <c r="U79">
        <f t="shared" si="19"/>
        <v>2117.5575604566993</v>
      </c>
      <c r="V79">
        <f t="shared" si="19"/>
        <v>2055.8811266569896</v>
      </c>
      <c r="W79">
        <f t="shared" si="19"/>
        <v>1996.0010938417374</v>
      </c>
      <c r="X79">
        <f t="shared" si="19"/>
        <v>1937.8651396521723</v>
      </c>
      <c r="Y79">
        <f t="shared" si="19"/>
        <v>1881.422465681721</v>
      </c>
      <c r="Z79">
        <f t="shared" si="19"/>
        <v>1826.6237530890494</v>
      </c>
    </row>
    <row r="80" spans="3:26" x14ac:dyDescent="0.25">
      <c r="C80" t="s">
        <v>106</v>
      </c>
      <c r="D80">
        <f>SUM(D79:K79)</f>
        <v>25305.9903432754</v>
      </c>
      <c r="E80" s="145">
        <f>NPV(0.03,E79:L79)</f>
        <v>21657.07245861413</v>
      </c>
      <c r="F80" s="145">
        <f t="shared" ref="F80:O80" si="20">NPV(0.03,F79:M79)</f>
        <v>21026.283940402063</v>
      </c>
      <c r="G80" s="145">
        <f t="shared" si="20"/>
        <v>20413.867903302973</v>
      </c>
      <c r="H80" s="145">
        <f t="shared" si="20"/>
        <v>19819.289226507743</v>
      </c>
      <c r="I80" s="145">
        <f t="shared" si="20"/>
        <v>19242.028375250236</v>
      </c>
      <c r="J80" s="145">
        <f t="shared" si="20"/>
        <v>18681.58094684489</v>
      </c>
      <c r="K80" s="145">
        <f t="shared" si="20"/>
        <v>18137.457229946493</v>
      </c>
      <c r="L80" s="145">
        <f t="shared" si="20"/>
        <v>17609.181776647089</v>
      </c>
      <c r="M80" s="145">
        <f t="shared" si="20"/>
        <v>17096.292987036006</v>
      </c>
      <c r="N80" s="145">
        <f t="shared" si="20"/>
        <v>16598.342705860196</v>
      </c>
      <c r="O80" s="145">
        <f t="shared" si="20"/>
        <v>16114.895830932232</v>
      </c>
    </row>
    <row r="83" spans="3:26" x14ac:dyDescent="0.25">
      <c r="C83" t="s">
        <v>98</v>
      </c>
      <c r="D83">
        <f>60*365</f>
        <v>21900</v>
      </c>
      <c r="E83">
        <f t="shared" ref="E83:Z83" si="21">60*365</f>
        <v>21900</v>
      </c>
      <c r="F83">
        <f t="shared" si="21"/>
        <v>21900</v>
      </c>
      <c r="G83">
        <f t="shared" si="21"/>
        <v>21900</v>
      </c>
      <c r="H83">
        <f t="shared" si="21"/>
        <v>21900</v>
      </c>
      <c r="I83">
        <f t="shared" si="21"/>
        <v>21900</v>
      </c>
      <c r="J83">
        <f t="shared" si="21"/>
        <v>21900</v>
      </c>
      <c r="K83">
        <f t="shared" si="21"/>
        <v>21900</v>
      </c>
      <c r="L83">
        <f t="shared" si="21"/>
        <v>21900</v>
      </c>
      <c r="M83">
        <f t="shared" si="21"/>
        <v>21900</v>
      </c>
      <c r="N83">
        <f t="shared" si="21"/>
        <v>21900</v>
      </c>
      <c r="O83">
        <f t="shared" si="21"/>
        <v>21900</v>
      </c>
      <c r="P83">
        <f t="shared" si="21"/>
        <v>21900</v>
      </c>
      <c r="Q83">
        <f t="shared" si="21"/>
        <v>21900</v>
      </c>
      <c r="R83">
        <f t="shared" si="21"/>
        <v>21900</v>
      </c>
      <c r="S83">
        <f t="shared" si="21"/>
        <v>21900</v>
      </c>
      <c r="T83">
        <f t="shared" si="21"/>
        <v>21900</v>
      </c>
      <c r="U83">
        <f t="shared" si="21"/>
        <v>21900</v>
      </c>
      <c r="V83">
        <f t="shared" si="21"/>
        <v>21900</v>
      </c>
      <c r="W83">
        <f t="shared" si="21"/>
        <v>21900</v>
      </c>
      <c r="X83">
        <f t="shared" si="21"/>
        <v>21900</v>
      </c>
      <c r="Y83">
        <f t="shared" si="21"/>
        <v>21900</v>
      </c>
      <c r="Z83">
        <f t="shared" si="21"/>
        <v>21900</v>
      </c>
    </row>
    <row r="84" spans="3:26" x14ac:dyDescent="0.25">
      <c r="C84" t="s">
        <v>107</v>
      </c>
      <c r="D84" s="66">
        <f t="shared" ref="D84:O84" si="22">(D27/100)*D83</f>
        <v>1160.7</v>
      </c>
      <c r="E84" s="66">
        <f t="shared" si="22"/>
        <v>1160.7</v>
      </c>
      <c r="F84" s="66">
        <f t="shared" si="22"/>
        <v>1160.7</v>
      </c>
      <c r="G84" s="66">
        <f t="shared" si="22"/>
        <v>1160.7</v>
      </c>
      <c r="H84" s="66">
        <f t="shared" si="22"/>
        <v>1160.7</v>
      </c>
      <c r="I84" s="66">
        <f t="shared" si="22"/>
        <v>1160.7</v>
      </c>
      <c r="J84" s="66">
        <f t="shared" si="22"/>
        <v>1160.7</v>
      </c>
      <c r="K84" s="66">
        <f t="shared" si="22"/>
        <v>1160.7</v>
      </c>
      <c r="L84" s="66">
        <f t="shared" si="22"/>
        <v>1160.7</v>
      </c>
      <c r="M84" s="66">
        <f t="shared" si="22"/>
        <v>1160.7</v>
      </c>
      <c r="N84" s="66">
        <f t="shared" si="22"/>
        <v>1160.7</v>
      </c>
      <c r="O84" s="66">
        <f t="shared" si="22"/>
        <v>1160.7</v>
      </c>
      <c r="P84" s="66">
        <f>O84</f>
        <v>1160.7</v>
      </c>
      <c r="Q84" s="66">
        <f t="shared" ref="Q84:Z84" si="23">P84</f>
        <v>1160.7</v>
      </c>
      <c r="R84" s="66">
        <f t="shared" si="23"/>
        <v>1160.7</v>
      </c>
      <c r="S84" s="66">
        <f t="shared" si="23"/>
        <v>1160.7</v>
      </c>
      <c r="T84" s="66">
        <f t="shared" si="23"/>
        <v>1160.7</v>
      </c>
      <c r="U84" s="66">
        <f t="shared" si="23"/>
        <v>1160.7</v>
      </c>
      <c r="V84" s="66">
        <f t="shared" si="23"/>
        <v>1160.7</v>
      </c>
      <c r="W84" s="66">
        <f t="shared" si="23"/>
        <v>1160.7</v>
      </c>
      <c r="X84" s="66">
        <f t="shared" si="23"/>
        <v>1160.7</v>
      </c>
      <c r="Y84" s="66">
        <f t="shared" si="23"/>
        <v>1160.7</v>
      </c>
      <c r="Z84" s="66">
        <f t="shared" si="23"/>
        <v>1160.7</v>
      </c>
    </row>
    <row r="85" spans="3:26" x14ac:dyDescent="0.25">
      <c r="C85" t="s">
        <v>108</v>
      </c>
      <c r="D85">
        <f>D84*$D$28</f>
        <v>8124.9000000000005</v>
      </c>
      <c r="E85">
        <f t="shared" ref="E85:Z85" si="24">E84*$D$28</f>
        <v>8124.9000000000005</v>
      </c>
      <c r="F85">
        <f t="shared" si="24"/>
        <v>8124.9000000000005</v>
      </c>
      <c r="G85">
        <f t="shared" si="24"/>
        <v>8124.9000000000005</v>
      </c>
      <c r="H85">
        <f t="shared" si="24"/>
        <v>8124.9000000000005</v>
      </c>
      <c r="I85">
        <f t="shared" si="24"/>
        <v>8124.9000000000005</v>
      </c>
      <c r="J85">
        <f t="shared" si="24"/>
        <v>8124.9000000000005</v>
      </c>
      <c r="K85">
        <f t="shared" si="24"/>
        <v>8124.9000000000005</v>
      </c>
      <c r="L85">
        <f t="shared" si="24"/>
        <v>8124.9000000000005</v>
      </c>
      <c r="M85">
        <f t="shared" si="24"/>
        <v>8124.9000000000005</v>
      </c>
      <c r="N85">
        <f t="shared" si="24"/>
        <v>8124.9000000000005</v>
      </c>
      <c r="O85">
        <f t="shared" si="24"/>
        <v>8124.9000000000005</v>
      </c>
      <c r="P85">
        <f t="shared" si="24"/>
        <v>8124.9000000000005</v>
      </c>
      <c r="Q85">
        <f t="shared" si="24"/>
        <v>8124.9000000000005</v>
      </c>
      <c r="R85">
        <f t="shared" si="24"/>
        <v>8124.9000000000005</v>
      </c>
      <c r="S85">
        <f t="shared" si="24"/>
        <v>8124.9000000000005</v>
      </c>
      <c r="T85">
        <f t="shared" si="24"/>
        <v>8124.9000000000005</v>
      </c>
      <c r="U85">
        <f t="shared" si="24"/>
        <v>8124.9000000000005</v>
      </c>
      <c r="V85">
        <f t="shared" si="24"/>
        <v>8124.9000000000005</v>
      </c>
      <c r="W85">
        <f t="shared" si="24"/>
        <v>8124.9000000000005</v>
      </c>
      <c r="X85">
        <f t="shared" si="24"/>
        <v>8124.9000000000005</v>
      </c>
      <c r="Y85">
        <f t="shared" si="24"/>
        <v>8124.9000000000005</v>
      </c>
      <c r="Z85">
        <f t="shared" si="24"/>
        <v>8124.9000000000005</v>
      </c>
    </row>
    <row r="86" spans="3:26" x14ac:dyDescent="0.25">
      <c r="D86">
        <f>D85/(1+$D$29)^(D67-2019)</f>
        <v>8124.9000000000005</v>
      </c>
      <c r="E86">
        <f t="shared" ref="E86:Z86" si="25">E85/(1+$D$29)^(E67-2019)</f>
        <v>7888.2524271844668</v>
      </c>
      <c r="F86">
        <f t="shared" si="25"/>
        <v>7658.497502120842</v>
      </c>
      <c r="G86">
        <f t="shared" si="25"/>
        <v>7435.434468078487</v>
      </c>
      <c r="H86">
        <f t="shared" si="25"/>
        <v>7218.8684156101817</v>
      </c>
      <c r="I86">
        <f t="shared" si="25"/>
        <v>7008.6101122428954</v>
      </c>
      <c r="J86">
        <f t="shared" si="25"/>
        <v>6804.4758371290245</v>
      </c>
      <c r="K86">
        <f t="shared" si="25"/>
        <v>6606.2872205136155</v>
      </c>
      <c r="L86">
        <f t="shared" si="25"/>
        <v>6413.8710878772972</v>
      </c>
      <c r="M86">
        <f t="shared" si="25"/>
        <v>6227.0593086187346</v>
      </c>
      <c r="N86">
        <f t="shared" si="25"/>
        <v>6045.6886491444029</v>
      </c>
      <c r="O86">
        <f t="shared" si="25"/>
        <v>5869.6006302372843</v>
      </c>
      <c r="P86">
        <f t="shared" si="25"/>
        <v>5698.6413885798884</v>
      </c>
      <c r="Q86">
        <f t="shared" si="25"/>
        <v>5532.6615423105713</v>
      </c>
      <c r="R86">
        <f t="shared" si="25"/>
        <v>5371.5160604957</v>
      </c>
      <c r="S86">
        <f t="shared" si="25"/>
        <v>5215.0641364035919</v>
      </c>
      <c r="T86">
        <f t="shared" si="25"/>
        <v>5063.1690644695072</v>
      </c>
      <c r="U86">
        <f t="shared" si="25"/>
        <v>4915.6981208441821</v>
      </c>
      <c r="V86">
        <f t="shared" si="25"/>
        <v>4772.5224474215356</v>
      </c>
      <c r="W86">
        <f t="shared" si="25"/>
        <v>4633.5169392442094</v>
      </c>
      <c r="X86">
        <f t="shared" si="25"/>
        <v>4498.5601351885534</v>
      </c>
      <c r="Y86">
        <f t="shared" si="25"/>
        <v>4367.5341118335473</v>
      </c>
      <c r="Z86">
        <f t="shared" si="25"/>
        <v>4240.3243804209196</v>
      </c>
    </row>
    <row r="87" spans="3:26" x14ac:dyDescent="0.25">
      <c r="D87">
        <f>SUM(D86:K86)</f>
        <v>58745.325982879513</v>
      </c>
      <c r="E87">
        <f t="shared" ref="E87:O87" si="26">SUM(E86:L86)</f>
        <v>57034.297070756809</v>
      </c>
      <c r="F87">
        <f t="shared" si="26"/>
        <v>55373.103952191079</v>
      </c>
      <c r="G87">
        <f t="shared" si="26"/>
        <v>53760.295099214643</v>
      </c>
      <c r="H87">
        <f t="shared" si="26"/>
        <v>52194.461261373435</v>
      </c>
      <c r="I87">
        <f t="shared" si="26"/>
        <v>50674.234234343145</v>
      </c>
      <c r="J87">
        <f t="shared" si="26"/>
        <v>49198.285664410818</v>
      </c>
      <c r="K87">
        <f t="shared" si="26"/>
        <v>47765.325887777493</v>
      </c>
      <c r="L87">
        <f t="shared" si="26"/>
        <v>46374.102803667462</v>
      </c>
      <c r="M87">
        <f t="shared" si="26"/>
        <v>45023.400780259683</v>
      </c>
      <c r="N87">
        <f t="shared" si="26"/>
        <v>43712.039592485125</v>
      </c>
      <c r="O87">
        <f t="shared" si="26"/>
        <v>42438.873390762259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9"/>
  <sheetViews>
    <sheetView zoomScale="90" zoomScaleNormal="9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9" x14ac:dyDescent="0.25">
      <c r="C4" s="131" t="s">
        <v>367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9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9" x14ac:dyDescent="0.25">
      <c r="C6" s="102" t="s">
        <v>55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103">
        <v>27843.852241504803</v>
      </c>
    </row>
    <row r="7" spans="3:19" x14ac:dyDescent="0.25">
      <c r="C7" s="102" t="s">
        <v>24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104">
        <f t="shared" si="0"/>
        <v>2784.3852241504806</v>
      </c>
    </row>
    <row r="8" spans="3:19" x14ac:dyDescent="0.25">
      <c r="C8" s="102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5">
        <f t="shared" si="1"/>
        <v>30628.237465655282</v>
      </c>
    </row>
    <row r="9" spans="3:19" x14ac:dyDescent="0.25">
      <c r="C9" s="102" t="s">
        <v>84</v>
      </c>
      <c r="D9" s="79">
        <v>80</v>
      </c>
      <c r="E9" s="79">
        <v>80</v>
      </c>
      <c r="F9" s="79">
        <v>80</v>
      </c>
      <c r="G9" s="79">
        <v>80</v>
      </c>
      <c r="H9" s="79">
        <v>80</v>
      </c>
      <c r="I9" s="79">
        <v>80</v>
      </c>
      <c r="J9" s="79">
        <v>80</v>
      </c>
      <c r="K9" s="79">
        <v>80</v>
      </c>
      <c r="L9" s="79">
        <v>80</v>
      </c>
      <c r="M9" s="79">
        <v>80</v>
      </c>
      <c r="N9" s="79">
        <v>80</v>
      </c>
      <c r="O9" s="79">
        <v>80</v>
      </c>
    </row>
    <row r="10" spans="3:19" x14ac:dyDescent="0.25">
      <c r="C10" s="102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95">
        <v>8</v>
      </c>
    </row>
    <row r="11" spans="3:19" x14ac:dyDescent="0.25">
      <c r="C11" s="102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95">
        <v>11.6</v>
      </c>
    </row>
    <row r="12" spans="3:19" x14ac:dyDescent="0.25">
      <c r="C12" s="102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95">
        <v>0.8</v>
      </c>
    </row>
    <row r="13" spans="3:19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9" x14ac:dyDescent="0.25">
      <c r="C14" s="102" t="s">
        <v>88</v>
      </c>
      <c r="D14" s="79">
        <v>19592.331540741132</v>
      </c>
      <c r="E14" s="90">
        <v>19021.681107515666</v>
      </c>
      <c r="F14" s="90">
        <v>18467.651560694812</v>
      </c>
      <c r="G14" s="90">
        <v>17929.75879679108</v>
      </c>
      <c r="H14" s="94">
        <v>17407.532812418525</v>
      </c>
      <c r="I14" s="94">
        <v>16900.517293610217</v>
      </c>
      <c r="J14" s="94">
        <v>16408.269217097299</v>
      </c>
      <c r="K14" s="95">
        <v>15930.358463201263</v>
      </c>
      <c r="L14" s="95">
        <v>15466.367440001228</v>
      </c>
      <c r="M14" s="95">
        <v>15015.890718447794</v>
      </c>
      <c r="N14" s="95">
        <v>14578.534678104656</v>
      </c>
      <c r="O14" s="95">
        <v>14153.917163208404</v>
      </c>
      <c r="P14">
        <v>13741.667148746021</v>
      </c>
      <c r="Q14">
        <v>13341.424416258273</v>
      </c>
      <c r="R14">
        <v>12952.839239085703</v>
      </c>
      <c r="S14">
        <v>12575.572076782237</v>
      </c>
    </row>
    <row r="15" spans="3:19" x14ac:dyDescent="0.25">
      <c r="C15" s="102" t="s">
        <v>89</v>
      </c>
      <c r="D15" s="79">
        <f>11*300+12*100</f>
        <v>4500</v>
      </c>
      <c r="E15" s="90">
        <f>D15*(1-$D$13)</f>
        <v>4365</v>
      </c>
      <c r="F15" s="90">
        <f t="shared" ref="F15:O15" si="2">E15*(1-$D$13)</f>
        <v>4234.05</v>
      </c>
      <c r="G15" s="90">
        <f t="shared" si="2"/>
        <v>4107.0285000000003</v>
      </c>
      <c r="H15" s="94">
        <f t="shared" si="2"/>
        <v>3983.8176450000001</v>
      </c>
      <c r="I15" s="94">
        <f t="shared" si="2"/>
        <v>3864.3031156500001</v>
      </c>
      <c r="J15" s="94">
        <f t="shared" si="2"/>
        <v>3748.3740221805001</v>
      </c>
      <c r="K15" s="95">
        <f t="shared" si="2"/>
        <v>3635.9228015150852</v>
      </c>
      <c r="L15" s="95">
        <f t="shared" si="2"/>
        <v>3526.8451174696324</v>
      </c>
      <c r="M15" s="95">
        <f t="shared" si="2"/>
        <v>3421.0397639455432</v>
      </c>
      <c r="N15" s="95">
        <f t="shared" si="2"/>
        <v>3318.408571027177</v>
      </c>
      <c r="O15" s="95">
        <f t="shared" si="2"/>
        <v>3218.8563138963618</v>
      </c>
    </row>
    <row r="16" spans="3:19" x14ac:dyDescent="0.25">
      <c r="C16" s="102" t="s">
        <v>90</v>
      </c>
      <c r="D16" s="79">
        <v>25305.9903432754</v>
      </c>
      <c r="E16" s="90">
        <v>21657.07245861413</v>
      </c>
      <c r="F16" s="90">
        <v>21026.283940402063</v>
      </c>
      <c r="G16" s="90">
        <v>20413.867903302973</v>
      </c>
      <c r="H16" s="94">
        <v>19819.289226507743</v>
      </c>
      <c r="I16" s="94">
        <v>19242.028375250236</v>
      </c>
      <c r="J16" s="94">
        <v>18681.58094684489</v>
      </c>
      <c r="K16" s="95">
        <v>18137.457229946493</v>
      </c>
      <c r="L16" s="95">
        <v>17609.181776647089</v>
      </c>
      <c r="M16" s="95">
        <v>17096.292987036006</v>
      </c>
      <c r="N16" s="95">
        <v>16598.342705860196</v>
      </c>
      <c r="O16" s="95">
        <v>16114.895830932232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95">
        <f t="shared" si="3"/>
        <v>4176.5778362257206</v>
      </c>
    </row>
    <row r="19" spans="3:15" x14ac:dyDescent="0.25">
      <c r="C19" s="109" t="s">
        <v>93</v>
      </c>
      <c r="D19" s="70">
        <f>D8+D14+D15+D16+D17-D18</f>
        <v>103352.07188401654</v>
      </c>
      <c r="E19" s="90">
        <f t="shared" ref="E19:O19" si="4">E8+E14+E15+E16+E17-E18</f>
        <v>94686.303566129805</v>
      </c>
      <c r="F19" s="90">
        <f t="shared" si="4"/>
        <v>94855.275501096883</v>
      </c>
      <c r="G19" s="90">
        <f t="shared" si="4"/>
        <v>89638.94120009405</v>
      </c>
      <c r="H19" s="94">
        <f t="shared" si="4"/>
        <v>84834.822083926265</v>
      </c>
      <c r="I19" s="94">
        <f t="shared" si="4"/>
        <v>80404.337944510466</v>
      </c>
      <c r="J19" s="94">
        <f t="shared" si="4"/>
        <v>76312.6894301227</v>
      </c>
      <c r="K19" s="95">
        <f t="shared" si="4"/>
        <v>72528.482214262855</v>
      </c>
      <c r="L19" s="95">
        <f t="shared" si="4"/>
        <v>69023.388681757948</v>
      </c>
      <c r="M19" s="95">
        <f t="shared" si="4"/>
        <v>65771.843382305349</v>
      </c>
      <c r="N19" s="95">
        <f t="shared" si="4"/>
        <v>62750.768876580427</v>
      </c>
      <c r="O19" s="95">
        <f t="shared" si="4"/>
        <v>59939.328937466569</v>
      </c>
    </row>
    <row r="22" spans="3:15" x14ac:dyDescent="0.25">
      <c r="C22" s="131" t="s">
        <v>365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51066</v>
      </c>
      <c r="E24" s="87">
        <v>51366</v>
      </c>
      <c r="F24" s="87">
        <v>51672</v>
      </c>
      <c r="G24" s="87">
        <v>51984.12</v>
      </c>
      <c r="H24" s="88">
        <v>52302.482400000001</v>
      </c>
      <c r="I24" s="88">
        <v>52627.212048000001</v>
      </c>
      <c r="J24" s="88">
        <v>52958.436288960002</v>
      </c>
      <c r="K24" s="89">
        <v>53296.285014739202</v>
      </c>
      <c r="L24" s="89">
        <v>53640.89071503398</v>
      </c>
      <c r="M24" s="89">
        <v>53992.388529334654</v>
      </c>
      <c r="N24" s="89">
        <v>54350.916299921344</v>
      </c>
      <c r="O24" s="107">
        <v>54716.614625919778</v>
      </c>
    </row>
    <row r="25" spans="3:15" x14ac:dyDescent="0.25">
      <c r="C25" s="102" t="s">
        <v>24</v>
      </c>
      <c r="D25" s="117">
        <v>5500</v>
      </c>
      <c r="E25" s="76">
        <v>5530</v>
      </c>
      <c r="F25" s="76">
        <v>5560.6</v>
      </c>
      <c r="G25" s="76">
        <v>5591.8120000000008</v>
      </c>
      <c r="H25" s="77">
        <v>5623.6482400000004</v>
      </c>
      <c r="I25" s="77">
        <v>5656.1212048000007</v>
      </c>
      <c r="J25" s="77">
        <v>5689.2436288960007</v>
      </c>
      <c r="K25" s="78">
        <v>5723.0285014739202</v>
      </c>
      <c r="L25" s="78">
        <v>5757.489071503398</v>
      </c>
      <c r="M25" s="78">
        <v>5792.6388529334654</v>
      </c>
      <c r="N25" s="78">
        <v>5828.4916299921351</v>
      </c>
      <c r="O25" s="104">
        <v>5865.0614625919779</v>
      </c>
    </row>
    <row r="26" spans="3:15" x14ac:dyDescent="0.25">
      <c r="C26" s="102" t="s">
        <v>48</v>
      </c>
      <c r="D26" s="93">
        <v>60500</v>
      </c>
      <c r="E26" s="71">
        <v>60830</v>
      </c>
      <c r="F26" s="71">
        <v>61166.6</v>
      </c>
      <c r="G26" s="80">
        <v>61509.932000000001</v>
      </c>
      <c r="H26" s="72">
        <v>61860.130640000003</v>
      </c>
      <c r="I26" s="72">
        <v>62217.333252800003</v>
      </c>
      <c r="J26" s="72">
        <v>62581.679917856003</v>
      </c>
      <c r="K26" s="73">
        <v>62953.313516213122</v>
      </c>
      <c r="L26" s="73">
        <v>63332.379786537378</v>
      </c>
      <c r="M26" s="73">
        <v>63719.027382268119</v>
      </c>
      <c r="N26" s="73">
        <v>64113.407929913476</v>
      </c>
      <c r="O26" s="103">
        <v>64515.676088511755</v>
      </c>
    </row>
    <row r="27" spans="3:15" x14ac:dyDescent="0.25">
      <c r="C27" s="102" t="s">
        <v>84</v>
      </c>
      <c r="D27" s="79">
        <v>80</v>
      </c>
      <c r="E27" s="71">
        <f>D27</f>
        <v>80</v>
      </c>
      <c r="F27" s="71">
        <f t="shared" ref="F27:O27" si="5">E27</f>
        <v>80</v>
      </c>
      <c r="G27" s="80">
        <f t="shared" si="5"/>
        <v>80</v>
      </c>
      <c r="H27" s="72">
        <f t="shared" si="5"/>
        <v>80</v>
      </c>
      <c r="I27" s="72">
        <f t="shared" si="5"/>
        <v>80</v>
      </c>
      <c r="J27" s="72">
        <f t="shared" si="5"/>
        <v>80</v>
      </c>
      <c r="K27" s="73">
        <f t="shared" si="5"/>
        <v>80</v>
      </c>
      <c r="L27" s="73">
        <f t="shared" si="5"/>
        <v>80</v>
      </c>
      <c r="M27" s="73">
        <f t="shared" si="5"/>
        <v>80</v>
      </c>
      <c r="N27" s="73">
        <f t="shared" si="5"/>
        <v>80</v>
      </c>
      <c r="O27" s="103">
        <f t="shared" si="5"/>
        <v>80</v>
      </c>
    </row>
    <row r="28" spans="3:15" x14ac:dyDescent="0.25">
      <c r="C28" s="102" t="s">
        <v>94</v>
      </c>
      <c r="D28" s="79">
        <v>8</v>
      </c>
      <c r="E28" s="71">
        <v>8</v>
      </c>
      <c r="F28" s="71">
        <v>8</v>
      </c>
      <c r="G28" s="80">
        <v>8</v>
      </c>
      <c r="H28" s="72">
        <v>8</v>
      </c>
      <c r="I28" s="72">
        <v>8</v>
      </c>
      <c r="J28" s="72">
        <v>8</v>
      </c>
      <c r="K28" s="73">
        <v>8</v>
      </c>
      <c r="L28" s="73">
        <v>8</v>
      </c>
      <c r="M28" s="73">
        <v>8</v>
      </c>
      <c r="N28" s="73">
        <v>8</v>
      </c>
      <c r="O28" s="103">
        <v>8</v>
      </c>
    </row>
    <row r="29" spans="3:15" x14ac:dyDescent="0.25">
      <c r="C29" s="102" t="s">
        <v>95</v>
      </c>
      <c r="D29" s="83">
        <v>5.3</v>
      </c>
      <c r="E29" s="71">
        <v>5.3</v>
      </c>
      <c r="F29" s="71">
        <v>5.3</v>
      </c>
      <c r="G29" s="80">
        <v>5.3</v>
      </c>
      <c r="H29" s="72">
        <v>5.3</v>
      </c>
      <c r="I29" s="72">
        <v>5.3</v>
      </c>
      <c r="J29" s="72">
        <v>5.3</v>
      </c>
      <c r="K29" s="73">
        <v>5.3</v>
      </c>
      <c r="L29" s="73">
        <v>5.3</v>
      </c>
      <c r="M29" s="73">
        <v>5.3</v>
      </c>
      <c r="N29" s="73">
        <v>5.3</v>
      </c>
      <c r="O29" s="103">
        <v>5.3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92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78327.101310505997</v>
      </c>
      <c r="E32" s="71">
        <v>76045.729427675731</v>
      </c>
      <c r="F32" s="71">
        <v>73830.805269588091</v>
      </c>
      <c r="G32" s="80">
        <v>71680.393465619505</v>
      </c>
      <c r="H32" s="72">
        <v>69592.615015164571</v>
      </c>
      <c r="I32" s="72">
        <v>67565.64564579085</v>
      </c>
      <c r="J32" s="72">
        <v>65597.714219214409</v>
      </c>
      <c r="K32" s="73">
        <v>63687.101183703315</v>
      </c>
      <c r="L32" s="73">
        <v>61832.137071556623</v>
      </c>
      <c r="M32" s="73">
        <v>60031.201040346234</v>
      </c>
      <c r="N32" s="73">
        <v>58282.719456646832</v>
      </c>
      <c r="O32" s="103">
        <v>56585.164521016341</v>
      </c>
    </row>
    <row r="33" spans="3:15" x14ac:dyDescent="0.25">
      <c r="C33" s="102" t="s">
        <v>89</v>
      </c>
      <c r="D33" s="70">
        <f>23*1200+23*600</f>
        <v>41400</v>
      </c>
      <c r="E33" s="71">
        <f>D33*(1-$D$31)</f>
        <v>40158</v>
      </c>
      <c r="F33" s="71">
        <f t="shared" ref="F33:O33" si="6">E33*(1-$D$31)</f>
        <v>38953.26</v>
      </c>
      <c r="G33" s="80">
        <f t="shared" si="6"/>
        <v>37784.662199999999</v>
      </c>
      <c r="H33" s="72">
        <f t="shared" si="6"/>
        <v>36651.122334</v>
      </c>
      <c r="I33" s="72">
        <f t="shared" si="6"/>
        <v>35551.588663980001</v>
      </c>
      <c r="J33" s="72">
        <f t="shared" si="6"/>
        <v>34485.0410040606</v>
      </c>
      <c r="K33" s="73">
        <f t="shared" si="6"/>
        <v>33450.489773938782</v>
      </c>
      <c r="L33" s="73">
        <f t="shared" si="6"/>
        <v>32446.975080720618</v>
      </c>
      <c r="M33" s="73">
        <f t="shared" si="6"/>
        <v>31473.565828298997</v>
      </c>
      <c r="N33" s="73">
        <f t="shared" si="6"/>
        <v>30529.358853450027</v>
      </c>
      <c r="O33" s="103">
        <f t="shared" si="6"/>
        <v>29613.478087846524</v>
      </c>
    </row>
    <row r="34" spans="3:15" x14ac:dyDescent="0.25">
      <c r="C34" s="102" t="s">
        <v>90</v>
      </c>
      <c r="D34" s="79">
        <v>21690.848865664626</v>
      </c>
      <c r="E34" s="71">
        <v>21059.076568606433</v>
      </c>
      <c r="F34" s="71">
        <v>20445.705406414014</v>
      </c>
      <c r="G34" s="80">
        <v>19850.199423702925</v>
      </c>
      <c r="H34" s="72">
        <v>19272.038275439732</v>
      </c>
      <c r="I34" s="72">
        <v>18710.716772271586</v>
      </c>
      <c r="J34" s="72">
        <v>18165.744439098631</v>
      </c>
      <c r="K34" s="73">
        <v>17636.645086503522</v>
      </c>
      <c r="L34" s="73">
        <v>17122.956394663615</v>
      </c>
      <c r="M34" s="73">
        <v>16624.229509382149</v>
      </c>
      <c r="N34" s="73">
        <v>16140.02864988558</v>
      </c>
      <c r="O34" s="103">
        <v>15669.930728044254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7">E35*(1-$D$31)</f>
        <v>338.72399999999999</v>
      </c>
      <c r="G35" s="80">
        <f t="shared" si="7"/>
        <v>328.56227999999999</v>
      </c>
      <c r="H35" s="72">
        <f t="shared" si="7"/>
        <v>318.70541159999999</v>
      </c>
      <c r="I35" s="72">
        <f t="shared" si="7"/>
        <v>309.14424925200001</v>
      </c>
      <c r="J35" s="72">
        <f t="shared" si="7"/>
        <v>299.86992177444</v>
      </c>
      <c r="K35" s="73">
        <f t="shared" si="7"/>
        <v>290.87382412120678</v>
      </c>
      <c r="L35" s="73">
        <f t="shared" si="7"/>
        <v>282.14760939757059</v>
      </c>
      <c r="M35" s="73">
        <f t="shared" si="7"/>
        <v>273.68318111564349</v>
      </c>
      <c r="N35" s="73">
        <f t="shared" si="7"/>
        <v>265.47268568217419</v>
      </c>
      <c r="O35" s="103">
        <f t="shared" si="7"/>
        <v>257.50850511170893</v>
      </c>
    </row>
    <row r="36" spans="3:15" x14ac:dyDescent="0.25">
      <c r="C36" s="102" t="s">
        <v>87</v>
      </c>
      <c r="D36" s="79">
        <f>0.35*D24</f>
        <v>17873.099999999999</v>
      </c>
      <c r="E36" s="71">
        <f t="shared" ref="E36:O36" si="8">0.35*E24</f>
        <v>17978.099999999999</v>
      </c>
      <c r="F36" s="71">
        <f t="shared" si="8"/>
        <v>18085.199999999997</v>
      </c>
      <c r="G36" s="80">
        <f t="shared" si="8"/>
        <v>18194.441999999999</v>
      </c>
      <c r="H36" s="72">
        <f t="shared" si="8"/>
        <v>18305.868839999999</v>
      </c>
      <c r="I36" s="72">
        <f t="shared" si="8"/>
        <v>18419.5242168</v>
      </c>
      <c r="J36" s="72">
        <f t="shared" si="8"/>
        <v>18535.452701136001</v>
      </c>
      <c r="K36" s="73">
        <f t="shared" si="8"/>
        <v>18653.699755158719</v>
      </c>
      <c r="L36" s="73">
        <f t="shared" si="8"/>
        <v>18774.311750261892</v>
      </c>
      <c r="M36" s="73">
        <f t="shared" si="8"/>
        <v>18897.335985267127</v>
      </c>
      <c r="N36" s="73">
        <f t="shared" si="8"/>
        <v>19022.82070497247</v>
      </c>
      <c r="O36" s="103">
        <f t="shared" si="8"/>
        <v>19150.815119071922</v>
      </c>
    </row>
    <row r="37" spans="3:15" x14ac:dyDescent="0.25">
      <c r="C37" s="109" t="s">
        <v>93</v>
      </c>
      <c r="D37" s="79">
        <f>D26+D32+D33+D34-D36</f>
        <v>184044.85017617061</v>
      </c>
      <c r="E37" s="71">
        <f t="shared" ref="E37:O37" si="9">E26+E32+E33+E34-E36</f>
        <v>180114.70599628214</v>
      </c>
      <c r="F37" s="71">
        <f t="shared" si="9"/>
        <v>176311.1706760021</v>
      </c>
      <c r="G37" s="80">
        <f t="shared" si="9"/>
        <v>172630.74508932242</v>
      </c>
      <c r="H37" s="72">
        <f t="shared" si="9"/>
        <v>169070.03742460432</v>
      </c>
      <c r="I37" s="72">
        <f t="shared" si="9"/>
        <v>165625.76011804244</v>
      </c>
      <c r="J37" s="72">
        <f t="shared" si="9"/>
        <v>162294.72687909365</v>
      </c>
      <c r="K37" s="73">
        <f t="shared" si="9"/>
        <v>159073.84980520004</v>
      </c>
      <c r="L37" s="73">
        <f t="shared" si="9"/>
        <v>155960.13658321631</v>
      </c>
      <c r="M37" s="73">
        <f t="shared" si="9"/>
        <v>152950.68777502837</v>
      </c>
      <c r="N37" s="73">
        <f t="shared" si="9"/>
        <v>150042.69418492346</v>
      </c>
      <c r="O37" s="103">
        <f t="shared" si="9"/>
        <v>147233.43430634693</v>
      </c>
    </row>
    <row r="38" spans="3:15" x14ac:dyDescent="0.25">
      <c r="D38" s="193">
        <v>2019</v>
      </c>
      <c r="E38" s="193">
        <v>2020</v>
      </c>
      <c r="F38" s="193">
        <v>2021</v>
      </c>
      <c r="G38" s="193">
        <v>2022</v>
      </c>
      <c r="H38" s="193">
        <v>2023</v>
      </c>
      <c r="I38" s="193">
        <v>2024</v>
      </c>
      <c r="J38" s="193">
        <v>2025</v>
      </c>
      <c r="K38" s="193">
        <v>2026</v>
      </c>
      <c r="L38" s="193">
        <v>2027</v>
      </c>
      <c r="M38" s="193">
        <v>2028</v>
      </c>
      <c r="N38" s="193">
        <v>2029</v>
      </c>
      <c r="O38" s="193">
        <v>2030</v>
      </c>
    </row>
    <row r="39" spans="3:15" x14ac:dyDescent="0.25">
      <c r="C39" t="s">
        <v>345</v>
      </c>
      <c r="D39" s="30">
        <f>D19-D37</f>
        <v>-80692.778292154078</v>
      </c>
      <c r="E39" s="30">
        <f t="shared" ref="E39:O39" si="10">E19-E37</f>
        <v>-85428.402430152331</v>
      </c>
      <c r="F39" s="30">
        <f t="shared" si="10"/>
        <v>-81455.895174905221</v>
      </c>
      <c r="G39" s="30">
        <f t="shared" si="10"/>
        <v>-82991.803889228366</v>
      </c>
      <c r="H39" s="30">
        <f t="shared" si="10"/>
        <v>-84235.215340678056</v>
      </c>
      <c r="I39" s="30">
        <f t="shared" si="10"/>
        <v>-85221.422173531973</v>
      </c>
      <c r="J39" s="30">
        <f t="shared" si="10"/>
        <v>-85982.03744897095</v>
      </c>
      <c r="K39" s="30">
        <f t="shared" si="10"/>
        <v>-86545.367590937181</v>
      </c>
      <c r="L39" s="30">
        <f t="shared" si="10"/>
        <v>-86936.747901458366</v>
      </c>
      <c r="M39" s="30">
        <f t="shared" si="10"/>
        <v>-87178.844392723026</v>
      </c>
      <c r="N39" s="30">
        <f t="shared" si="10"/>
        <v>-87291.925308343023</v>
      </c>
      <c r="O39" s="30">
        <f t="shared" si="10"/>
        <v>-87294.105368880351</v>
      </c>
    </row>
    <row r="43" spans="3:15" x14ac:dyDescent="0.25">
      <c r="D43">
        <v>2019</v>
      </c>
      <c r="E43">
        <v>2020</v>
      </c>
      <c r="F43">
        <v>2021</v>
      </c>
      <c r="G43">
        <v>2022</v>
      </c>
      <c r="H43">
        <v>2023</v>
      </c>
      <c r="I43">
        <v>2024</v>
      </c>
      <c r="J43">
        <v>2025</v>
      </c>
      <c r="K43">
        <v>2026</v>
      </c>
      <c r="L43">
        <v>2027</v>
      </c>
      <c r="M43">
        <v>2028</v>
      </c>
      <c r="N43">
        <v>2029</v>
      </c>
      <c r="O43">
        <v>2030</v>
      </c>
    </row>
    <row r="44" spans="3:15" x14ac:dyDescent="0.25">
      <c r="C44" t="s">
        <v>296</v>
      </c>
      <c r="D44" s="1">
        <v>3700.1452563901839</v>
      </c>
      <c r="E44" s="1">
        <v>-3522.3601500122895</v>
      </c>
      <c r="F44" s="1">
        <v>-1963.4356796236098</v>
      </c>
      <c r="G44" s="1">
        <v>-5841.7895540035097</v>
      </c>
      <c r="H44" s="1">
        <v>-9358.6056832752511</v>
      </c>
      <c r="I44" s="1">
        <v>-12551.212017273931</v>
      </c>
      <c r="J44" s="1">
        <v>-15453.196909461469</v>
      </c>
      <c r="K44" s="1">
        <v>-18094.783832720612</v>
      </c>
      <c r="L44" s="1">
        <v>-20503.16861240346</v>
      </c>
      <c r="M44" s="1">
        <v>-22702.82292546126</v>
      </c>
      <c r="N44" s="1">
        <v>-24715.767439585979</v>
      </c>
      <c r="O44" s="1">
        <v>-26561.817628891804</v>
      </c>
    </row>
    <row r="45" spans="3:15" x14ac:dyDescent="0.25">
      <c r="C45" t="s">
        <v>298</v>
      </c>
      <c r="D45" s="1">
        <v>-8441.7009648304374</v>
      </c>
      <c r="E45" s="1">
        <v>-15306.366190032291</v>
      </c>
      <c r="F45" s="1">
        <v>-13400.149893235255</v>
      </c>
      <c r="G45" s="1">
        <v>-16941.449287607073</v>
      </c>
      <c r="H45" s="1">
        <v>-20131.146446618484</v>
      </c>
      <c r="I45" s="1">
        <v>-23006.276384656514</v>
      </c>
      <c r="J45" s="1">
        <v>-25600.143158385319</v>
      </c>
      <c r="K45" s="1">
        <v>-27942.694327732781</v>
      </c>
      <c r="L45" s="1">
        <v>-30060.857941648806</v>
      </c>
      <c r="M45" s="1">
        <v>-31978.84579724045</v>
      </c>
      <c r="N45" s="1">
        <v>-33718.426345999411</v>
      </c>
      <c r="O45" s="1">
        <v>-35299.170283440581</v>
      </c>
    </row>
    <row r="46" spans="3:15" x14ac:dyDescent="0.25">
      <c r="C46" t="s">
        <v>300</v>
      </c>
      <c r="D46" s="1">
        <v>-32725.393407271651</v>
      </c>
      <c r="E46" s="1">
        <v>-38874.37827007231</v>
      </c>
      <c r="F46" s="1">
        <v>-36273.578320458575</v>
      </c>
      <c r="G46" s="1">
        <v>-39140.768754814184</v>
      </c>
      <c r="H46" s="1">
        <v>-41676.227973304995</v>
      </c>
      <c r="I46" s="1">
        <v>-43916.405119421674</v>
      </c>
      <c r="J46" s="1">
        <v>-45894.035656232983</v>
      </c>
      <c r="K46" s="1">
        <v>-47638.515317757141</v>
      </c>
      <c r="L46" s="1">
        <v>-49176.236600139528</v>
      </c>
      <c r="M46" s="1">
        <v>-50530.891540798875</v>
      </c>
      <c r="N46" s="1">
        <v>-51723.744158826259</v>
      </c>
      <c r="O46" s="1">
        <v>-52773.875592538119</v>
      </c>
    </row>
    <row r="47" spans="3:15" x14ac:dyDescent="0.25">
      <c r="C47" t="s">
        <v>302</v>
      </c>
      <c r="D47" s="1">
        <v>-57009.085849712865</v>
      </c>
      <c r="E47" s="1">
        <v>-62442.390350112371</v>
      </c>
      <c r="F47" s="1">
        <v>-59147.006747681924</v>
      </c>
      <c r="G47" s="1">
        <v>-61340.088222021281</v>
      </c>
      <c r="H47" s="1">
        <v>-63221.309499991519</v>
      </c>
      <c r="I47" s="1">
        <v>-64826.53385418684</v>
      </c>
      <c r="J47" s="1">
        <v>-66187.928154080684</v>
      </c>
      <c r="K47" s="1">
        <v>-67334.336307781487</v>
      </c>
      <c r="L47" s="1">
        <v>-68291.615258630234</v>
      </c>
      <c r="M47" s="1">
        <v>-69082.937284357351</v>
      </c>
      <c r="N47" s="1">
        <v>-69729.061971653107</v>
      </c>
      <c r="O47" s="1">
        <v>-70248.58090163568</v>
      </c>
    </row>
    <row r="48" spans="3:15" x14ac:dyDescent="0.25">
      <c r="C48" t="s">
        <v>344</v>
      </c>
      <c r="D48" s="1">
        <v>-80692.778292154078</v>
      </c>
      <c r="E48" s="1">
        <v>-85428.402430152331</v>
      </c>
      <c r="F48" s="1">
        <v>-81455.895174905221</v>
      </c>
      <c r="G48" s="1">
        <v>-82991.803889228366</v>
      </c>
      <c r="H48" s="1">
        <v>-84235.215340678056</v>
      </c>
      <c r="I48" s="1">
        <v>-85221.422173531973</v>
      </c>
      <c r="J48" s="1">
        <v>-85982.03744897095</v>
      </c>
      <c r="K48" s="1">
        <v>-86545.367590937181</v>
      </c>
      <c r="L48" s="1">
        <v>-86936.747901458366</v>
      </c>
      <c r="M48" s="1">
        <v>-87178.844392723026</v>
      </c>
      <c r="N48" s="1">
        <v>-87291.925308343023</v>
      </c>
      <c r="O48" s="1">
        <v>-87294.105368880351</v>
      </c>
    </row>
    <row r="69" spans="3:26" x14ac:dyDescent="0.25">
      <c r="D69">
        <v>2019</v>
      </c>
      <c r="E69">
        <v>2020</v>
      </c>
      <c r="F69">
        <v>2021</v>
      </c>
      <c r="G69">
        <v>2022</v>
      </c>
      <c r="H69">
        <v>2023</v>
      </c>
      <c r="I69">
        <v>2024</v>
      </c>
      <c r="J69">
        <v>2025</v>
      </c>
      <c r="K69">
        <v>2026</v>
      </c>
      <c r="L69">
        <v>2027</v>
      </c>
      <c r="M69">
        <v>2028</v>
      </c>
      <c r="N69">
        <v>2029</v>
      </c>
      <c r="O69">
        <v>2030</v>
      </c>
      <c r="P69">
        <v>2031</v>
      </c>
      <c r="Q69">
        <v>2032</v>
      </c>
      <c r="R69">
        <v>2033</v>
      </c>
      <c r="S69">
        <v>2034</v>
      </c>
      <c r="T69">
        <v>2035</v>
      </c>
      <c r="U69">
        <v>2036</v>
      </c>
      <c r="V69">
        <v>2037</v>
      </c>
      <c r="W69">
        <v>2038</v>
      </c>
      <c r="X69">
        <v>2039</v>
      </c>
      <c r="Y69">
        <v>2040</v>
      </c>
      <c r="Z69">
        <v>2041</v>
      </c>
    </row>
    <row r="70" spans="3:26" x14ac:dyDescent="0.25">
      <c r="C70" t="s">
        <v>98</v>
      </c>
      <c r="D70">
        <f>80*365</f>
        <v>29200</v>
      </c>
      <c r="E70">
        <f t="shared" ref="E70:Z70" si="11">80*365</f>
        <v>29200</v>
      </c>
      <c r="F70">
        <f t="shared" si="11"/>
        <v>29200</v>
      </c>
      <c r="G70">
        <f t="shared" si="11"/>
        <v>29200</v>
      </c>
      <c r="H70">
        <f t="shared" si="11"/>
        <v>29200</v>
      </c>
      <c r="I70">
        <f t="shared" si="11"/>
        <v>29200</v>
      </c>
      <c r="J70">
        <f t="shared" si="11"/>
        <v>29200</v>
      </c>
      <c r="K70">
        <f t="shared" si="11"/>
        <v>29200</v>
      </c>
      <c r="L70">
        <f t="shared" si="11"/>
        <v>29200</v>
      </c>
      <c r="M70">
        <f t="shared" si="11"/>
        <v>29200</v>
      </c>
      <c r="N70">
        <f t="shared" si="11"/>
        <v>29200</v>
      </c>
      <c r="O70">
        <f t="shared" si="11"/>
        <v>29200</v>
      </c>
      <c r="P70">
        <f t="shared" si="11"/>
        <v>29200</v>
      </c>
      <c r="Q70">
        <f t="shared" si="11"/>
        <v>29200</v>
      </c>
      <c r="R70">
        <f t="shared" si="11"/>
        <v>29200</v>
      </c>
      <c r="S70">
        <f t="shared" si="11"/>
        <v>29200</v>
      </c>
      <c r="T70">
        <f t="shared" si="11"/>
        <v>29200</v>
      </c>
      <c r="U70">
        <f t="shared" si="11"/>
        <v>29200</v>
      </c>
      <c r="V70">
        <f t="shared" si="11"/>
        <v>29200</v>
      </c>
      <c r="W70">
        <f t="shared" si="11"/>
        <v>29200</v>
      </c>
      <c r="X70">
        <f t="shared" si="11"/>
        <v>29200</v>
      </c>
      <c r="Y70">
        <f t="shared" si="11"/>
        <v>29200</v>
      </c>
      <c r="Z70">
        <f t="shared" si="11"/>
        <v>29200</v>
      </c>
    </row>
    <row r="71" spans="3:26" x14ac:dyDescent="0.25">
      <c r="C71" t="s">
        <v>99</v>
      </c>
      <c r="D71" s="31">
        <f>(D11/100)*D70</f>
        <v>3387.2</v>
      </c>
      <c r="E71" s="31">
        <f>D71</f>
        <v>3387.2</v>
      </c>
      <c r="F71" s="31">
        <f t="shared" ref="F71:Z72" si="12">E71</f>
        <v>3387.2</v>
      </c>
      <c r="G71" s="31">
        <f t="shared" si="12"/>
        <v>3387.2</v>
      </c>
      <c r="H71" s="31">
        <f t="shared" si="12"/>
        <v>3387.2</v>
      </c>
      <c r="I71" s="31">
        <f t="shared" si="12"/>
        <v>3387.2</v>
      </c>
      <c r="J71" s="31">
        <f t="shared" si="12"/>
        <v>3387.2</v>
      </c>
      <c r="K71" s="31">
        <f t="shared" si="12"/>
        <v>3387.2</v>
      </c>
      <c r="L71" s="31">
        <f t="shared" si="12"/>
        <v>3387.2</v>
      </c>
      <c r="M71" s="31">
        <f t="shared" si="12"/>
        <v>3387.2</v>
      </c>
      <c r="N71" s="31">
        <f t="shared" si="12"/>
        <v>3387.2</v>
      </c>
      <c r="O71" s="31">
        <f t="shared" si="12"/>
        <v>3387.2</v>
      </c>
      <c r="P71" s="31">
        <f t="shared" si="12"/>
        <v>3387.2</v>
      </c>
      <c r="Q71" s="31">
        <f t="shared" si="12"/>
        <v>3387.2</v>
      </c>
      <c r="R71" s="31">
        <f t="shared" si="12"/>
        <v>3387.2</v>
      </c>
      <c r="S71" s="31">
        <f t="shared" si="12"/>
        <v>3387.2</v>
      </c>
      <c r="T71" s="31">
        <f t="shared" si="12"/>
        <v>3387.2</v>
      </c>
      <c r="U71" s="31">
        <f t="shared" si="12"/>
        <v>3387.2</v>
      </c>
      <c r="V71" s="31">
        <f t="shared" si="12"/>
        <v>3387.2</v>
      </c>
      <c r="W71" s="31">
        <f t="shared" si="12"/>
        <v>3387.2</v>
      </c>
      <c r="X71" s="31">
        <f t="shared" si="12"/>
        <v>3387.2</v>
      </c>
      <c r="Y71" s="31">
        <f t="shared" si="12"/>
        <v>3387.2</v>
      </c>
      <c r="Z71" s="31">
        <f t="shared" si="12"/>
        <v>3387.2</v>
      </c>
    </row>
    <row r="72" spans="3:26" x14ac:dyDescent="0.25">
      <c r="C72" t="s">
        <v>101</v>
      </c>
      <c r="D72">
        <f>D71*D12</f>
        <v>2709.76</v>
      </c>
      <c r="E72">
        <f>D72</f>
        <v>2709.76</v>
      </c>
      <c r="F72">
        <f t="shared" si="12"/>
        <v>2709.76</v>
      </c>
      <c r="G72">
        <f t="shared" si="12"/>
        <v>2709.76</v>
      </c>
      <c r="H72">
        <f t="shared" si="12"/>
        <v>2709.76</v>
      </c>
      <c r="I72">
        <f t="shared" si="12"/>
        <v>2709.76</v>
      </c>
      <c r="J72">
        <f t="shared" si="12"/>
        <v>2709.76</v>
      </c>
      <c r="K72">
        <f t="shared" si="12"/>
        <v>2709.76</v>
      </c>
      <c r="L72">
        <f t="shared" si="12"/>
        <v>2709.76</v>
      </c>
      <c r="M72">
        <f t="shared" si="12"/>
        <v>2709.76</v>
      </c>
      <c r="N72">
        <f t="shared" si="12"/>
        <v>2709.76</v>
      </c>
      <c r="O72">
        <f t="shared" si="12"/>
        <v>2709.76</v>
      </c>
      <c r="P72">
        <f t="shared" si="12"/>
        <v>2709.76</v>
      </c>
      <c r="Q72">
        <f t="shared" si="12"/>
        <v>2709.76</v>
      </c>
      <c r="R72">
        <f t="shared" si="12"/>
        <v>2709.76</v>
      </c>
      <c r="S72">
        <f t="shared" si="12"/>
        <v>2709.76</v>
      </c>
      <c r="T72">
        <f t="shared" si="12"/>
        <v>2709.76</v>
      </c>
      <c r="U72">
        <f t="shared" si="12"/>
        <v>2709.76</v>
      </c>
      <c r="V72">
        <f t="shared" si="12"/>
        <v>2709.76</v>
      </c>
      <c r="W72">
        <f t="shared" si="12"/>
        <v>2709.76</v>
      </c>
      <c r="X72">
        <f t="shared" si="12"/>
        <v>2709.76</v>
      </c>
      <c r="Y72">
        <f t="shared" si="12"/>
        <v>2709.76</v>
      </c>
      <c r="Z72">
        <f t="shared" si="12"/>
        <v>2709.76</v>
      </c>
    </row>
    <row r="73" spans="3:26" x14ac:dyDescent="0.25">
      <c r="C73" t="s">
        <v>100</v>
      </c>
      <c r="D73">
        <f>D72/(1+$D$13)^(D69-2019)</f>
        <v>2709.76</v>
      </c>
      <c r="E73">
        <f t="shared" ref="E73:Z73" si="13">E72/(1+$D$13)^(E69-2019)</f>
        <v>2630.834951456311</v>
      </c>
      <c r="F73">
        <f t="shared" si="13"/>
        <v>2554.2086907342828</v>
      </c>
      <c r="G73">
        <f t="shared" si="13"/>
        <v>2479.8142628488181</v>
      </c>
      <c r="H73">
        <f t="shared" si="13"/>
        <v>2407.5866629600177</v>
      </c>
      <c r="I73">
        <f t="shared" si="13"/>
        <v>2337.4627795728329</v>
      </c>
      <c r="J73">
        <f t="shared" si="13"/>
        <v>2269.3813393910996</v>
      </c>
      <c r="K73">
        <f t="shared" si="13"/>
        <v>2203.2828537777664</v>
      </c>
      <c r="L73">
        <f t="shared" si="13"/>
        <v>2139.1095667745308</v>
      </c>
      <c r="M73">
        <f t="shared" si="13"/>
        <v>2076.8054046354669</v>
      </c>
      <c r="N73">
        <f t="shared" si="13"/>
        <v>2016.3159268305503</v>
      </c>
      <c r="O73">
        <f t="shared" si="13"/>
        <v>1957.5882784762623</v>
      </c>
      <c r="P73">
        <f t="shared" si="13"/>
        <v>1900.5711441517112</v>
      </c>
      <c r="Q73">
        <f t="shared" si="13"/>
        <v>1845.214703059914</v>
      </c>
      <c r="R73">
        <f t="shared" si="13"/>
        <v>1791.4705854950619</v>
      </c>
      <c r="S73">
        <f t="shared" si="13"/>
        <v>1739.2918305777298</v>
      </c>
      <c r="T73">
        <f t="shared" si="13"/>
        <v>1688.6328452210973</v>
      </c>
      <c r="U73">
        <f t="shared" si="13"/>
        <v>1639.4493642923273</v>
      </c>
      <c r="V73">
        <f t="shared" si="13"/>
        <v>1591.6984119342985</v>
      </c>
      <c r="W73">
        <f t="shared" si="13"/>
        <v>1545.3382640138821</v>
      </c>
      <c r="X73">
        <f t="shared" si="13"/>
        <v>1500.3284116639632</v>
      </c>
      <c r="Y73">
        <f t="shared" si="13"/>
        <v>1456.6295258873431</v>
      </c>
      <c r="Z73">
        <f t="shared" si="13"/>
        <v>1414.203423191595</v>
      </c>
    </row>
    <row r="74" spans="3:26" x14ac:dyDescent="0.25">
      <c r="C74" t="s">
        <v>102</v>
      </c>
      <c r="D74">
        <f>SUM(D73:K73)</f>
        <v>19592.331540741132</v>
      </c>
      <c r="E74">
        <f>SUM(E73:L73)</f>
        <v>19021.681107515666</v>
      </c>
      <c r="F74">
        <f>SUM(F73:M73)</f>
        <v>18467.651560694812</v>
      </c>
      <c r="G74">
        <f>SUM(G73:N73)</f>
        <v>17929.75879679108</v>
      </c>
      <c r="H74">
        <f>SUM(H73:O73)</f>
        <v>17407.532812418525</v>
      </c>
      <c r="I74">
        <f t="shared" ref="I74:N74" si="14">SUM(I73:P73)</f>
        <v>16900.517293610217</v>
      </c>
      <c r="J74">
        <f t="shared" si="14"/>
        <v>16408.269217097299</v>
      </c>
      <c r="K74">
        <f t="shared" si="14"/>
        <v>15930.358463201263</v>
      </c>
      <c r="L74">
        <f t="shared" si="14"/>
        <v>15466.367440001228</v>
      </c>
      <c r="M74">
        <f t="shared" si="14"/>
        <v>15015.890718447794</v>
      </c>
      <c r="N74">
        <f t="shared" si="14"/>
        <v>14578.534678104656</v>
      </c>
      <c r="O74">
        <f>SUM(O73:V73)</f>
        <v>14153.917163208404</v>
      </c>
      <c r="P74">
        <f>SUM(P73:W73)</f>
        <v>13741.667148746021</v>
      </c>
      <c r="Q74">
        <f>SUM(Q73:X73)</f>
        <v>13341.424416258273</v>
      </c>
      <c r="R74">
        <f>SUM(R73:Y73)</f>
        <v>12952.839239085703</v>
      </c>
      <c r="S74">
        <f>SUM(S73:Z73)</f>
        <v>12575.572076782237</v>
      </c>
      <c r="T74">
        <f t="shared" ref="T74:Z74" si="15">SUM(T43:AA43)</f>
        <v>0</v>
      </c>
      <c r="U74">
        <f t="shared" si="15"/>
        <v>0</v>
      </c>
      <c r="V74">
        <f t="shared" si="15"/>
        <v>0</v>
      </c>
      <c r="W74">
        <f t="shared" si="15"/>
        <v>0</v>
      </c>
      <c r="X74">
        <f t="shared" si="15"/>
        <v>0</v>
      </c>
      <c r="Y74">
        <f t="shared" si="15"/>
        <v>0</v>
      </c>
      <c r="Z74">
        <f t="shared" si="15"/>
        <v>0</v>
      </c>
    </row>
    <row r="76" spans="3:26" x14ac:dyDescent="0.25">
      <c r="C76" t="s">
        <v>103</v>
      </c>
      <c r="D76">
        <f>400</f>
        <v>400</v>
      </c>
    </row>
    <row r="80" spans="3:26" x14ac:dyDescent="0.25">
      <c r="C80" t="s">
        <v>104</v>
      </c>
      <c r="D80">
        <v>3500</v>
      </c>
      <c r="E80">
        <v>3500</v>
      </c>
      <c r="F80">
        <v>3500</v>
      </c>
      <c r="G80">
        <v>3500</v>
      </c>
      <c r="H80">
        <v>3500</v>
      </c>
      <c r="I80">
        <v>3500</v>
      </c>
      <c r="J80">
        <v>3500</v>
      </c>
      <c r="K80">
        <v>3500</v>
      </c>
      <c r="L80">
        <v>3500</v>
      </c>
      <c r="M80">
        <v>3500</v>
      </c>
      <c r="N80">
        <v>3500</v>
      </c>
      <c r="O80">
        <v>3500</v>
      </c>
      <c r="P80">
        <v>3500</v>
      </c>
      <c r="Q80">
        <v>3500</v>
      </c>
      <c r="R80">
        <v>3500</v>
      </c>
      <c r="S80">
        <v>3500</v>
      </c>
      <c r="T80">
        <v>3500</v>
      </c>
      <c r="U80">
        <v>3500</v>
      </c>
      <c r="V80">
        <v>3500</v>
      </c>
      <c r="W80">
        <v>3500</v>
      </c>
      <c r="X80">
        <v>3500</v>
      </c>
      <c r="Y80">
        <v>3500</v>
      </c>
      <c r="Z80">
        <v>3500</v>
      </c>
    </row>
    <row r="81" spans="3:26" x14ac:dyDescent="0.25">
      <c r="C81" t="s">
        <v>105</v>
      </c>
      <c r="D81">
        <f>D80/(1+$D$13)^(D69-2019)</f>
        <v>3500</v>
      </c>
      <c r="E81">
        <f t="shared" ref="E81:Z81" si="16">E80/(1+$D$13)^(E69-2019)</f>
        <v>3398.0582524271845</v>
      </c>
      <c r="F81">
        <f t="shared" si="16"/>
        <v>3299.0856819681403</v>
      </c>
      <c r="G81">
        <f t="shared" si="16"/>
        <v>3202.9958077360584</v>
      </c>
      <c r="H81">
        <f t="shared" si="16"/>
        <v>3109.7046677049116</v>
      </c>
      <c r="I81">
        <f t="shared" si="16"/>
        <v>3019.1307453445743</v>
      </c>
      <c r="J81">
        <f t="shared" si="16"/>
        <v>2931.1948983927905</v>
      </c>
      <c r="K81">
        <f t="shared" si="16"/>
        <v>2845.8202897017381</v>
      </c>
      <c r="L81">
        <f t="shared" si="16"/>
        <v>2762.9323200987751</v>
      </c>
      <c r="M81">
        <f t="shared" si="16"/>
        <v>2682.4585632026942</v>
      </c>
      <c r="N81">
        <f t="shared" si="16"/>
        <v>2604.3287021385381</v>
      </c>
      <c r="O81">
        <f t="shared" si="16"/>
        <v>2528.4744680956678</v>
      </c>
      <c r="P81">
        <f t="shared" si="16"/>
        <v>2454.8295806754063</v>
      </c>
      <c r="Q81">
        <f t="shared" si="16"/>
        <v>2383.3296899761226</v>
      </c>
      <c r="R81">
        <f t="shared" si="16"/>
        <v>2313.9123203651675</v>
      </c>
      <c r="S81">
        <f t="shared" si="16"/>
        <v>2246.5168158885117</v>
      </c>
      <c r="T81">
        <f t="shared" si="16"/>
        <v>2181.0842872704002</v>
      </c>
      <c r="U81">
        <f t="shared" si="16"/>
        <v>2117.5575604566993</v>
      </c>
      <c r="V81">
        <f t="shared" si="16"/>
        <v>2055.8811266569896</v>
      </c>
      <c r="W81">
        <f t="shared" si="16"/>
        <v>1996.0010938417374</v>
      </c>
      <c r="X81">
        <f t="shared" si="16"/>
        <v>1937.8651396521723</v>
      </c>
      <c r="Y81">
        <f t="shared" si="16"/>
        <v>1881.422465681721</v>
      </c>
      <c r="Z81">
        <f t="shared" si="16"/>
        <v>1826.6237530890494</v>
      </c>
    </row>
    <row r="82" spans="3:26" x14ac:dyDescent="0.25">
      <c r="C82" t="s">
        <v>106</v>
      </c>
      <c r="D82">
        <f>SUM(D81:K81)</f>
        <v>25305.9903432754</v>
      </c>
      <c r="E82" s="145">
        <f>NPV(0.03,E81:L81)</f>
        <v>21657.07245861413</v>
      </c>
      <c r="F82" s="145">
        <f t="shared" ref="F82:O82" si="17">NPV(0.03,F81:M81)</f>
        <v>21026.283940402063</v>
      </c>
      <c r="G82" s="145">
        <f t="shared" si="17"/>
        <v>20413.867903302973</v>
      </c>
      <c r="H82" s="145">
        <f t="shared" si="17"/>
        <v>19819.289226507743</v>
      </c>
      <c r="I82" s="145">
        <f t="shared" si="17"/>
        <v>19242.028375250236</v>
      </c>
      <c r="J82" s="145">
        <f t="shared" si="17"/>
        <v>18681.58094684489</v>
      </c>
      <c r="K82" s="145">
        <f t="shared" si="17"/>
        <v>18137.457229946493</v>
      </c>
      <c r="L82" s="145">
        <f t="shared" si="17"/>
        <v>17609.181776647089</v>
      </c>
      <c r="M82" s="145">
        <f t="shared" si="17"/>
        <v>17096.292987036006</v>
      </c>
      <c r="N82" s="145">
        <f t="shared" si="17"/>
        <v>16598.342705860196</v>
      </c>
      <c r="O82" s="145">
        <f t="shared" si="17"/>
        <v>16114.895830932232</v>
      </c>
    </row>
    <row r="85" spans="3:26" x14ac:dyDescent="0.25">
      <c r="C85" t="s">
        <v>98</v>
      </c>
      <c r="D85">
        <f>80*365</f>
        <v>29200</v>
      </c>
      <c r="E85">
        <f t="shared" ref="E85:Z85" si="18">80*365</f>
        <v>29200</v>
      </c>
      <c r="F85">
        <f t="shared" si="18"/>
        <v>29200</v>
      </c>
      <c r="G85">
        <f t="shared" si="18"/>
        <v>29200</v>
      </c>
      <c r="H85">
        <f t="shared" si="18"/>
        <v>29200</v>
      </c>
      <c r="I85">
        <f t="shared" si="18"/>
        <v>29200</v>
      </c>
      <c r="J85">
        <f t="shared" si="18"/>
        <v>29200</v>
      </c>
      <c r="K85">
        <f t="shared" si="18"/>
        <v>29200</v>
      </c>
      <c r="L85">
        <f t="shared" si="18"/>
        <v>29200</v>
      </c>
      <c r="M85">
        <f t="shared" si="18"/>
        <v>29200</v>
      </c>
      <c r="N85">
        <f t="shared" si="18"/>
        <v>29200</v>
      </c>
      <c r="O85">
        <f t="shared" si="18"/>
        <v>29200</v>
      </c>
      <c r="P85">
        <f t="shared" si="18"/>
        <v>29200</v>
      </c>
      <c r="Q85">
        <f t="shared" si="18"/>
        <v>29200</v>
      </c>
      <c r="R85">
        <f t="shared" si="18"/>
        <v>29200</v>
      </c>
      <c r="S85">
        <f t="shared" si="18"/>
        <v>29200</v>
      </c>
      <c r="T85">
        <f t="shared" si="18"/>
        <v>29200</v>
      </c>
      <c r="U85">
        <f t="shared" si="18"/>
        <v>29200</v>
      </c>
      <c r="V85">
        <f t="shared" si="18"/>
        <v>29200</v>
      </c>
      <c r="W85">
        <f t="shared" si="18"/>
        <v>29200</v>
      </c>
      <c r="X85">
        <f t="shared" si="18"/>
        <v>29200</v>
      </c>
      <c r="Y85">
        <f t="shared" si="18"/>
        <v>29200</v>
      </c>
      <c r="Z85">
        <f t="shared" si="18"/>
        <v>29200</v>
      </c>
    </row>
    <row r="86" spans="3:26" x14ac:dyDescent="0.25">
      <c r="C86" t="s">
        <v>107</v>
      </c>
      <c r="D86" s="66">
        <f t="shared" ref="D86:O86" si="19">(D29/100)*D85</f>
        <v>1547.6</v>
      </c>
      <c r="E86" s="66">
        <f t="shared" si="19"/>
        <v>1547.6</v>
      </c>
      <c r="F86" s="66">
        <f t="shared" si="19"/>
        <v>1547.6</v>
      </c>
      <c r="G86" s="66">
        <f t="shared" si="19"/>
        <v>1547.6</v>
      </c>
      <c r="H86" s="66">
        <f t="shared" si="19"/>
        <v>1547.6</v>
      </c>
      <c r="I86" s="66">
        <f t="shared" si="19"/>
        <v>1547.6</v>
      </c>
      <c r="J86" s="66">
        <f t="shared" si="19"/>
        <v>1547.6</v>
      </c>
      <c r="K86" s="66">
        <f t="shared" si="19"/>
        <v>1547.6</v>
      </c>
      <c r="L86" s="66">
        <f t="shared" si="19"/>
        <v>1547.6</v>
      </c>
      <c r="M86" s="66">
        <f t="shared" si="19"/>
        <v>1547.6</v>
      </c>
      <c r="N86" s="66">
        <f t="shared" si="19"/>
        <v>1547.6</v>
      </c>
      <c r="O86" s="66">
        <f t="shared" si="19"/>
        <v>1547.6</v>
      </c>
      <c r="P86" s="66">
        <f>O86</f>
        <v>1547.6</v>
      </c>
      <c r="Q86" s="66">
        <f t="shared" ref="Q86:Z86" si="20">P86</f>
        <v>1547.6</v>
      </c>
      <c r="R86" s="66">
        <f t="shared" si="20"/>
        <v>1547.6</v>
      </c>
      <c r="S86" s="66">
        <f t="shared" si="20"/>
        <v>1547.6</v>
      </c>
      <c r="T86" s="66">
        <f t="shared" si="20"/>
        <v>1547.6</v>
      </c>
      <c r="U86" s="66">
        <f t="shared" si="20"/>
        <v>1547.6</v>
      </c>
      <c r="V86" s="66">
        <f t="shared" si="20"/>
        <v>1547.6</v>
      </c>
      <c r="W86" s="66">
        <f t="shared" si="20"/>
        <v>1547.6</v>
      </c>
      <c r="X86" s="66">
        <f t="shared" si="20"/>
        <v>1547.6</v>
      </c>
      <c r="Y86" s="66">
        <f t="shared" si="20"/>
        <v>1547.6</v>
      </c>
      <c r="Z86" s="66">
        <f t="shared" si="20"/>
        <v>1547.6</v>
      </c>
    </row>
    <row r="87" spans="3:26" x14ac:dyDescent="0.25">
      <c r="C87" t="s">
        <v>108</v>
      </c>
      <c r="D87">
        <f>D86*$D$30</f>
        <v>10833.199999999999</v>
      </c>
      <c r="E87">
        <f t="shared" ref="E87:Z87" si="21">E86*$D$30</f>
        <v>10833.199999999999</v>
      </c>
      <c r="F87">
        <f t="shared" si="21"/>
        <v>10833.199999999999</v>
      </c>
      <c r="G87">
        <f t="shared" si="21"/>
        <v>10833.199999999999</v>
      </c>
      <c r="H87">
        <f t="shared" si="21"/>
        <v>10833.199999999999</v>
      </c>
      <c r="I87">
        <f t="shared" si="21"/>
        <v>10833.199999999999</v>
      </c>
      <c r="J87">
        <f t="shared" si="21"/>
        <v>10833.199999999999</v>
      </c>
      <c r="K87">
        <f t="shared" si="21"/>
        <v>10833.199999999999</v>
      </c>
      <c r="L87">
        <f t="shared" si="21"/>
        <v>10833.199999999999</v>
      </c>
      <c r="M87">
        <f t="shared" si="21"/>
        <v>10833.199999999999</v>
      </c>
      <c r="N87">
        <f t="shared" si="21"/>
        <v>10833.199999999999</v>
      </c>
      <c r="O87">
        <f t="shared" si="21"/>
        <v>10833.199999999999</v>
      </c>
      <c r="P87">
        <f t="shared" si="21"/>
        <v>10833.199999999999</v>
      </c>
      <c r="Q87">
        <f t="shared" si="21"/>
        <v>10833.199999999999</v>
      </c>
      <c r="R87">
        <f t="shared" si="21"/>
        <v>10833.199999999999</v>
      </c>
      <c r="S87">
        <f t="shared" si="21"/>
        <v>10833.199999999999</v>
      </c>
      <c r="T87">
        <f t="shared" si="21"/>
        <v>10833.199999999999</v>
      </c>
      <c r="U87">
        <f t="shared" si="21"/>
        <v>10833.199999999999</v>
      </c>
      <c r="V87">
        <f t="shared" si="21"/>
        <v>10833.199999999999</v>
      </c>
      <c r="W87">
        <f t="shared" si="21"/>
        <v>10833.199999999999</v>
      </c>
      <c r="X87">
        <f t="shared" si="21"/>
        <v>10833.199999999999</v>
      </c>
      <c r="Y87">
        <f t="shared" si="21"/>
        <v>10833.199999999999</v>
      </c>
      <c r="Z87">
        <f t="shared" si="21"/>
        <v>10833.199999999999</v>
      </c>
    </row>
    <row r="88" spans="3:26" x14ac:dyDescent="0.25">
      <c r="D88">
        <f>D87/(1+$D$31)^(D69-2019)</f>
        <v>10833.199999999999</v>
      </c>
      <c r="E88">
        <f t="shared" ref="E88:Z88" si="22">E87/(1+$D$31)^(E69-2019)</f>
        <v>10517.669902912619</v>
      </c>
      <c r="F88">
        <f t="shared" si="22"/>
        <v>10211.330002827786</v>
      </c>
      <c r="G88">
        <f t="shared" si="22"/>
        <v>9913.912624104647</v>
      </c>
      <c r="H88">
        <f t="shared" si="22"/>
        <v>9625.1578874802417</v>
      </c>
      <c r="I88">
        <f t="shared" si="22"/>
        <v>9344.8134829905248</v>
      </c>
      <c r="J88">
        <f t="shared" si="22"/>
        <v>9072.6344495053636</v>
      </c>
      <c r="K88">
        <f t="shared" si="22"/>
        <v>8808.3829606848194</v>
      </c>
      <c r="L88">
        <f t="shared" si="22"/>
        <v>8551.828117169729</v>
      </c>
      <c r="M88">
        <f t="shared" si="22"/>
        <v>8302.7457448249788</v>
      </c>
      <c r="N88">
        <f t="shared" si="22"/>
        <v>8060.9181988592027</v>
      </c>
      <c r="O88">
        <f t="shared" si="22"/>
        <v>7826.1341736497106</v>
      </c>
      <c r="P88">
        <f t="shared" si="22"/>
        <v>7598.1885181065163</v>
      </c>
      <c r="Q88">
        <f t="shared" si="22"/>
        <v>7376.8820564140942</v>
      </c>
      <c r="R88">
        <f t="shared" si="22"/>
        <v>7162.0214139942655</v>
      </c>
      <c r="S88">
        <f t="shared" si="22"/>
        <v>6953.418848538121</v>
      </c>
      <c r="T88">
        <f t="shared" si="22"/>
        <v>6750.8920859593427</v>
      </c>
      <c r="U88">
        <f t="shared" si="22"/>
        <v>6554.2641611255749</v>
      </c>
      <c r="V88">
        <f t="shared" si="22"/>
        <v>6363.3632632287135</v>
      </c>
      <c r="W88">
        <f t="shared" si="22"/>
        <v>6178.022585658945</v>
      </c>
      <c r="X88">
        <f t="shared" si="22"/>
        <v>5998.0801802514034</v>
      </c>
      <c r="Y88">
        <f t="shared" si="22"/>
        <v>5823.3788157780618</v>
      </c>
      <c r="Z88">
        <f t="shared" si="22"/>
        <v>5653.7658405612246</v>
      </c>
    </row>
    <row r="89" spans="3:26" x14ac:dyDescent="0.25">
      <c r="D89">
        <f>SUM(D88:K88)</f>
        <v>78327.101310505997</v>
      </c>
      <c r="E89">
        <f t="shared" ref="E89:O89" si="23">SUM(E88:L88)</f>
        <v>76045.729427675731</v>
      </c>
      <c r="F89">
        <f t="shared" si="23"/>
        <v>73830.805269588091</v>
      </c>
      <c r="G89">
        <f t="shared" si="23"/>
        <v>71680.393465619505</v>
      </c>
      <c r="H89">
        <f t="shared" si="23"/>
        <v>69592.615015164571</v>
      </c>
      <c r="I89">
        <f t="shared" si="23"/>
        <v>67565.64564579085</v>
      </c>
      <c r="J89">
        <f t="shared" si="23"/>
        <v>65597.714219214409</v>
      </c>
      <c r="K89">
        <f t="shared" si="23"/>
        <v>63687.101183703315</v>
      </c>
      <c r="L89">
        <f t="shared" si="23"/>
        <v>61832.137071556623</v>
      </c>
      <c r="M89">
        <f t="shared" si="23"/>
        <v>60031.201040346234</v>
      </c>
      <c r="N89">
        <f t="shared" si="23"/>
        <v>58282.719456646832</v>
      </c>
      <c r="O89">
        <f t="shared" si="23"/>
        <v>56585.164521016341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91"/>
  <sheetViews>
    <sheetView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9" x14ac:dyDescent="0.25">
      <c r="C4" s="131" t="s">
        <v>390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9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9" x14ac:dyDescent="0.25">
      <c r="C6" s="243" t="s">
        <v>55</v>
      </c>
      <c r="D6" s="70">
        <v>63475</v>
      </c>
      <c r="E6" s="71">
        <v>58403</v>
      </c>
      <c r="F6" s="71">
        <v>53818.200000000004</v>
      </c>
      <c r="G6" s="71">
        <v>49671.880000000005</v>
      </c>
      <c r="H6" s="72">
        <v>45920.192000000003</v>
      </c>
      <c r="I6" s="72">
        <v>42523.6728</v>
      </c>
      <c r="J6" s="72">
        <v>39446.805520000002</v>
      </c>
      <c r="K6" s="73">
        <v>36657.624968000004</v>
      </c>
      <c r="L6" s="73">
        <v>34127.362471200002</v>
      </c>
      <c r="M6" s="73">
        <v>31830.126224080002</v>
      </c>
      <c r="N6" s="73">
        <v>29742.613601672001</v>
      </c>
      <c r="O6" s="98">
        <v>27843.852241504803</v>
      </c>
    </row>
    <row r="7" spans="3:19" x14ac:dyDescent="0.25">
      <c r="C7" s="243" t="s">
        <v>24</v>
      </c>
      <c r="D7" s="74">
        <v>0</v>
      </c>
      <c r="E7" s="75">
        <v>0</v>
      </c>
      <c r="F7" s="76">
        <f>F6*0.1</f>
        <v>5381.8200000000006</v>
      </c>
      <c r="G7" s="76">
        <f t="shared" ref="G7:O7" si="0">G6*0.1</f>
        <v>4967.188000000001</v>
      </c>
      <c r="H7" s="77">
        <f t="shared" si="0"/>
        <v>4592.0192000000006</v>
      </c>
      <c r="I7" s="77">
        <f t="shared" si="0"/>
        <v>4252.3672800000004</v>
      </c>
      <c r="J7" s="77">
        <f t="shared" si="0"/>
        <v>3944.6805520000003</v>
      </c>
      <c r="K7" s="78">
        <f t="shared" si="0"/>
        <v>3665.7624968000005</v>
      </c>
      <c r="L7" s="78">
        <f t="shared" si="0"/>
        <v>3412.7362471200004</v>
      </c>
      <c r="M7" s="78">
        <f t="shared" si="0"/>
        <v>3183.0126224080004</v>
      </c>
      <c r="N7" s="78">
        <f t="shared" si="0"/>
        <v>2974.2613601672001</v>
      </c>
      <c r="O7" s="99">
        <f t="shared" si="0"/>
        <v>2784.3852241504806</v>
      </c>
    </row>
    <row r="8" spans="3:19" x14ac:dyDescent="0.25">
      <c r="C8" s="243" t="s">
        <v>48</v>
      </c>
      <c r="D8" s="79">
        <f t="shared" ref="D8:O8" si="1">D6+D7</f>
        <v>63475</v>
      </c>
      <c r="E8" s="80">
        <f t="shared" si="1"/>
        <v>58403</v>
      </c>
      <c r="F8" s="80">
        <f t="shared" si="1"/>
        <v>59200.020000000004</v>
      </c>
      <c r="G8" s="90">
        <f t="shared" si="1"/>
        <v>54639.068000000007</v>
      </c>
      <c r="H8" s="81">
        <f t="shared" si="1"/>
        <v>50512.211200000005</v>
      </c>
      <c r="I8" s="81">
        <f t="shared" si="1"/>
        <v>46776.040079999999</v>
      </c>
      <c r="J8" s="81">
        <f t="shared" si="1"/>
        <v>43391.486072</v>
      </c>
      <c r="K8" s="82">
        <f t="shared" si="1"/>
        <v>40323.387464800006</v>
      </c>
      <c r="L8" s="82">
        <f t="shared" si="1"/>
        <v>37540.098718320005</v>
      </c>
      <c r="M8" s="82">
        <f t="shared" si="1"/>
        <v>35013.138846488</v>
      </c>
      <c r="N8" s="82">
        <f t="shared" si="1"/>
        <v>32716.874961839203</v>
      </c>
      <c r="O8" s="100">
        <f t="shared" si="1"/>
        <v>30628.237465655282</v>
      </c>
    </row>
    <row r="9" spans="3:19" x14ac:dyDescent="0.25">
      <c r="C9" s="243" t="s">
        <v>84</v>
      </c>
      <c r="D9" s="79">
        <v>300</v>
      </c>
      <c r="E9" s="90">
        <v>300</v>
      </c>
      <c r="F9" s="90">
        <v>300</v>
      </c>
      <c r="G9" s="90">
        <v>300</v>
      </c>
      <c r="H9" s="94">
        <v>300</v>
      </c>
      <c r="I9" s="94">
        <v>300</v>
      </c>
      <c r="J9" s="94">
        <v>300</v>
      </c>
      <c r="K9" s="95">
        <v>300</v>
      </c>
      <c r="L9" s="95">
        <v>300</v>
      </c>
      <c r="M9" s="95">
        <v>300</v>
      </c>
      <c r="N9" s="95">
        <v>300</v>
      </c>
      <c r="O9" s="101">
        <v>300</v>
      </c>
    </row>
    <row r="10" spans="3:19" x14ac:dyDescent="0.25">
      <c r="C10" s="243" t="s">
        <v>94</v>
      </c>
      <c r="D10" s="79">
        <v>5</v>
      </c>
      <c r="E10" s="90">
        <v>5</v>
      </c>
      <c r="F10" s="90">
        <v>5</v>
      </c>
      <c r="G10" s="90">
        <v>5</v>
      </c>
      <c r="H10" s="94">
        <v>5</v>
      </c>
      <c r="I10" s="94">
        <v>5</v>
      </c>
      <c r="J10" s="94">
        <v>5</v>
      </c>
      <c r="K10" s="95">
        <v>5</v>
      </c>
      <c r="L10" s="95">
        <v>5</v>
      </c>
      <c r="M10" s="95">
        <v>5</v>
      </c>
      <c r="N10" s="95">
        <v>5</v>
      </c>
      <c r="O10" s="101">
        <v>5</v>
      </c>
    </row>
    <row r="11" spans="3:19" x14ac:dyDescent="0.25">
      <c r="C11" s="243" t="s">
        <v>85</v>
      </c>
      <c r="D11" s="83">
        <v>11.6</v>
      </c>
      <c r="E11" s="90">
        <v>11.6</v>
      </c>
      <c r="F11" s="90">
        <v>11.6</v>
      </c>
      <c r="G11" s="90">
        <v>11.6</v>
      </c>
      <c r="H11" s="94">
        <v>11.6</v>
      </c>
      <c r="I11" s="94">
        <v>11.6</v>
      </c>
      <c r="J11" s="94">
        <v>11.6</v>
      </c>
      <c r="K11" s="95">
        <v>11.6</v>
      </c>
      <c r="L11" s="95">
        <v>11.6</v>
      </c>
      <c r="M11" s="95">
        <v>11.6</v>
      </c>
      <c r="N11" s="95">
        <v>11.6</v>
      </c>
      <c r="O11" s="101">
        <v>11.6</v>
      </c>
    </row>
    <row r="12" spans="3:19" x14ac:dyDescent="0.25">
      <c r="C12" s="243" t="s">
        <v>86</v>
      </c>
      <c r="D12" s="83">
        <v>0.8</v>
      </c>
      <c r="E12" s="90">
        <v>0.8</v>
      </c>
      <c r="F12" s="90">
        <v>0.8</v>
      </c>
      <c r="G12" s="90">
        <v>0.8</v>
      </c>
      <c r="H12" s="94">
        <v>0.8</v>
      </c>
      <c r="I12" s="94">
        <v>0.8</v>
      </c>
      <c r="J12" s="94">
        <v>0.8</v>
      </c>
      <c r="K12" s="95">
        <v>0.8</v>
      </c>
      <c r="L12" s="95">
        <v>0.8</v>
      </c>
      <c r="M12" s="95">
        <v>0.8</v>
      </c>
      <c r="N12" s="95">
        <v>0.8</v>
      </c>
      <c r="O12" s="101">
        <v>0.8</v>
      </c>
    </row>
    <row r="13" spans="3:19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9" x14ac:dyDescent="0.25">
      <c r="C14" s="243" t="s">
        <v>88</v>
      </c>
      <c r="D14" s="79">
        <v>47933.267129997854</v>
      </c>
      <c r="E14" s="90">
        <v>46537.152553395987</v>
      </c>
      <c r="F14" s="90">
        <v>45181.70150815144</v>
      </c>
      <c r="G14" s="90">
        <v>43865.729619564503</v>
      </c>
      <c r="H14" s="94">
        <v>42588.087009285926</v>
      </c>
      <c r="I14" s="94">
        <v>41347.657290568859</v>
      </c>
      <c r="J14" s="94">
        <v>40143.356592785298</v>
      </c>
      <c r="K14" s="95">
        <v>38974.132614354661</v>
      </c>
      <c r="L14" s="95">
        <v>37838.963703256952</v>
      </c>
      <c r="M14" s="95">
        <v>36736.857964327137</v>
      </c>
      <c r="N14" s="95">
        <v>35666.852392550616</v>
      </c>
      <c r="O14" s="101">
        <v>34628.012031602542</v>
      </c>
      <c r="P14">
        <v>13741.667148746021</v>
      </c>
      <c r="Q14">
        <v>13341.424416258273</v>
      </c>
      <c r="R14">
        <v>12952.839239085703</v>
      </c>
      <c r="S14">
        <v>12575.572076782237</v>
      </c>
    </row>
    <row r="15" spans="3:19" x14ac:dyDescent="0.25">
      <c r="C15" s="243" t="s">
        <v>89</v>
      </c>
      <c r="D15" s="79">
        <f>27*300+27*100</f>
        <v>10800</v>
      </c>
      <c r="E15" s="90">
        <f>D15*(1-$D$13)</f>
        <v>10476</v>
      </c>
      <c r="F15" s="90">
        <f t="shared" ref="F15:O15" si="2">E15*(1-$D$13)</f>
        <v>10161.719999999999</v>
      </c>
      <c r="G15" s="90">
        <f t="shared" si="2"/>
        <v>9856.8683999999994</v>
      </c>
      <c r="H15" s="94">
        <f t="shared" si="2"/>
        <v>9561.1623479999998</v>
      </c>
      <c r="I15" s="94">
        <f t="shared" si="2"/>
        <v>9274.3274775600003</v>
      </c>
      <c r="J15" s="94">
        <f t="shared" si="2"/>
        <v>8996.0976532332006</v>
      </c>
      <c r="K15" s="95">
        <f t="shared" si="2"/>
        <v>8726.2147236362052</v>
      </c>
      <c r="L15" s="95">
        <f t="shared" si="2"/>
        <v>8464.4282819271193</v>
      </c>
      <c r="M15" s="95">
        <f t="shared" si="2"/>
        <v>8210.4954334693048</v>
      </c>
      <c r="N15" s="95">
        <f t="shared" si="2"/>
        <v>7964.1805704652252</v>
      </c>
      <c r="O15" s="101">
        <f t="shared" si="2"/>
        <v>7725.2551533512678</v>
      </c>
    </row>
    <row r="16" spans="3:19" x14ac:dyDescent="0.25">
      <c r="C16" s="243" t="s">
        <v>90</v>
      </c>
      <c r="D16" s="79">
        <v>16509.844409836296</v>
      </c>
      <c r="E16" s="90">
        <v>16028.975155180869</v>
      </c>
      <c r="F16" s="90">
        <v>15562.111801146475</v>
      </c>
      <c r="G16" s="90">
        <v>15108.846408880074</v>
      </c>
      <c r="H16" s="94">
        <v>14668.78292124279</v>
      </c>
      <c r="I16" s="94">
        <v>14241.536816740572</v>
      </c>
      <c r="J16" s="94">
        <v>13826.734773534536</v>
      </c>
      <c r="K16" s="95">
        <v>13424.014343237413</v>
      </c>
      <c r="L16" s="95">
        <v>13033.023634211082</v>
      </c>
      <c r="M16" s="95">
        <v>12653.42100408843</v>
      </c>
      <c r="N16" s="95">
        <v>12284.874761250901</v>
      </c>
      <c r="O16" s="101">
        <v>11927.062875000876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9521.25</v>
      </c>
      <c r="E18" s="90">
        <f t="shared" ref="E18:O18" si="3">0.15*E6</f>
        <v>8760.4499999999989</v>
      </c>
      <c r="F18" s="90">
        <f t="shared" si="3"/>
        <v>8072.7300000000005</v>
      </c>
      <c r="G18" s="90">
        <f t="shared" si="3"/>
        <v>7450.7820000000002</v>
      </c>
      <c r="H18" s="94">
        <f t="shared" si="3"/>
        <v>6888.0288</v>
      </c>
      <c r="I18" s="94">
        <f t="shared" si="3"/>
        <v>6378.5509199999997</v>
      </c>
      <c r="J18" s="94">
        <f t="shared" si="3"/>
        <v>5917.0208279999997</v>
      </c>
      <c r="K18" s="95">
        <f t="shared" si="3"/>
        <v>5498.6437452</v>
      </c>
      <c r="L18" s="95">
        <f t="shared" si="3"/>
        <v>5119.1043706800001</v>
      </c>
      <c r="M18" s="95">
        <f t="shared" si="3"/>
        <v>4774.5189336120002</v>
      </c>
      <c r="N18" s="95">
        <f t="shared" si="3"/>
        <v>4461.3920402508002</v>
      </c>
      <c r="O18" s="101">
        <f t="shared" si="3"/>
        <v>4176.5778362257206</v>
      </c>
    </row>
    <row r="19" spans="3:15" x14ac:dyDescent="0.25">
      <c r="C19" s="244" t="s">
        <v>93</v>
      </c>
      <c r="D19" s="161">
        <f>D8+D14+D15+D16+D17-D18</f>
        <v>129196.86153983415</v>
      </c>
      <c r="E19" s="158">
        <f t="shared" ref="E19:O19" si="4">E8+E14+E15+E16+E17-E18</f>
        <v>122684.67770857686</v>
      </c>
      <c r="F19" s="158">
        <f t="shared" si="4"/>
        <v>122032.82330929792</v>
      </c>
      <c r="G19" s="158">
        <f t="shared" si="4"/>
        <v>116019.73042844459</v>
      </c>
      <c r="H19" s="159">
        <f t="shared" si="4"/>
        <v>110442.21467852872</v>
      </c>
      <c r="I19" s="159">
        <f t="shared" si="4"/>
        <v>105261.01074486943</v>
      </c>
      <c r="J19" s="159">
        <f t="shared" si="4"/>
        <v>100440.65426355305</v>
      </c>
      <c r="K19" s="162">
        <f t="shared" si="4"/>
        <v>95949.105400828295</v>
      </c>
      <c r="L19" s="162">
        <f t="shared" si="4"/>
        <v>91757.409967035172</v>
      </c>
      <c r="M19" s="162">
        <f t="shared" si="4"/>
        <v>87839.394314760881</v>
      </c>
      <c r="N19" s="162">
        <f t="shared" si="4"/>
        <v>84171.39064585515</v>
      </c>
      <c r="O19" s="172">
        <f t="shared" si="4"/>
        <v>80731.989689384252</v>
      </c>
    </row>
    <row r="20" spans="3:15" x14ac:dyDescent="0.25">
      <c r="C20" s="131" t="s">
        <v>391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51066</v>
      </c>
      <c r="E22" s="87">
        <v>51366</v>
      </c>
      <c r="F22" s="87">
        <v>51672</v>
      </c>
      <c r="G22" s="87">
        <v>51984.12</v>
      </c>
      <c r="H22" s="88">
        <v>52302.482400000001</v>
      </c>
      <c r="I22" s="88">
        <v>52627.212048000001</v>
      </c>
      <c r="J22" s="88">
        <v>52958.436288960002</v>
      </c>
      <c r="K22" s="89">
        <v>53296.285014739202</v>
      </c>
      <c r="L22" s="89">
        <v>53640.89071503398</v>
      </c>
      <c r="M22" s="89">
        <v>53992.388529334654</v>
      </c>
      <c r="N22" s="89">
        <v>54350.916299921344</v>
      </c>
      <c r="O22" s="107">
        <v>54716.614625919778</v>
      </c>
    </row>
    <row r="23" spans="3:15" x14ac:dyDescent="0.25">
      <c r="C23" s="102" t="s">
        <v>24</v>
      </c>
      <c r="D23" s="117">
        <v>5500</v>
      </c>
      <c r="E23" s="76">
        <v>5530</v>
      </c>
      <c r="F23" s="76">
        <v>5560.6</v>
      </c>
      <c r="G23" s="76">
        <v>5591.8120000000008</v>
      </c>
      <c r="H23" s="77">
        <v>5623.6482400000004</v>
      </c>
      <c r="I23" s="77">
        <v>5656.1212048000007</v>
      </c>
      <c r="J23" s="77">
        <v>5689.2436288960007</v>
      </c>
      <c r="K23" s="78">
        <v>5723.0285014739202</v>
      </c>
      <c r="L23" s="78">
        <v>5757.489071503398</v>
      </c>
      <c r="M23" s="78">
        <v>5792.6388529334654</v>
      </c>
      <c r="N23" s="78">
        <v>5828.4916299921351</v>
      </c>
      <c r="O23" s="104">
        <v>5865.0614625919779</v>
      </c>
    </row>
    <row r="24" spans="3:15" x14ac:dyDescent="0.25">
      <c r="C24" s="102" t="s">
        <v>48</v>
      </c>
      <c r="D24" s="93">
        <v>60500</v>
      </c>
      <c r="E24" s="71">
        <v>60830</v>
      </c>
      <c r="F24" s="71">
        <v>61166.6</v>
      </c>
      <c r="G24" s="80">
        <v>61509.932000000001</v>
      </c>
      <c r="H24" s="72">
        <v>61860.130640000003</v>
      </c>
      <c r="I24" s="72">
        <v>62217.333252800003</v>
      </c>
      <c r="J24" s="72">
        <v>62581.679917856003</v>
      </c>
      <c r="K24" s="73">
        <v>62953.313516213122</v>
      </c>
      <c r="L24" s="73">
        <v>63332.379786537378</v>
      </c>
      <c r="M24" s="73">
        <v>63719.027382268119</v>
      </c>
      <c r="N24" s="73">
        <v>64113.407929913476</v>
      </c>
      <c r="O24" s="103">
        <v>64515.676088511755</v>
      </c>
    </row>
    <row r="25" spans="3:15" x14ac:dyDescent="0.25">
      <c r="C25" s="102" t="s">
        <v>84</v>
      </c>
      <c r="D25" s="79">
        <v>300</v>
      </c>
      <c r="E25" s="71">
        <v>300</v>
      </c>
      <c r="F25" s="71">
        <v>300</v>
      </c>
      <c r="G25" s="80">
        <v>300</v>
      </c>
      <c r="H25" s="72">
        <v>300</v>
      </c>
      <c r="I25" s="72">
        <v>300</v>
      </c>
      <c r="J25" s="72">
        <v>300</v>
      </c>
      <c r="K25" s="73">
        <v>300</v>
      </c>
      <c r="L25" s="73">
        <v>300</v>
      </c>
      <c r="M25" s="73">
        <v>300</v>
      </c>
      <c r="N25" s="73">
        <v>300</v>
      </c>
      <c r="O25" s="103">
        <v>300</v>
      </c>
    </row>
    <row r="26" spans="3:15" x14ac:dyDescent="0.25">
      <c r="C26" s="102" t="s">
        <v>94</v>
      </c>
      <c r="D26" s="79">
        <v>5</v>
      </c>
      <c r="E26" s="71">
        <v>5</v>
      </c>
      <c r="F26" s="71">
        <v>5</v>
      </c>
      <c r="G26" s="80">
        <v>5</v>
      </c>
      <c r="H26" s="72">
        <v>5</v>
      </c>
      <c r="I26" s="72">
        <v>5</v>
      </c>
      <c r="J26" s="72">
        <v>5</v>
      </c>
      <c r="K26" s="73">
        <v>5</v>
      </c>
      <c r="L26" s="73">
        <v>5</v>
      </c>
      <c r="M26" s="73">
        <v>5</v>
      </c>
      <c r="N26" s="73">
        <v>5</v>
      </c>
      <c r="O26" s="103">
        <v>5</v>
      </c>
    </row>
    <row r="27" spans="3:15" x14ac:dyDescent="0.25">
      <c r="C27" s="102" t="s">
        <v>95</v>
      </c>
      <c r="D27" s="83">
        <v>5.3</v>
      </c>
      <c r="E27" s="71">
        <v>5.3</v>
      </c>
      <c r="F27" s="71">
        <v>5.3</v>
      </c>
      <c r="G27" s="80">
        <v>5.3</v>
      </c>
      <c r="H27" s="72">
        <v>5.3</v>
      </c>
      <c r="I27" s="72">
        <v>5.3</v>
      </c>
      <c r="J27" s="72">
        <v>5.3</v>
      </c>
      <c r="K27" s="73">
        <v>5.3</v>
      </c>
      <c r="L27" s="73">
        <v>5.3</v>
      </c>
      <c r="M27" s="73">
        <v>5.3</v>
      </c>
      <c r="N27" s="73">
        <v>5.3</v>
      </c>
      <c r="O27" s="103">
        <v>5.3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191629.76406496984</v>
      </c>
      <c r="E30" s="71">
        <v>186048.31462618432</v>
      </c>
      <c r="F30" s="71">
        <v>180629.43167590714</v>
      </c>
      <c r="G30" s="80">
        <v>175368.38026787102</v>
      </c>
      <c r="H30" s="72">
        <v>170260.56336686507</v>
      </c>
      <c r="I30" s="72">
        <v>165301.51783190781</v>
      </c>
      <c r="J30" s="72">
        <v>160486.91051641537</v>
      </c>
      <c r="K30" s="73">
        <v>155812.53448195665</v>
      </c>
      <c r="L30" s="73">
        <v>151274.30532228801</v>
      </c>
      <c r="M30" s="73">
        <v>146868.25759445439</v>
      </c>
      <c r="N30" s="73">
        <v>142590.54135383922</v>
      </c>
      <c r="O30" s="103">
        <v>138437.41879013518</v>
      </c>
    </row>
    <row r="31" spans="3:15" x14ac:dyDescent="0.25">
      <c r="C31" s="102" t="s">
        <v>89</v>
      </c>
      <c r="D31" s="70">
        <f>54*1200+55*600</f>
        <v>97800</v>
      </c>
      <c r="E31" s="71">
        <f>D31*(1-$D$29)</f>
        <v>94866</v>
      </c>
      <c r="F31" s="71">
        <f t="shared" ref="F31:O31" si="5">E31*(1-$D$29)</f>
        <v>92020.02</v>
      </c>
      <c r="G31" s="80">
        <f t="shared" si="5"/>
        <v>89259.419399999999</v>
      </c>
      <c r="H31" s="72">
        <f t="shared" si="5"/>
        <v>86581.636817999999</v>
      </c>
      <c r="I31" s="72">
        <f t="shared" si="5"/>
        <v>83984.187713459993</v>
      </c>
      <c r="J31" s="72">
        <f t="shared" si="5"/>
        <v>81464.662082056195</v>
      </c>
      <c r="K31" s="73">
        <f t="shared" si="5"/>
        <v>79020.722219594507</v>
      </c>
      <c r="L31" s="73">
        <f t="shared" si="5"/>
        <v>76650.100553006676</v>
      </c>
      <c r="M31" s="73">
        <f t="shared" si="5"/>
        <v>74350.597536416477</v>
      </c>
      <c r="N31" s="73">
        <f t="shared" si="5"/>
        <v>72120.079610323985</v>
      </c>
      <c r="O31" s="103">
        <f t="shared" si="5"/>
        <v>69956.477222014262</v>
      </c>
    </row>
    <row r="32" spans="3:15" x14ac:dyDescent="0.25">
      <c r="C32" s="102" t="s">
        <v>90</v>
      </c>
      <c r="D32" s="79">
        <v>14151.295208431109</v>
      </c>
      <c r="E32" s="71">
        <v>13739.121561583601</v>
      </c>
      <c r="F32" s="71">
        <v>13338.952972411265</v>
      </c>
      <c r="G32" s="80">
        <v>12950.439779040062</v>
      </c>
      <c r="H32" s="72">
        <v>12573.242503922391</v>
      </c>
      <c r="I32" s="72">
        <v>12207.031557206205</v>
      </c>
      <c r="J32" s="72">
        <v>11851.486948743888</v>
      </c>
      <c r="K32" s="73">
        <v>11506.298008489211</v>
      </c>
      <c r="L32" s="73">
        <v>11171.163115038071</v>
      </c>
      <c r="M32" s="73">
        <v>10845.789432075795</v>
      </c>
      <c r="N32" s="73">
        <v>10529.892652500772</v>
      </c>
      <c r="O32" s="103">
        <v>10223.196750000749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6">E33*(1-$D$29)</f>
        <v>338.72399999999999</v>
      </c>
      <c r="G33" s="80">
        <f t="shared" si="6"/>
        <v>328.56227999999999</v>
      </c>
      <c r="H33" s="72">
        <f t="shared" si="6"/>
        <v>318.70541159999999</v>
      </c>
      <c r="I33" s="72">
        <f t="shared" si="6"/>
        <v>309.14424925200001</v>
      </c>
      <c r="J33" s="72">
        <f t="shared" si="6"/>
        <v>299.86992177444</v>
      </c>
      <c r="K33" s="73">
        <f t="shared" si="6"/>
        <v>290.87382412120678</v>
      </c>
      <c r="L33" s="73">
        <f t="shared" si="6"/>
        <v>282.14760939757059</v>
      </c>
      <c r="M33" s="73">
        <f t="shared" si="6"/>
        <v>273.68318111564349</v>
      </c>
      <c r="N33" s="73">
        <f t="shared" si="6"/>
        <v>265.47268568217419</v>
      </c>
      <c r="O33" s="103">
        <f t="shared" si="6"/>
        <v>257.50850511170893</v>
      </c>
    </row>
    <row r="34" spans="3:15" x14ac:dyDescent="0.25">
      <c r="C34" s="102" t="s">
        <v>87</v>
      </c>
      <c r="D34" s="79">
        <f>0.35*D22</f>
        <v>17873.099999999999</v>
      </c>
      <c r="E34" s="71">
        <f t="shared" ref="E34:O34" si="7">0.35*E22</f>
        <v>17978.099999999999</v>
      </c>
      <c r="F34" s="71">
        <f t="shared" si="7"/>
        <v>18085.199999999997</v>
      </c>
      <c r="G34" s="80">
        <f t="shared" si="7"/>
        <v>18194.441999999999</v>
      </c>
      <c r="H34" s="72">
        <f t="shared" si="7"/>
        <v>18305.868839999999</v>
      </c>
      <c r="I34" s="72">
        <f t="shared" si="7"/>
        <v>18419.5242168</v>
      </c>
      <c r="J34" s="72">
        <f t="shared" si="7"/>
        <v>18535.452701136001</v>
      </c>
      <c r="K34" s="73">
        <f t="shared" si="7"/>
        <v>18653.699755158719</v>
      </c>
      <c r="L34" s="73">
        <f t="shared" si="7"/>
        <v>18774.311750261892</v>
      </c>
      <c r="M34" s="73">
        <f t="shared" si="7"/>
        <v>18897.335985267127</v>
      </c>
      <c r="N34" s="73">
        <f t="shared" si="7"/>
        <v>19022.82070497247</v>
      </c>
      <c r="O34" s="103">
        <f t="shared" si="7"/>
        <v>19150.815119071922</v>
      </c>
    </row>
    <row r="35" spans="3:15" x14ac:dyDescent="0.25">
      <c r="C35" s="109" t="s">
        <v>93</v>
      </c>
      <c r="D35" s="79">
        <f>D24+D30+D31+D32-D34</f>
        <v>346207.95927340095</v>
      </c>
      <c r="E35" s="71">
        <f t="shared" ref="E35:O35" si="8">E24+E30+E31+E32-E34</f>
        <v>337505.33618776791</v>
      </c>
      <c r="F35" s="71">
        <f t="shared" si="8"/>
        <v>329069.80464831839</v>
      </c>
      <c r="G35" s="80">
        <f t="shared" si="8"/>
        <v>320893.72944691108</v>
      </c>
      <c r="H35" s="72">
        <f t="shared" si="8"/>
        <v>312969.70448878745</v>
      </c>
      <c r="I35" s="72">
        <f t="shared" si="8"/>
        <v>305290.54613857402</v>
      </c>
      <c r="J35" s="72">
        <f t="shared" si="8"/>
        <v>297849.28676393541</v>
      </c>
      <c r="K35" s="73">
        <f t="shared" si="8"/>
        <v>290639.16847109474</v>
      </c>
      <c r="L35" s="73">
        <f t="shared" si="8"/>
        <v>283653.63702660828</v>
      </c>
      <c r="M35" s="73">
        <f t="shared" si="8"/>
        <v>276886.33595994767</v>
      </c>
      <c r="N35" s="73">
        <f t="shared" si="8"/>
        <v>270331.10084160499</v>
      </c>
      <c r="O35" s="103">
        <f t="shared" si="8"/>
        <v>263981.95373159007</v>
      </c>
    </row>
    <row r="36" spans="3:15" x14ac:dyDescent="0.25">
      <c r="D36" s="193">
        <v>2019</v>
      </c>
      <c r="E36" s="193">
        <v>2020</v>
      </c>
      <c r="F36" s="193">
        <v>2021</v>
      </c>
      <c r="G36" s="193">
        <v>2022</v>
      </c>
      <c r="H36" s="193">
        <v>2023</v>
      </c>
      <c r="I36" s="193">
        <v>2024</v>
      </c>
      <c r="J36" s="193">
        <v>2025</v>
      </c>
      <c r="K36" s="193">
        <v>2026</v>
      </c>
      <c r="L36" s="193">
        <v>2027</v>
      </c>
      <c r="M36" s="193">
        <v>2028</v>
      </c>
      <c r="N36" s="193">
        <v>2029</v>
      </c>
      <c r="O36" s="193">
        <v>2030</v>
      </c>
    </row>
    <row r="37" spans="3:15" x14ac:dyDescent="0.25">
      <c r="C37" t="s">
        <v>355</v>
      </c>
      <c r="D37" s="30">
        <f t="shared" ref="D37:O37" si="9">D19-D35</f>
        <v>-217011.0977335668</v>
      </c>
      <c r="E37" s="30">
        <f t="shared" si="9"/>
        <v>-214820.65847919107</v>
      </c>
      <c r="F37" s="30">
        <f t="shared" si="9"/>
        <v>-207036.98133902048</v>
      </c>
      <c r="G37" s="30">
        <f t="shared" si="9"/>
        <v>-204873.99901846651</v>
      </c>
      <c r="H37" s="30">
        <f t="shared" si="9"/>
        <v>-202527.48981025873</v>
      </c>
      <c r="I37" s="30">
        <f t="shared" si="9"/>
        <v>-200029.5353937046</v>
      </c>
      <c r="J37" s="30">
        <f t="shared" si="9"/>
        <v>-197408.63250038237</v>
      </c>
      <c r="K37" s="30">
        <f t="shared" si="9"/>
        <v>-194690.06307026645</v>
      </c>
      <c r="L37" s="30">
        <f t="shared" si="9"/>
        <v>-191896.22705957311</v>
      </c>
      <c r="M37" s="30">
        <f t="shared" si="9"/>
        <v>-189046.9416451868</v>
      </c>
      <c r="N37" s="30">
        <f t="shared" si="9"/>
        <v>-186159.71019574982</v>
      </c>
      <c r="O37" s="30">
        <f t="shared" si="9"/>
        <v>-183249.96404220583</v>
      </c>
    </row>
    <row r="41" spans="3:15" x14ac:dyDescent="0.25">
      <c r="D41">
        <v>2019</v>
      </c>
      <c r="E41">
        <v>2020</v>
      </c>
      <c r="F41">
        <v>2021</v>
      </c>
      <c r="G41">
        <v>2022</v>
      </c>
      <c r="H41">
        <v>2023</v>
      </c>
      <c r="I41">
        <v>2024</v>
      </c>
      <c r="J41">
        <v>2025</v>
      </c>
      <c r="K41">
        <v>2026</v>
      </c>
      <c r="L41">
        <v>2027</v>
      </c>
      <c r="M41">
        <v>2028</v>
      </c>
      <c r="N41">
        <v>2029</v>
      </c>
      <c r="O41">
        <v>2030</v>
      </c>
    </row>
    <row r="42" spans="3:15" x14ac:dyDescent="0.25">
      <c r="C42" t="s">
        <v>296</v>
      </c>
      <c r="D42" s="1">
        <v>3700.1452563901839</v>
      </c>
      <c r="E42" s="1">
        <v>-3522.3601500122895</v>
      </c>
      <c r="F42" s="1">
        <v>-1963.4356796236098</v>
      </c>
      <c r="G42" s="1">
        <v>-5841.7895540035097</v>
      </c>
      <c r="H42" s="1">
        <v>-9358.6056832752511</v>
      </c>
      <c r="I42" s="1">
        <v>-12551.212017273931</v>
      </c>
      <c r="J42" s="1">
        <v>-15453.196909461469</v>
      </c>
      <c r="K42" s="1">
        <v>-18094.783832720612</v>
      </c>
      <c r="L42" s="1">
        <v>-20503.16861240346</v>
      </c>
      <c r="M42" s="1">
        <v>-22702.82292546126</v>
      </c>
      <c r="N42" s="1">
        <v>-24715.767439585979</v>
      </c>
      <c r="O42" s="1">
        <v>-26561.817628891804</v>
      </c>
    </row>
    <row r="43" spans="3:15" x14ac:dyDescent="0.25">
      <c r="C43" t="s">
        <v>298</v>
      </c>
      <c r="D43" s="1">
        <v>-8441.7009648304374</v>
      </c>
      <c r="E43" s="1">
        <v>-15306.366190032291</v>
      </c>
      <c r="F43" s="1">
        <v>-13400.149893235255</v>
      </c>
      <c r="G43" s="1">
        <v>-16941.449287607073</v>
      </c>
      <c r="H43" s="1">
        <v>-20131.146446618484</v>
      </c>
      <c r="I43" s="1">
        <v>-23006.276384656514</v>
      </c>
      <c r="J43" s="1">
        <v>-25600.143158385319</v>
      </c>
      <c r="K43" s="1">
        <v>-27942.694327732781</v>
      </c>
      <c r="L43" s="1">
        <v>-30060.857941648806</v>
      </c>
      <c r="M43" s="1">
        <v>-31978.84579724045</v>
      </c>
      <c r="N43" s="1">
        <v>-33718.426345999411</v>
      </c>
      <c r="O43" s="1">
        <v>-35299.170283440581</v>
      </c>
    </row>
    <row r="44" spans="3:15" x14ac:dyDescent="0.25">
      <c r="C44" t="s">
        <v>300</v>
      </c>
      <c r="D44" s="1">
        <v>-32725.393407271651</v>
      </c>
      <c r="E44" s="1">
        <v>-38874.37827007231</v>
      </c>
      <c r="F44" s="1">
        <v>-36273.578320458575</v>
      </c>
      <c r="G44" s="1">
        <v>-39140.768754814184</v>
      </c>
      <c r="H44" s="1">
        <v>-41676.227973304995</v>
      </c>
      <c r="I44" s="1">
        <v>-43916.405119421674</v>
      </c>
      <c r="J44" s="1">
        <v>-45894.035656232983</v>
      </c>
      <c r="K44" s="1">
        <v>-47638.515317757141</v>
      </c>
      <c r="L44" s="1">
        <v>-49176.236600139528</v>
      </c>
      <c r="M44" s="1">
        <v>-50530.891540798875</v>
      </c>
      <c r="N44" s="1">
        <v>-51723.744158826259</v>
      </c>
      <c r="O44" s="1">
        <v>-52773.875592538119</v>
      </c>
    </row>
    <row r="45" spans="3:15" x14ac:dyDescent="0.25">
      <c r="C45" t="s">
        <v>302</v>
      </c>
      <c r="D45" s="1">
        <v>-57009.085849712865</v>
      </c>
      <c r="E45" s="1">
        <v>-62442.390350112371</v>
      </c>
      <c r="F45" s="1">
        <v>-59147.006747681924</v>
      </c>
      <c r="G45" s="1">
        <v>-61340.088222021281</v>
      </c>
      <c r="H45" s="1">
        <v>-63221.309499991519</v>
      </c>
      <c r="I45" s="1">
        <v>-64826.53385418684</v>
      </c>
      <c r="J45" s="1">
        <v>-66187.928154080684</v>
      </c>
      <c r="K45" s="1">
        <v>-67334.336307781487</v>
      </c>
      <c r="L45" s="1">
        <v>-68291.615258630234</v>
      </c>
      <c r="M45" s="1">
        <v>-69082.937284357351</v>
      </c>
      <c r="N45" s="1">
        <v>-69729.061971653107</v>
      </c>
      <c r="O45" s="1">
        <v>-70248.58090163568</v>
      </c>
    </row>
    <row r="46" spans="3:15" x14ac:dyDescent="0.25">
      <c r="C46" t="s">
        <v>344</v>
      </c>
      <c r="D46" s="1">
        <v>-80692.778292154078</v>
      </c>
      <c r="E46" s="1">
        <v>-85428.402430152331</v>
      </c>
      <c r="F46" s="1">
        <v>-81455.895174905221</v>
      </c>
      <c r="G46" s="1">
        <v>-82991.803889228366</v>
      </c>
      <c r="H46" s="1">
        <v>-84235.215340678056</v>
      </c>
      <c r="I46" s="1">
        <v>-85221.422173531973</v>
      </c>
      <c r="J46" s="1">
        <v>-85982.03744897095</v>
      </c>
      <c r="K46" s="1">
        <v>-86545.367590937181</v>
      </c>
      <c r="L46" s="1">
        <v>-86936.747901458366</v>
      </c>
      <c r="M46" s="1">
        <v>-87178.844392723026</v>
      </c>
      <c r="N46" s="1">
        <v>-87291.925308343023</v>
      </c>
      <c r="O46" s="1">
        <v>-87294.105368880351</v>
      </c>
    </row>
    <row r="67" spans="3:26" x14ac:dyDescent="0.25">
      <c r="D67">
        <v>2019</v>
      </c>
      <c r="E67">
        <v>2020</v>
      </c>
      <c r="F67">
        <v>2021</v>
      </c>
      <c r="G67">
        <v>2022</v>
      </c>
      <c r="H67">
        <v>2023</v>
      </c>
      <c r="I67">
        <v>2024</v>
      </c>
      <c r="J67">
        <v>2025</v>
      </c>
      <c r="K67">
        <v>2026</v>
      </c>
      <c r="L67">
        <v>2027</v>
      </c>
      <c r="M67">
        <v>2028</v>
      </c>
      <c r="N67">
        <v>2029</v>
      </c>
      <c r="O67">
        <v>2030</v>
      </c>
      <c r="P67">
        <v>2031</v>
      </c>
      <c r="Q67">
        <v>2032</v>
      </c>
      <c r="R67">
        <v>2033</v>
      </c>
      <c r="S67">
        <v>2034</v>
      </c>
      <c r="T67">
        <v>2035</v>
      </c>
      <c r="U67">
        <v>2036</v>
      </c>
      <c r="V67">
        <v>2037</v>
      </c>
      <c r="W67">
        <v>2038</v>
      </c>
      <c r="X67">
        <v>2039</v>
      </c>
      <c r="Y67">
        <v>2040</v>
      </c>
      <c r="Z67">
        <v>2041</v>
      </c>
    </row>
    <row r="68" spans="3:26" x14ac:dyDescent="0.25">
      <c r="C68" t="s">
        <v>98</v>
      </c>
      <c r="D68">
        <f>300*365</f>
        <v>109500</v>
      </c>
      <c r="E68">
        <f t="shared" ref="E68:Z68" si="10">300*365</f>
        <v>109500</v>
      </c>
      <c r="F68">
        <f t="shared" si="10"/>
        <v>109500</v>
      </c>
      <c r="G68">
        <f t="shared" si="10"/>
        <v>109500</v>
      </c>
      <c r="H68">
        <f t="shared" si="10"/>
        <v>109500</v>
      </c>
      <c r="I68">
        <f t="shared" si="10"/>
        <v>109500</v>
      </c>
      <c r="J68">
        <f t="shared" si="10"/>
        <v>109500</v>
      </c>
      <c r="K68">
        <f t="shared" si="10"/>
        <v>109500</v>
      </c>
      <c r="L68">
        <f t="shared" si="10"/>
        <v>109500</v>
      </c>
      <c r="M68">
        <f t="shared" si="10"/>
        <v>109500</v>
      </c>
      <c r="N68">
        <f t="shared" si="10"/>
        <v>109500</v>
      </c>
      <c r="O68">
        <f t="shared" si="10"/>
        <v>109500</v>
      </c>
      <c r="P68">
        <f t="shared" si="10"/>
        <v>109500</v>
      </c>
      <c r="Q68">
        <f t="shared" si="10"/>
        <v>109500</v>
      </c>
      <c r="R68">
        <f t="shared" si="10"/>
        <v>109500</v>
      </c>
      <c r="S68">
        <f t="shared" si="10"/>
        <v>109500</v>
      </c>
      <c r="T68">
        <f t="shared" si="10"/>
        <v>109500</v>
      </c>
      <c r="U68">
        <f t="shared" si="10"/>
        <v>109500</v>
      </c>
      <c r="V68">
        <f t="shared" si="10"/>
        <v>109500</v>
      </c>
      <c r="W68">
        <f t="shared" si="10"/>
        <v>109500</v>
      </c>
      <c r="X68">
        <f t="shared" si="10"/>
        <v>109500</v>
      </c>
      <c r="Y68">
        <f t="shared" si="10"/>
        <v>109500</v>
      </c>
      <c r="Z68">
        <f t="shared" si="10"/>
        <v>109500</v>
      </c>
    </row>
    <row r="69" spans="3:26" x14ac:dyDescent="0.25">
      <c r="C69" t="s">
        <v>99</v>
      </c>
      <c r="D69" s="31">
        <f>(D11/100)*D68</f>
        <v>12702</v>
      </c>
      <c r="E69" s="31">
        <f>D69</f>
        <v>12702</v>
      </c>
      <c r="F69" s="31">
        <f t="shared" ref="F69:U70" si="11">E69</f>
        <v>12702</v>
      </c>
      <c r="G69" s="31">
        <f t="shared" si="11"/>
        <v>12702</v>
      </c>
      <c r="H69" s="31">
        <f t="shared" si="11"/>
        <v>12702</v>
      </c>
      <c r="I69" s="31">
        <f t="shared" si="11"/>
        <v>12702</v>
      </c>
      <c r="J69" s="31">
        <f t="shared" si="11"/>
        <v>12702</v>
      </c>
      <c r="K69" s="31">
        <f t="shared" si="11"/>
        <v>12702</v>
      </c>
      <c r="L69" s="31">
        <f t="shared" si="11"/>
        <v>12702</v>
      </c>
      <c r="M69" s="31">
        <f t="shared" si="11"/>
        <v>12702</v>
      </c>
      <c r="N69" s="31">
        <f t="shared" si="11"/>
        <v>12702</v>
      </c>
      <c r="O69" s="31">
        <f t="shared" si="11"/>
        <v>12702</v>
      </c>
      <c r="P69" s="31">
        <f t="shared" si="11"/>
        <v>12702</v>
      </c>
      <c r="Q69" s="31">
        <f t="shared" si="11"/>
        <v>12702</v>
      </c>
      <c r="R69" s="31">
        <f t="shared" si="11"/>
        <v>12702</v>
      </c>
      <c r="S69" s="31">
        <f t="shared" si="11"/>
        <v>12702</v>
      </c>
      <c r="T69" s="31">
        <f t="shared" si="11"/>
        <v>12702</v>
      </c>
      <c r="U69" s="31">
        <f t="shared" si="11"/>
        <v>12702</v>
      </c>
      <c r="V69" s="31">
        <f t="shared" ref="V69:Z70" si="12">U69</f>
        <v>12702</v>
      </c>
      <c r="W69" s="31">
        <f t="shared" si="12"/>
        <v>12702</v>
      </c>
      <c r="X69" s="31">
        <f t="shared" si="12"/>
        <v>12702</v>
      </c>
      <c r="Y69" s="31">
        <f t="shared" si="12"/>
        <v>12702</v>
      </c>
      <c r="Z69" s="31">
        <f t="shared" si="12"/>
        <v>12702</v>
      </c>
    </row>
    <row r="70" spans="3:26" x14ac:dyDescent="0.25">
      <c r="C70" t="s">
        <v>101</v>
      </c>
      <c r="D70">
        <f>D69*D12</f>
        <v>10161.6</v>
      </c>
      <c r="E70">
        <f>D70</f>
        <v>10161.6</v>
      </c>
      <c r="F70">
        <f t="shared" si="11"/>
        <v>10161.6</v>
      </c>
      <c r="G70">
        <f t="shared" si="11"/>
        <v>10161.6</v>
      </c>
      <c r="H70">
        <f t="shared" si="11"/>
        <v>10161.6</v>
      </c>
      <c r="I70">
        <f t="shared" si="11"/>
        <v>10161.6</v>
      </c>
      <c r="J70">
        <f t="shared" si="11"/>
        <v>10161.6</v>
      </c>
      <c r="K70">
        <f t="shared" si="11"/>
        <v>10161.6</v>
      </c>
      <c r="L70">
        <f t="shared" si="11"/>
        <v>10161.6</v>
      </c>
      <c r="M70">
        <f t="shared" si="11"/>
        <v>10161.6</v>
      </c>
      <c r="N70">
        <f t="shared" si="11"/>
        <v>10161.6</v>
      </c>
      <c r="O70">
        <f t="shared" si="11"/>
        <v>10161.6</v>
      </c>
      <c r="P70">
        <f t="shared" si="11"/>
        <v>10161.6</v>
      </c>
      <c r="Q70">
        <f t="shared" si="11"/>
        <v>10161.6</v>
      </c>
      <c r="R70">
        <f t="shared" si="11"/>
        <v>10161.6</v>
      </c>
      <c r="S70">
        <f t="shared" si="11"/>
        <v>10161.6</v>
      </c>
      <c r="T70">
        <f t="shared" si="11"/>
        <v>10161.6</v>
      </c>
      <c r="U70">
        <f t="shared" si="11"/>
        <v>10161.6</v>
      </c>
      <c r="V70">
        <f t="shared" si="12"/>
        <v>10161.6</v>
      </c>
      <c r="W70">
        <f t="shared" si="12"/>
        <v>10161.6</v>
      </c>
      <c r="X70">
        <f t="shared" si="12"/>
        <v>10161.6</v>
      </c>
      <c r="Y70">
        <f t="shared" si="12"/>
        <v>10161.6</v>
      </c>
      <c r="Z70">
        <f t="shared" si="12"/>
        <v>10161.6</v>
      </c>
    </row>
    <row r="71" spans="3:26" x14ac:dyDescent="0.25">
      <c r="C71" t="s">
        <v>100</v>
      </c>
      <c r="D71">
        <f>D70/(1+$D$13)^(D67-2019)</f>
        <v>10161.6</v>
      </c>
      <c r="E71">
        <f t="shared" ref="E71:Z71" si="13">E70/(1+$D$13)^(E67-2019)</f>
        <v>9865.6310679611652</v>
      </c>
      <c r="F71">
        <f t="shared" si="13"/>
        <v>9578.2825902535587</v>
      </c>
      <c r="G71">
        <f t="shared" si="13"/>
        <v>9299.3034856830673</v>
      </c>
      <c r="H71">
        <f t="shared" si="13"/>
        <v>9028.4499861000659</v>
      </c>
      <c r="I71">
        <f t="shared" si="13"/>
        <v>8765.4854233981223</v>
      </c>
      <c r="J71">
        <f t="shared" si="13"/>
        <v>8510.1800227166223</v>
      </c>
      <c r="K71">
        <f t="shared" si="13"/>
        <v>8262.3107016666236</v>
      </c>
      <c r="L71">
        <f t="shared" si="13"/>
        <v>8021.6608754044901</v>
      </c>
      <c r="M71">
        <f t="shared" si="13"/>
        <v>7788.0202673829999</v>
      </c>
      <c r="N71">
        <f t="shared" si="13"/>
        <v>7561.1847256145629</v>
      </c>
      <c r="O71">
        <f t="shared" si="13"/>
        <v>7340.9560442859829</v>
      </c>
      <c r="P71">
        <f t="shared" si="13"/>
        <v>7127.1417905689168</v>
      </c>
      <c r="Q71">
        <f t="shared" si="13"/>
        <v>6919.5551364746771</v>
      </c>
      <c r="R71">
        <f t="shared" si="13"/>
        <v>6718.0146956064818</v>
      </c>
      <c r="S71">
        <f t="shared" si="13"/>
        <v>6522.3443646664864</v>
      </c>
      <c r="T71">
        <f t="shared" si="13"/>
        <v>6332.3731695791148</v>
      </c>
      <c r="U71">
        <f t="shared" si="13"/>
        <v>6147.9351160962278</v>
      </c>
      <c r="V71">
        <f t="shared" si="13"/>
        <v>5968.8690447536192</v>
      </c>
      <c r="W71">
        <f t="shared" si="13"/>
        <v>5795.0184900520571</v>
      </c>
      <c r="X71">
        <f t="shared" si="13"/>
        <v>5626.231543739862</v>
      </c>
      <c r="Y71">
        <f t="shared" si="13"/>
        <v>5462.3607220775366</v>
      </c>
      <c r="Z71">
        <f t="shared" si="13"/>
        <v>5303.2628369684817</v>
      </c>
    </row>
    <row r="72" spans="3:26" x14ac:dyDescent="0.25">
      <c r="C72" t="s">
        <v>102</v>
      </c>
      <c r="D72">
        <f>SUM(D71:H71)</f>
        <v>47933.267129997854</v>
      </c>
      <c r="E72">
        <f t="shared" ref="E72:S72" si="14">SUM(E71:I71)</f>
        <v>46537.152553395987</v>
      </c>
      <c r="F72">
        <f t="shared" si="14"/>
        <v>45181.70150815144</v>
      </c>
      <c r="G72">
        <f t="shared" si="14"/>
        <v>43865.729619564503</v>
      </c>
      <c r="H72">
        <f t="shared" si="14"/>
        <v>42588.087009285926</v>
      </c>
      <c r="I72">
        <f t="shared" si="14"/>
        <v>41347.657290568859</v>
      </c>
      <c r="J72">
        <f t="shared" si="14"/>
        <v>40143.356592785298</v>
      </c>
      <c r="K72">
        <f t="shared" si="14"/>
        <v>38974.132614354661</v>
      </c>
      <c r="L72">
        <f t="shared" si="14"/>
        <v>37838.963703256952</v>
      </c>
      <c r="M72">
        <f t="shared" si="14"/>
        <v>36736.857964327137</v>
      </c>
      <c r="N72">
        <f t="shared" si="14"/>
        <v>35666.852392550616</v>
      </c>
      <c r="O72">
        <f t="shared" si="14"/>
        <v>34628.012031602542</v>
      </c>
      <c r="P72">
        <f t="shared" si="14"/>
        <v>33619.429156895676</v>
      </c>
      <c r="Q72">
        <f t="shared" si="14"/>
        <v>32640.222482422989</v>
      </c>
      <c r="R72">
        <f t="shared" si="14"/>
        <v>31689.536390701927</v>
      </c>
      <c r="S72">
        <f t="shared" si="14"/>
        <v>30766.540185147507</v>
      </c>
      <c r="T72">
        <f t="shared" ref="T72:Z72" si="15">SUM(T41:AA41)</f>
        <v>0</v>
      </c>
      <c r="U72">
        <f t="shared" si="15"/>
        <v>0</v>
      </c>
      <c r="V72">
        <f t="shared" si="15"/>
        <v>0</v>
      </c>
      <c r="W72">
        <f t="shared" si="15"/>
        <v>0</v>
      </c>
      <c r="X72">
        <f t="shared" si="15"/>
        <v>0</v>
      </c>
      <c r="Y72">
        <f t="shared" si="15"/>
        <v>0</v>
      </c>
      <c r="Z72">
        <f t="shared" si="15"/>
        <v>0</v>
      </c>
    </row>
    <row r="74" spans="3:26" x14ac:dyDescent="0.25">
      <c r="C74" t="s">
        <v>103</v>
      </c>
      <c r="D74">
        <f>400</f>
        <v>400</v>
      </c>
    </row>
    <row r="78" spans="3:26" x14ac:dyDescent="0.25">
      <c r="C78" t="s">
        <v>104</v>
      </c>
      <c r="D78">
        <v>3500</v>
      </c>
      <c r="E78">
        <v>3500</v>
      </c>
      <c r="F78">
        <v>3500</v>
      </c>
      <c r="G78">
        <v>3500</v>
      </c>
      <c r="H78">
        <v>3500</v>
      </c>
      <c r="I78">
        <v>3500</v>
      </c>
      <c r="J78">
        <v>3500</v>
      </c>
      <c r="K78">
        <v>3500</v>
      </c>
      <c r="L78">
        <v>3500</v>
      </c>
      <c r="M78">
        <v>3500</v>
      </c>
      <c r="N78">
        <v>3500</v>
      </c>
      <c r="O78">
        <v>3500</v>
      </c>
      <c r="P78">
        <v>3500</v>
      </c>
      <c r="Q78">
        <v>3500</v>
      </c>
      <c r="R78">
        <v>3500</v>
      </c>
      <c r="S78">
        <v>3500</v>
      </c>
      <c r="T78">
        <v>3500</v>
      </c>
      <c r="U78">
        <v>3500</v>
      </c>
      <c r="V78">
        <v>3500</v>
      </c>
      <c r="W78">
        <v>3500</v>
      </c>
      <c r="X78">
        <v>3500</v>
      </c>
      <c r="Y78">
        <v>3500</v>
      </c>
      <c r="Z78">
        <v>3500</v>
      </c>
    </row>
    <row r="79" spans="3:26" x14ac:dyDescent="0.25">
      <c r="C79" t="s">
        <v>105</v>
      </c>
      <c r="D79">
        <f>D78/(1+$D$13)^(D67-2019)</f>
        <v>3500</v>
      </c>
      <c r="E79">
        <f t="shared" ref="E79:Z79" si="16">E78/(1+$D$13)^(E67-2019)</f>
        <v>3398.0582524271845</v>
      </c>
      <c r="F79">
        <f t="shared" si="16"/>
        <v>3299.0856819681403</v>
      </c>
      <c r="G79">
        <f t="shared" si="16"/>
        <v>3202.9958077360584</v>
      </c>
      <c r="H79">
        <f t="shared" si="16"/>
        <v>3109.7046677049116</v>
      </c>
      <c r="I79">
        <f t="shared" si="16"/>
        <v>3019.1307453445743</v>
      </c>
      <c r="J79">
        <f t="shared" si="16"/>
        <v>2931.1948983927905</v>
      </c>
      <c r="K79">
        <f t="shared" si="16"/>
        <v>2845.8202897017381</v>
      </c>
      <c r="L79">
        <f t="shared" si="16"/>
        <v>2762.9323200987751</v>
      </c>
      <c r="M79">
        <f t="shared" si="16"/>
        <v>2682.4585632026942</v>
      </c>
      <c r="N79">
        <f t="shared" si="16"/>
        <v>2604.3287021385381</v>
      </c>
      <c r="O79">
        <f t="shared" si="16"/>
        <v>2528.4744680956678</v>
      </c>
      <c r="P79">
        <f t="shared" si="16"/>
        <v>2454.8295806754063</v>
      </c>
      <c r="Q79">
        <f t="shared" si="16"/>
        <v>2383.3296899761226</v>
      </c>
      <c r="R79">
        <f t="shared" si="16"/>
        <v>2313.9123203651675</v>
      </c>
      <c r="S79">
        <f t="shared" si="16"/>
        <v>2246.5168158885117</v>
      </c>
      <c r="T79">
        <f t="shared" si="16"/>
        <v>2181.0842872704002</v>
      </c>
      <c r="U79">
        <f t="shared" si="16"/>
        <v>2117.5575604566993</v>
      </c>
      <c r="V79">
        <f t="shared" si="16"/>
        <v>2055.8811266569896</v>
      </c>
      <c r="W79">
        <f t="shared" si="16"/>
        <v>1996.0010938417374</v>
      </c>
      <c r="X79">
        <f t="shared" si="16"/>
        <v>1937.8651396521723</v>
      </c>
      <c r="Y79">
        <f t="shared" si="16"/>
        <v>1881.422465681721</v>
      </c>
      <c r="Z79">
        <f t="shared" si="16"/>
        <v>1826.6237530890494</v>
      </c>
    </row>
    <row r="80" spans="3:26" x14ac:dyDescent="0.25">
      <c r="C80" t="s">
        <v>106</v>
      </c>
      <c r="D80">
        <f>SUM(D79:H79)</f>
        <v>16509.844409836296</v>
      </c>
      <c r="E80">
        <f t="shared" ref="E80:O80" si="17">SUM(E79:I79)</f>
        <v>16028.975155180869</v>
      </c>
      <c r="F80">
        <f t="shared" si="17"/>
        <v>15562.111801146475</v>
      </c>
      <c r="G80">
        <f t="shared" si="17"/>
        <v>15108.846408880074</v>
      </c>
      <c r="H80">
        <f t="shared" si="17"/>
        <v>14668.78292124279</v>
      </c>
      <c r="I80">
        <f t="shared" si="17"/>
        <v>14241.536816740572</v>
      </c>
      <c r="J80">
        <f t="shared" si="17"/>
        <v>13826.734773534536</v>
      </c>
      <c r="K80">
        <f t="shared" si="17"/>
        <v>13424.014343237413</v>
      </c>
      <c r="L80">
        <f t="shared" si="17"/>
        <v>13033.023634211082</v>
      </c>
      <c r="M80">
        <f t="shared" si="17"/>
        <v>12653.42100408843</v>
      </c>
      <c r="N80">
        <f t="shared" si="17"/>
        <v>12284.874761250901</v>
      </c>
      <c r="O80">
        <f t="shared" si="17"/>
        <v>11927.062875000876</v>
      </c>
    </row>
    <row r="83" spans="3:26" x14ac:dyDescent="0.25">
      <c r="C83" t="s">
        <v>98</v>
      </c>
      <c r="D83">
        <f>300*365</f>
        <v>109500</v>
      </c>
      <c r="E83">
        <f t="shared" ref="E83:Z83" si="18">300*365</f>
        <v>109500</v>
      </c>
      <c r="F83">
        <f t="shared" si="18"/>
        <v>109500</v>
      </c>
      <c r="G83">
        <f t="shared" si="18"/>
        <v>109500</v>
      </c>
      <c r="H83">
        <f t="shared" si="18"/>
        <v>109500</v>
      </c>
      <c r="I83">
        <f t="shared" si="18"/>
        <v>109500</v>
      </c>
      <c r="J83">
        <f t="shared" si="18"/>
        <v>109500</v>
      </c>
      <c r="K83">
        <f t="shared" si="18"/>
        <v>109500</v>
      </c>
      <c r="L83">
        <f t="shared" si="18"/>
        <v>109500</v>
      </c>
      <c r="M83">
        <f t="shared" si="18"/>
        <v>109500</v>
      </c>
      <c r="N83">
        <f t="shared" si="18"/>
        <v>109500</v>
      </c>
      <c r="O83">
        <f t="shared" si="18"/>
        <v>109500</v>
      </c>
      <c r="P83">
        <f t="shared" si="18"/>
        <v>109500</v>
      </c>
      <c r="Q83">
        <f t="shared" si="18"/>
        <v>109500</v>
      </c>
      <c r="R83">
        <f t="shared" si="18"/>
        <v>109500</v>
      </c>
      <c r="S83">
        <f t="shared" si="18"/>
        <v>109500</v>
      </c>
      <c r="T83">
        <f t="shared" si="18"/>
        <v>109500</v>
      </c>
      <c r="U83">
        <f t="shared" si="18"/>
        <v>109500</v>
      </c>
      <c r="V83">
        <f t="shared" si="18"/>
        <v>109500</v>
      </c>
      <c r="W83">
        <f t="shared" si="18"/>
        <v>109500</v>
      </c>
      <c r="X83">
        <f t="shared" si="18"/>
        <v>109500</v>
      </c>
      <c r="Y83">
        <f t="shared" si="18"/>
        <v>109500</v>
      </c>
      <c r="Z83">
        <f t="shared" si="18"/>
        <v>109500</v>
      </c>
    </row>
    <row r="84" spans="3:26" x14ac:dyDescent="0.25">
      <c r="C84" t="s">
        <v>107</v>
      </c>
      <c r="D84" s="66">
        <f t="shared" ref="D84:O84" si="19">(D27/100)*D83</f>
        <v>5803.5</v>
      </c>
      <c r="E84" s="66">
        <f t="shared" si="19"/>
        <v>5803.5</v>
      </c>
      <c r="F84" s="66">
        <f t="shared" si="19"/>
        <v>5803.5</v>
      </c>
      <c r="G84" s="66">
        <f t="shared" si="19"/>
        <v>5803.5</v>
      </c>
      <c r="H84" s="66">
        <f t="shared" si="19"/>
        <v>5803.5</v>
      </c>
      <c r="I84" s="66">
        <f t="shared" si="19"/>
        <v>5803.5</v>
      </c>
      <c r="J84" s="66">
        <f t="shared" si="19"/>
        <v>5803.5</v>
      </c>
      <c r="K84" s="66">
        <f t="shared" si="19"/>
        <v>5803.5</v>
      </c>
      <c r="L84" s="66">
        <f t="shared" si="19"/>
        <v>5803.5</v>
      </c>
      <c r="M84" s="66">
        <f t="shared" si="19"/>
        <v>5803.5</v>
      </c>
      <c r="N84" s="66">
        <f t="shared" si="19"/>
        <v>5803.5</v>
      </c>
      <c r="O84" s="66">
        <f t="shared" si="19"/>
        <v>5803.5</v>
      </c>
      <c r="P84" s="66">
        <f>O84</f>
        <v>5803.5</v>
      </c>
      <c r="Q84" s="66">
        <f t="shared" ref="Q84:Z84" si="20">P84</f>
        <v>5803.5</v>
      </c>
      <c r="R84" s="66">
        <f t="shared" si="20"/>
        <v>5803.5</v>
      </c>
      <c r="S84" s="66">
        <f t="shared" si="20"/>
        <v>5803.5</v>
      </c>
      <c r="T84" s="66">
        <f t="shared" si="20"/>
        <v>5803.5</v>
      </c>
      <c r="U84" s="66">
        <f t="shared" si="20"/>
        <v>5803.5</v>
      </c>
      <c r="V84" s="66">
        <f t="shared" si="20"/>
        <v>5803.5</v>
      </c>
      <c r="W84" s="66">
        <f t="shared" si="20"/>
        <v>5803.5</v>
      </c>
      <c r="X84" s="66">
        <f t="shared" si="20"/>
        <v>5803.5</v>
      </c>
      <c r="Y84" s="66">
        <f t="shared" si="20"/>
        <v>5803.5</v>
      </c>
      <c r="Z84" s="66">
        <f t="shared" si="20"/>
        <v>5803.5</v>
      </c>
    </row>
    <row r="85" spans="3:26" x14ac:dyDescent="0.25">
      <c r="C85" t="s">
        <v>108</v>
      </c>
      <c r="D85">
        <f>D84*$D$28</f>
        <v>40624.5</v>
      </c>
      <c r="E85">
        <f t="shared" ref="E85:Z85" si="21">E84*$D$28</f>
        <v>40624.5</v>
      </c>
      <c r="F85">
        <f t="shared" si="21"/>
        <v>40624.5</v>
      </c>
      <c r="G85">
        <f t="shared" si="21"/>
        <v>40624.5</v>
      </c>
      <c r="H85">
        <f t="shared" si="21"/>
        <v>40624.5</v>
      </c>
      <c r="I85">
        <f t="shared" si="21"/>
        <v>40624.5</v>
      </c>
      <c r="J85">
        <f t="shared" si="21"/>
        <v>40624.5</v>
      </c>
      <c r="K85">
        <f t="shared" si="21"/>
        <v>40624.5</v>
      </c>
      <c r="L85">
        <f t="shared" si="21"/>
        <v>40624.5</v>
      </c>
      <c r="M85">
        <f t="shared" si="21"/>
        <v>40624.5</v>
      </c>
      <c r="N85">
        <f t="shared" si="21"/>
        <v>40624.5</v>
      </c>
      <c r="O85">
        <f t="shared" si="21"/>
        <v>40624.5</v>
      </c>
      <c r="P85">
        <f t="shared" si="21"/>
        <v>40624.5</v>
      </c>
      <c r="Q85">
        <f t="shared" si="21"/>
        <v>40624.5</v>
      </c>
      <c r="R85">
        <f t="shared" si="21"/>
        <v>40624.5</v>
      </c>
      <c r="S85">
        <f t="shared" si="21"/>
        <v>40624.5</v>
      </c>
      <c r="T85">
        <f t="shared" si="21"/>
        <v>40624.5</v>
      </c>
      <c r="U85">
        <f t="shared" si="21"/>
        <v>40624.5</v>
      </c>
      <c r="V85">
        <f t="shared" si="21"/>
        <v>40624.5</v>
      </c>
      <c r="W85">
        <f t="shared" si="21"/>
        <v>40624.5</v>
      </c>
      <c r="X85">
        <f t="shared" si="21"/>
        <v>40624.5</v>
      </c>
      <c r="Y85">
        <f t="shared" si="21"/>
        <v>40624.5</v>
      </c>
      <c r="Z85">
        <f t="shared" si="21"/>
        <v>40624.5</v>
      </c>
    </row>
    <row r="86" spans="3:26" x14ac:dyDescent="0.25">
      <c r="D86">
        <f>D85/(1+$D$29)^(D67-2019)</f>
        <v>40624.5</v>
      </c>
      <c r="E86">
        <f t="shared" ref="E86:Z86" si="22">E85/(1+$D$29)^(E67-2019)</f>
        <v>39441.262135922327</v>
      </c>
      <c r="F86">
        <f t="shared" si="22"/>
        <v>38292.487510604209</v>
      </c>
      <c r="G86">
        <f t="shared" si="22"/>
        <v>37177.172340392433</v>
      </c>
      <c r="H86">
        <f t="shared" si="22"/>
        <v>36094.342078050904</v>
      </c>
      <c r="I86">
        <f t="shared" si="22"/>
        <v>35043.050561214477</v>
      </c>
      <c r="J86">
        <f t="shared" si="22"/>
        <v>34022.379185645121</v>
      </c>
      <c r="K86">
        <f t="shared" si="22"/>
        <v>33031.436102568077</v>
      </c>
      <c r="L86">
        <f t="shared" si="22"/>
        <v>32069.355439386483</v>
      </c>
      <c r="M86">
        <f t="shared" si="22"/>
        <v>31135.296543093671</v>
      </c>
      <c r="N86">
        <f t="shared" si="22"/>
        <v>30228.443245722014</v>
      </c>
      <c r="O86">
        <f t="shared" si="22"/>
        <v>29348.003151186418</v>
      </c>
      <c r="P86">
        <f t="shared" si="22"/>
        <v>28493.20694289944</v>
      </c>
      <c r="Q86">
        <f t="shared" si="22"/>
        <v>27663.307711552858</v>
      </c>
      <c r="R86">
        <f t="shared" si="22"/>
        <v>26857.580302478498</v>
      </c>
      <c r="S86">
        <f t="shared" si="22"/>
        <v>26075.320682017958</v>
      </c>
      <c r="T86">
        <f t="shared" si="22"/>
        <v>25315.845322347537</v>
      </c>
      <c r="U86">
        <f t="shared" si="22"/>
        <v>24578.490604220908</v>
      </c>
      <c r="V86">
        <f t="shared" si="22"/>
        <v>23862.612237107678</v>
      </c>
      <c r="W86">
        <f t="shared" si="22"/>
        <v>23167.584696221049</v>
      </c>
      <c r="X86">
        <f t="shared" si="22"/>
        <v>22492.800675942766</v>
      </c>
      <c r="Y86">
        <f t="shared" si="22"/>
        <v>21837.670559167735</v>
      </c>
      <c r="Z86">
        <f t="shared" si="22"/>
        <v>21201.621902104594</v>
      </c>
    </row>
    <row r="87" spans="3:26" x14ac:dyDescent="0.25">
      <c r="D87">
        <f>SUM(D86:H86)</f>
        <v>191629.76406496984</v>
      </c>
      <c r="E87">
        <f t="shared" ref="E87:O87" si="23">SUM(E86:I86)</f>
        <v>186048.31462618432</v>
      </c>
      <c r="F87">
        <f t="shared" si="23"/>
        <v>180629.43167590714</v>
      </c>
      <c r="G87">
        <f t="shared" si="23"/>
        <v>175368.38026787102</v>
      </c>
      <c r="H87">
        <f t="shared" si="23"/>
        <v>170260.56336686507</v>
      </c>
      <c r="I87">
        <f t="shared" si="23"/>
        <v>165301.51783190781</v>
      </c>
      <c r="J87">
        <f t="shared" si="23"/>
        <v>160486.91051641537</v>
      </c>
      <c r="K87">
        <f t="shared" si="23"/>
        <v>155812.53448195665</v>
      </c>
      <c r="L87">
        <f t="shared" si="23"/>
        <v>151274.30532228801</v>
      </c>
      <c r="M87">
        <f t="shared" si="23"/>
        <v>146868.25759445439</v>
      </c>
      <c r="N87">
        <f t="shared" si="23"/>
        <v>142590.54135383922</v>
      </c>
      <c r="O87">
        <f t="shared" si="23"/>
        <v>138437.41879013518</v>
      </c>
    </row>
    <row r="89" spans="3:26" x14ac:dyDescent="0.25">
      <c r="D89">
        <v>3000</v>
      </c>
      <c r="E89">
        <v>3000</v>
      </c>
      <c r="F89">
        <v>3000</v>
      </c>
      <c r="G89">
        <v>3000</v>
      </c>
      <c r="H89">
        <v>3000</v>
      </c>
      <c r="I89">
        <v>3000</v>
      </c>
      <c r="J89">
        <v>3000</v>
      </c>
      <c r="K89">
        <v>3000</v>
      </c>
      <c r="L89">
        <v>3000</v>
      </c>
      <c r="M89">
        <v>3000</v>
      </c>
      <c r="N89">
        <v>3000</v>
      </c>
      <c r="O89">
        <v>3000</v>
      </c>
      <c r="P89">
        <v>3000</v>
      </c>
      <c r="Q89">
        <v>3000</v>
      </c>
      <c r="R89">
        <v>3000</v>
      </c>
      <c r="S89">
        <v>3000</v>
      </c>
      <c r="T89">
        <v>3000</v>
      </c>
      <c r="U89">
        <v>3000</v>
      </c>
      <c r="V89">
        <v>3000</v>
      </c>
      <c r="W89">
        <v>3000</v>
      </c>
      <c r="X89">
        <v>3000</v>
      </c>
      <c r="Y89">
        <v>3000</v>
      </c>
      <c r="Z89">
        <v>3000</v>
      </c>
    </row>
    <row r="90" spans="3:26" x14ac:dyDescent="0.25">
      <c r="D90">
        <f>D89/(1+0.03)^(D67-2019)</f>
        <v>3000</v>
      </c>
      <c r="E90">
        <f t="shared" ref="E90:Z90" si="24">E89/(1+0.03)^(E67-2019)</f>
        <v>2912.6213592233007</v>
      </c>
      <c r="F90">
        <f t="shared" si="24"/>
        <v>2827.7877274012631</v>
      </c>
      <c r="G90">
        <f t="shared" si="24"/>
        <v>2745.4249780594787</v>
      </c>
      <c r="H90">
        <f t="shared" si="24"/>
        <v>2665.4611437470671</v>
      </c>
      <c r="I90">
        <f t="shared" si="24"/>
        <v>2587.8263531524922</v>
      </c>
      <c r="J90">
        <f t="shared" si="24"/>
        <v>2512.4527700509634</v>
      </c>
      <c r="K90">
        <f t="shared" si="24"/>
        <v>2439.2745340300612</v>
      </c>
      <c r="L90">
        <f t="shared" si="24"/>
        <v>2368.2277029418074</v>
      </c>
      <c r="M90">
        <f t="shared" si="24"/>
        <v>2299.2501970308808</v>
      </c>
      <c r="N90">
        <f t="shared" si="24"/>
        <v>2232.2817446901754</v>
      </c>
      <c r="O90">
        <f t="shared" si="24"/>
        <v>2167.2638297962867</v>
      </c>
      <c r="P90">
        <f t="shared" si="24"/>
        <v>2104.1396405789196</v>
      </c>
      <c r="Q90">
        <f t="shared" si="24"/>
        <v>2042.8540199795336</v>
      </c>
      <c r="R90">
        <f t="shared" si="24"/>
        <v>1983.3534174558577</v>
      </c>
      <c r="S90">
        <f t="shared" si="24"/>
        <v>1925.585842190153</v>
      </c>
      <c r="T90">
        <f t="shared" si="24"/>
        <v>1869.500817660343</v>
      </c>
      <c r="U90">
        <f t="shared" si="24"/>
        <v>1815.0493375343137</v>
      </c>
      <c r="V90">
        <f t="shared" si="24"/>
        <v>1762.1838228488482</v>
      </c>
      <c r="W90">
        <f t="shared" si="24"/>
        <v>1710.858080435775</v>
      </c>
      <c r="X90">
        <f t="shared" si="24"/>
        <v>1661.0272625590048</v>
      </c>
      <c r="Y90">
        <f t="shared" si="24"/>
        <v>1612.6478277271895</v>
      </c>
      <c r="Z90">
        <f t="shared" si="24"/>
        <v>1565.6775026477567</v>
      </c>
    </row>
    <row r="91" spans="3:26" x14ac:dyDescent="0.25">
      <c r="D91">
        <f>SUM(D90:H90)</f>
        <v>14151.295208431109</v>
      </c>
      <c r="E91">
        <f t="shared" ref="E91:O91" si="25">SUM(E90:I90)</f>
        <v>13739.121561583601</v>
      </c>
      <c r="F91">
        <f t="shared" si="25"/>
        <v>13338.952972411265</v>
      </c>
      <c r="G91">
        <f t="shared" si="25"/>
        <v>12950.439779040062</v>
      </c>
      <c r="H91">
        <f t="shared" si="25"/>
        <v>12573.242503922391</v>
      </c>
      <c r="I91">
        <f t="shared" si="25"/>
        <v>12207.031557206205</v>
      </c>
      <c r="J91">
        <f t="shared" si="25"/>
        <v>11851.486948743888</v>
      </c>
      <c r="K91">
        <f t="shared" si="25"/>
        <v>11506.298008489211</v>
      </c>
      <c r="L91">
        <f t="shared" si="25"/>
        <v>11171.163115038071</v>
      </c>
      <c r="M91">
        <f t="shared" si="25"/>
        <v>10845.789432075795</v>
      </c>
      <c r="N91">
        <f t="shared" si="25"/>
        <v>10529.892652500772</v>
      </c>
      <c r="O91">
        <f t="shared" si="25"/>
        <v>10223.196750000749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7"/>
  <sheetViews>
    <sheetView topLeftCell="B1" zoomScaleNormal="100" workbookViewId="0">
      <selection activeCell="D6" sqref="D6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364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160144.44444444444</v>
      </c>
      <c r="E6" s="71">
        <f>D6-((D16-E16)+(D17-E17)+(D18-E18))</f>
        <v>150620.44444444444</v>
      </c>
      <c r="F6" s="71">
        <f t="shared" ref="F6:O6" si="0">E6-((E16-F16)+(E17-F17)+(E18-F18))</f>
        <v>142028.84444444446</v>
      </c>
      <c r="G6" s="71">
        <f t="shared" si="0"/>
        <v>134276.40444444446</v>
      </c>
      <c r="H6" s="71">
        <f t="shared" si="0"/>
        <v>127279.20844444446</v>
      </c>
      <c r="I6" s="71">
        <f t="shared" si="0"/>
        <v>120961.73204444446</v>
      </c>
      <c r="J6" s="71">
        <f t="shared" si="0"/>
        <v>115256.00328444446</v>
      </c>
      <c r="K6" s="71">
        <f t="shared" si="0"/>
        <v>110100.84740044447</v>
      </c>
      <c r="L6" s="71">
        <f t="shared" si="0"/>
        <v>105441.20710484448</v>
      </c>
      <c r="M6" s="71">
        <f t="shared" si="0"/>
        <v>101227.53083880448</v>
      </c>
      <c r="N6" s="71">
        <f t="shared" si="0"/>
        <v>97415.22219936848</v>
      </c>
      <c r="O6" s="71">
        <f t="shared" si="0"/>
        <v>93964.144423876074</v>
      </c>
    </row>
    <row r="7" spans="3:15" ht="15" thickBot="1" x14ac:dyDescent="0.3">
      <c r="C7" s="102" t="s">
        <v>24</v>
      </c>
      <c r="D7" s="74">
        <v>0</v>
      </c>
      <c r="E7" s="75">
        <v>0</v>
      </c>
      <c r="F7" s="76">
        <f>F6*0.1</f>
        <v>14202.884444444448</v>
      </c>
      <c r="G7" s="76">
        <f t="shared" ref="G7:O7" si="1">G6*0.1</f>
        <v>13427.640444444447</v>
      </c>
      <c r="H7" s="77">
        <f t="shared" si="1"/>
        <v>12727.920844444447</v>
      </c>
      <c r="I7" s="77">
        <f t="shared" si="1"/>
        <v>12096.173204444447</v>
      </c>
      <c r="J7" s="77">
        <f t="shared" si="1"/>
        <v>11525.600328444447</v>
      </c>
      <c r="K7" s="78">
        <f t="shared" si="1"/>
        <v>11010.084740044447</v>
      </c>
      <c r="L7" s="78">
        <f t="shared" si="1"/>
        <v>10544.120710484449</v>
      </c>
      <c r="M7" s="78">
        <f t="shared" si="1"/>
        <v>10122.753083880449</v>
      </c>
      <c r="N7" s="78">
        <f t="shared" si="1"/>
        <v>9741.5222199368491</v>
      </c>
      <c r="O7" s="104">
        <f t="shared" si="1"/>
        <v>9396.4144423876078</v>
      </c>
    </row>
    <row r="8" spans="3:15" ht="15" thickBot="1" x14ac:dyDescent="0.3">
      <c r="C8" s="102" t="s">
        <v>48</v>
      </c>
      <c r="D8" s="79">
        <f>D6+D7</f>
        <v>160144.44444444444</v>
      </c>
      <c r="E8" s="80">
        <f t="shared" ref="E8:O8" si="2">E6+E7</f>
        <v>150620.44444444444</v>
      </c>
      <c r="F8" s="80">
        <f t="shared" si="2"/>
        <v>156231.7288888889</v>
      </c>
      <c r="G8" s="80">
        <f t="shared" si="2"/>
        <v>147704.04488888889</v>
      </c>
      <c r="H8" s="133">
        <f t="shared" si="2"/>
        <v>140007.12928888891</v>
      </c>
      <c r="I8" s="81">
        <f t="shared" si="2"/>
        <v>133057.90524888891</v>
      </c>
      <c r="J8" s="81">
        <f t="shared" si="2"/>
        <v>126781.60361288891</v>
      </c>
      <c r="K8" s="82">
        <f t="shared" si="2"/>
        <v>121110.93214048892</v>
      </c>
      <c r="L8" s="82">
        <f t="shared" si="2"/>
        <v>115985.32781532893</v>
      </c>
      <c r="M8" s="82">
        <f t="shared" si="2"/>
        <v>111350.28392268493</v>
      </c>
      <c r="N8" s="82">
        <f t="shared" si="2"/>
        <v>107156.74441930532</v>
      </c>
      <c r="O8" s="105">
        <f t="shared" si="2"/>
        <v>103360.55886626369</v>
      </c>
    </row>
    <row r="9" spans="3:15" x14ac:dyDescent="0.25">
      <c r="C9" s="102" t="s">
        <v>49</v>
      </c>
      <c r="D9" s="79">
        <f>D6*0.05</f>
        <v>8007.2222222222226</v>
      </c>
      <c r="E9" s="80">
        <f t="shared" ref="E9:O9" si="3">E6*0.05</f>
        <v>7531.0222222222219</v>
      </c>
      <c r="F9" s="80">
        <f t="shared" si="3"/>
        <v>7101.4422222222238</v>
      </c>
      <c r="G9" s="80">
        <f t="shared" si="3"/>
        <v>6713.8202222222235</v>
      </c>
      <c r="H9" s="81">
        <f t="shared" si="3"/>
        <v>6363.9604222222233</v>
      </c>
      <c r="I9" s="81">
        <f t="shared" si="3"/>
        <v>6048.0866022222235</v>
      </c>
      <c r="J9" s="81">
        <f t="shared" si="3"/>
        <v>5762.8001642222234</v>
      </c>
      <c r="K9" s="82">
        <f t="shared" si="3"/>
        <v>5505.0423700222236</v>
      </c>
      <c r="L9" s="82">
        <f t="shared" si="3"/>
        <v>5272.0603552422244</v>
      </c>
      <c r="M9" s="82">
        <f t="shared" si="3"/>
        <v>5061.3765419402243</v>
      </c>
      <c r="N9" s="82">
        <f t="shared" si="3"/>
        <v>4870.7611099684245</v>
      </c>
      <c r="O9" s="105">
        <f t="shared" si="3"/>
        <v>4698.2072211938039</v>
      </c>
    </row>
    <row r="10" spans="3:15" x14ac:dyDescent="0.25">
      <c r="C10" s="102" t="s">
        <v>66</v>
      </c>
      <c r="D10" s="79">
        <v>450</v>
      </c>
      <c r="E10" s="80">
        <v>450</v>
      </c>
      <c r="F10" s="80">
        <v>450</v>
      </c>
      <c r="G10" s="80">
        <v>450</v>
      </c>
      <c r="H10" s="81">
        <v>450</v>
      </c>
      <c r="I10" s="81">
        <v>450</v>
      </c>
      <c r="J10" s="81">
        <v>450</v>
      </c>
      <c r="K10" s="82">
        <v>450</v>
      </c>
      <c r="L10" s="82">
        <v>450</v>
      </c>
      <c r="M10" s="82">
        <v>450</v>
      </c>
      <c r="N10" s="82">
        <v>450</v>
      </c>
      <c r="O10" s="105">
        <v>450</v>
      </c>
    </row>
    <row r="11" spans="3:15" x14ac:dyDescent="0.25">
      <c r="C11" s="102" t="s">
        <v>65</v>
      </c>
      <c r="D11" s="83">
        <v>60.2</v>
      </c>
      <c r="E11" s="80">
        <v>60.2</v>
      </c>
      <c r="F11" s="80">
        <v>60.2</v>
      </c>
      <c r="G11" s="80">
        <v>60.2</v>
      </c>
      <c r="H11" s="81">
        <v>60.2</v>
      </c>
      <c r="I11" s="81">
        <v>60.2</v>
      </c>
      <c r="J11" s="81">
        <v>60.2</v>
      </c>
      <c r="K11" s="82">
        <v>60.2</v>
      </c>
      <c r="L11" s="82">
        <v>60.2</v>
      </c>
      <c r="M11" s="82">
        <v>60.2</v>
      </c>
      <c r="N11" s="82">
        <v>60.2</v>
      </c>
      <c r="O11" s="105">
        <v>60.2</v>
      </c>
    </row>
    <row r="12" spans="3:15" x14ac:dyDescent="0.25">
      <c r="C12" s="102" t="s">
        <v>72</v>
      </c>
      <c r="D12" s="83">
        <v>1.2</v>
      </c>
      <c r="E12" s="87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7">
        <f t="shared" si="4"/>
        <v>0.78732000000000013</v>
      </c>
      <c r="I12" s="87">
        <f t="shared" si="4"/>
        <v>0.70858800000000011</v>
      </c>
      <c r="J12" s="87">
        <f t="shared" si="4"/>
        <v>0.63772920000000011</v>
      </c>
      <c r="K12" s="87">
        <f t="shared" si="4"/>
        <v>0.5739562800000001</v>
      </c>
      <c r="L12" s="87">
        <f t="shared" si="4"/>
        <v>0.51656065200000012</v>
      </c>
      <c r="M12" s="87">
        <f t="shared" si="4"/>
        <v>0.46490458680000013</v>
      </c>
      <c r="N12" s="87">
        <f t="shared" si="4"/>
        <v>0.41841412812000012</v>
      </c>
      <c r="O12" s="87">
        <f t="shared" si="4"/>
        <v>0.37657271530800013</v>
      </c>
    </row>
    <row r="13" spans="3:15" x14ac:dyDescent="0.25">
      <c r="C13" s="102" t="s">
        <v>50</v>
      </c>
      <c r="D13" s="79">
        <v>34000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186137.22222222222</v>
      </c>
      <c r="E14" s="80">
        <f t="shared" si="5"/>
        <v>178089.4222222222</v>
      </c>
      <c r="F14" s="80">
        <f t="shared" si="5"/>
        <v>134927.40222222224</v>
      </c>
      <c r="G14" s="80">
        <f t="shared" si="5"/>
        <v>127562.58422222224</v>
      </c>
      <c r="H14" s="81">
        <f t="shared" si="5"/>
        <v>120915.24802222224</v>
      </c>
      <c r="I14" s="81">
        <f t="shared" si="5"/>
        <v>114913.64544222225</v>
      </c>
      <c r="J14" s="81">
        <f t="shared" si="5"/>
        <v>109493.20312022224</v>
      </c>
      <c r="K14" s="82">
        <f t="shared" si="5"/>
        <v>104595.80503042226</v>
      </c>
      <c r="L14" s="82">
        <f t="shared" si="5"/>
        <v>100169.14674960225</v>
      </c>
      <c r="M14" s="82">
        <f t="shared" si="5"/>
        <v>96166.154296864261</v>
      </c>
      <c r="N14" s="82">
        <f t="shared" si="5"/>
        <v>92544.461089400051</v>
      </c>
      <c r="O14" s="105">
        <f t="shared" si="5"/>
        <v>89265.937202682268</v>
      </c>
    </row>
    <row r="15" spans="3:15" x14ac:dyDescent="0.25">
      <c r="C15" s="102" t="s">
        <v>68</v>
      </c>
      <c r="D15" s="79">
        <f>D14*0.87</f>
        <v>161939.38333333333</v>
      </c>
      <c r="E15" s="80">
        <f t="shared" ref="E15:O15" si="6">E14*0.87</f>
        <v>154937.79733333332</v>
      </c>
      <c r="F15" s="80">
        <f t="shared" si="6"/>
        <v>117386.83993333335</v>
      </c>
      <c r="G15" s="80">
        <f t="shared" si="6"/>
        <v>110979.44827333336</v>
      </c>
      <c r="H15" s="81">
        <f t="shared" si="6"/>
        <v>105196.26577933335</v>
      </c>
      <c r="I15" s="81">
        <f t="shared" si="6"/>
        <v>99974.871534733349</v>
      </c>
      <c r="J15" s="81">
        <f t="shared" si="6"/>
        <v>95259.086714593344</v>
      </c>
      <c r="K15" s="82">
        <f t="shared" si="6"/>
        <v>90998.350376467366</v>
      </c>
      <c r="L15" s="82">
        <f t="shared" si="6"/>
        <v>87147.15767215396</v>
      </c>
      <c r="M15" s="82">
        <f t="shared" si="6"/>
        <v>83664.5542382719</v>
      </c>
      <c r="N15" s="82">
        <f t="shared" si="6"/>
        <v>80513.681147778043</v>
      </c>
      <c r="O15" s="105">
        <f t="shared" si="6"/>
        <v>77661.365366333572</v>
      </c>
    </row>
    <row r="16" spans="3:15" x14ac:dyDescent="0.25">
      <c r="C16" s="102" t="s">
        <v>52</v>
      </c>
      <c r="D16" s="93">
        <f t="shared" ref="D16:O16" si="7">D12*1000*D11</f>
        <v>72240</v>
      </c>
      <c r="E16" s="71">
        <f t="shared" si="7"/>
        <v>65016</v>
      </c>
      <c r="F16" s="71">
        <f t="shared" si="7"/>
        <v>58514.400000000009</v>
      </c>
      <c r="G16" s="71">
        <f t="shared" si="7"/>
        <v>52662.960000000014</v>
      </c>
      <c r="H16" s="72">
        <f t="shared" si="7"/>
        <v>47396.664000000012</v>
      </c>
      <c r="I16" s="72">
        <f t="shared" si="7"/>
        <v>42656.99760000001</v>
      </c>
      <c r="J16" s="72">
        <f t="shared" si="7"/>
        <v>38391.297840000007</v>
      </c>
      <c r="K16" s="73">
        <f t="shared" si="7"/>
        <v>34552.16805600001</v>
      </c>
      <c r="L16" s="73">
        <f t="shared" si="7"/>
        <v>31096.951250400009</v>
      </c>
      <c r="M16" s="73">
        <f t="shared" si="7"/>
        <v>27987.256125360007</v>
      </c>
      <c r="N16" s="73">
        <f t="shared" si="7"/>
        <v>25188.530512824007</v>
      </c>
      <c r="O16" s="103">
        <f t="shared" si="7"/>
        <v>22669.677461541607</v>
      </c>
    </row>
    <row r="17" spans="3:15" ht="28.8" x14ac:dyDescent="0.25">
      <c r="C17" s="109" t="s">
        <v>53</v>
      </c>
      <c r="D17" s="70">
        <v>10000</v>
      </c>
      <c r="E17" s="90">
        <f>D17-200</f>
        <v>9800</v>
      </c>
      <c r="F17" s="90">
        <f t="shared" ref="F17:O17" si="8">E17-200</f>
        <v>9600</v>
      </c>
      <c r="G17" s="90">
        <f t="shared" si="8"/>
        <v>9400</v>
      </c>
      <c r="H17" s="94">
        <f t="shared" si="8"/>
        <v>9200</v>
      </c>
      <c r="I17" s="94">
        <f t="shared" si="8"/>
        <v>9000</v>
      </c>
      <c r="J17" s="94">
        <f t="shared" si="8"/>
        <v>8800</v>
      </c>
      <c r="K17" s="95">
        <f t="shared" si="8"/>
        <v>8600</v>
      </c>
      <c r="L17" s="95">
        <f t="shared" si="8"/>
        <v>8400</v>
      </c>
      <c r="M17" s="95">
        <f t="shared" si="8"/>
        <v>8200</v>
      </c>
      <c r="N17" s="95">
        <f t="shared" si="8"/>
        <v>8000</v>
      </c>
      <c r="O17" s="110">
        <f t="shared" si="8"/>
        <v>7800</v>
      </c>
    </row>
    <row r="18" spans="3:15" x14ac:dyDescent="0.25">
      <c r="C18" s="102" t="s">
        <v>54</v>
      </c>
      <c r="D18" s="96">
        <v>21000</v>
      </c>
      <c r="E18" s="97">
        <f>D18*0.9</f>
        <v>18900</v>
      </c>
      <c r="F18" s="97">
        <f t="shared" ref="F18:O18" si="9">E18*0.9</f>
        <v>17010</v>
      </c>
      <c r="G18" s="97">
        <f t="shared" si="9"/>
        <v>15309</v>
      </c>
      <c r="H18" s="94">
        <f t="shared" si="9"/>
        <v>13778.1</v>
      </c>
      <c r="I18" s="94">
        <f t="shared" si="9"/>
        <v>12400.29</v>
      </c>
      <c r="J18" s="94">
        <f t="shared" si="9"/>
        <v>11160.261</v>
      </c>
      <c r="K18" s="95">
        <f t="shared" si="9"/>
        <v>10044.234900000001</v>
      </c>
      <c r="L18" s="95">
        <f t="shared" si="9"/>
        <v>9039.8114100000021</v>
      </c>
      <c r="M18" s="95">
        <f t="shared" si="9"/>
        <v>8135.8302690000019</v>
      </c>
      <c r="N18" s="95">
        <f t="shared" si="9"/>
        <v>7322.247242100002</v>
      </c>
      <c r="O18" s="110">
        <f t="shared" si="9"/>
        <v>6590.0225178900018</v>
      </c>
    </row>
    <row r="19" spans="3:15" ht="15" thickBot="1" x14ac:dyDescent="0.3">
      <c r="C19" s="102" t="s">
        <v>71</v>
      </c>
      <c r="D19" s="79">
        <f>D15-D16-D17-D18</f>
        <v>58699.383333333331</v>
      </c>
      <c r="E19" s="80">
        <f t="shared" ref="E19:O19" si="10">E15-E16-E17-E18</f>
        <v>61221.797333333321</v>
      </c>
      <c r="F19" s="80">
        <f t="shared" si="10"/>
        <v>32262.439933333342</v>
      </c>
      <c r="G19" s="80">
        <f t="shared" si="10"/>
        <v>33607.488273333343</v>
      </c>
      <c r="H19" s="81">
        <f t="shared" si="10"/>
        <v>34821.501779333339</v>
      </c>
      <c r="I19" s="81">
        <f t="shared" si="10"/>
        <v>35917.583934733339</v>
      </c>
      <c r="J19" s="81">
        <f t="shared" si="10"/>
        <v>36907.527874593339</v>
      </c>
      <c r="K19" s="82">
        <f t="shared" si="10"/>
        <v>37801.947420467353</v>
      </c>
      <c r="L19" s="82">
        <f t="shared" si="10"/>
        <v>38610.39501175395</v>
      </c>
      <c r="M19" s="82">
        <f t="shared" si="10"/>
        <v>39341.467843911887</v>
      </c>
      <c r="N19" s="82">
        <f t="shared" si="10"/>
        <v>40002.90339285403</v>
      </c>
      <c r="O19" s="105">
        <f t="shared" si="10"/>
        <v>40601.665386901965</v>
      </c>
    </row>
    <row r="20" spans="3:15" ht="15" thickBot="1" x14ac:dyDescent="0.3">
      <c r="C20" s="111" t="s">
        <v>70</v>
      </c>
      <c r="D20" s="112">
        <f>D19/D14</f>
        <v>0.31535542774595804</v>
      </c>
      <c r="E20" s="137">
        <f t="shared" ref="E20:O20" si="11">E19/E14</f>
        <v>0.34376998122291619</v>
      </c>
      <c r="F20" s="113">
        <f t="shared" si="11"/>
        <v>0.23910962044757866</v>
      </c>
      <c r="G20" s="113">
        <f t="shared" si="11"/>
        <v>0.26345882280643462</v>
      </c>
      <c r="H20" s="114">
        <f t="shared" si="11"/>
        <v>0.28798271805168624</v>
      </c>
      <c r="I20" s="114">
        <f t="shared" si="11"/>
        <v>0.31256152214570931</v>
      </c>
      <c r="J20" s="114">
        <f t="shared" si="11"/>
        <v>0.33707597204978385</v>
      </c>
      <c r="K20" s="115">
        <f t="shared" si="11"/>
        <v>0.3614097851197039</v>
      </c>
      <c r="L20" s="115">
        <f t="shared" si="11"/>
        <v>0.38545197063792763</v>
      </c>
      <c r="M20" s="136">
        <f t="shared" si="11"/>
        <v>0.40909889900000623</v>
      </c>
      <c r="N20" s="136">
        <f t="shared" si="11"/>
        <v>0.43225605208517359</v>
      </c>
      <c r="O20" s="136">
        <f t="shared" si="11"/>
        <v>0.4548394007751701</v>
      </c>
    </row>
    <row r="21" spans="3:15" x14ac:dyDescent="0.25">
      <c r="C21" s="131" t="s">
        <v>362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140427.77777777778</v>
      </c>
      <c r="E23" s="87">
        <f>D23+(E29-D29)+(E30-D30)</f>
        <v>140887.77777777778</v>
      </c>
      <c r="F23" s="87">
        <f t="shared" ref="F23:O23" si="12">E23+(F29-E29)+(F30-E30)</f>
        <v>141356.97777777779</v>
      </c>
      <c r="G23" s="87">
        <f t="shared" si="12"/>
        <v>141835.5617777778</v>
      </c>
      <c r="H23" s="88">
        <f t="shared" si="12"/>
        <v>142323.71745777782</v>
      </c>
      <c r="I23" s="88">
        <f t="shared" si="12"/>
        <v>142821.63625137781</v>
      </c>
      <c r="J23" s="88">
        <f t="shared" si="12"/>
        <v>143329.51342084981</v>
      </c>
      <c r="K23" s="89">
        <f t="shared" si="12"/>
        <v>143847.54813371127</v>
      </c>
      <c r="L23" s="89">
        <f t="shared" si="12"/>
        <v>144375.94354082993</v>
      </c>
      <c r="M23" s="89">
        <f t="shared" si="12"/>
        <v>144914.90685609097</v>
      </c>
      <c r="N23" s="89">
        <f t="shared" si="12"/>
        <v>145464.64943765724</v>
      </c>
      <c r="O23" s="107">
        <f t="shared" si="12"/>
        <v>146025.38687085483</v>
      </c>
    </row>
    <row r="24" spans="3:15" ht="15" thickBot="1" x14ac:dyDescent="0.3">
      <c r="C24" s="102" t="s">
        <v>24</v>
      </c>
      <c r="D24" s="117">
        <f>D23*0.1</f>
        <v>14042.777777777779</v>
      </c>
      <c r="E24" s="76">
        <f t="shared" ref="E24:O24" si="13">E23*0.1</f>
        <v>14088.777777777779</v>
      </c>
      <c r="F24" s="76">
        <f t="shared" si="13"/>
        <v>14135.697777777779</v>
      </c>
      <c r="G24" s="76">
        <f t="shared" si="13"/>
        <v>14183.55617777778</v>
      </c>
      <c r="H24" s="77">
        <f t="shared" si="13"/>
        <v>14232.371745777782</v>
      </c>
      <c r="I24" s="77">
        <f t="shared" si="13"/>
        <v>14282.163625137782</v>
      </c>
      <c r="J24" s="77">
        <f t="shared" si="13"/>
        <v>14332.951342084982</v>
      </c>
      <c r="K24" s="78">
        <f t="shared" si="13"/>
        <v>14384.754813371128</v>
      </c>
      <c r="L24" s="78">
        <f t="shared" si="13"/>
        <v>14437.594354082994</v>
      </c>
      <c r="M24" s="78">
        <f t="shared" si="13"/>
        <v>14491.490685609097</v>
      </c>
      <c r="N24" s="78">
        <f t="shared" si="13"/>
        <v>14546.464943765724</v>
      </c>
      <c r="O24" s="104">
        <f t="shared" si="13"/>
        <v>14602.538687085484</v>
      </c>
    </row>
    <row r="25" spans="3:15" ht="15" thickBot="1" x14ac:dyDescent="0.3">
      <c r="C25" s="102" t="s">
        <v>48</v>
      </c>
      <c r="D25" s="93">
        <f>D23+D24</f>
        <v>154470.55555555556</v>
      </c>
      <c r="E25" s="71">
        <f t="shared" ref="E25:O25" si="14">E23+E24</f>
        <v>154976.55555555556</v>
      </c>
      <c r="F25" s="71">
        <f t="shared" si="14"/>
        <v>155492.67555555556</v>
      </c>
      <c r="G25" s="135">
        <f t="shared" si="14"/>
        <v>156019.11795555559</v>
      </c>
      <c r="H25" s="134">
        <f t="shared" si="14"/>
        <v>156556.0892035556</v>
      </c>
      <c r="I25" s="81">
        <f t="shared" si="14"/>
        <v>157103.79987651561</v>
      </c>
      <c r="J25" s="72">
        <f t="shared" si="14"/>
        <v>157662.46476293477</v>
      </c>
      <c r="K25" s="73">
        <f t="shared" si="14"/>
        <v>158232.30294708241</v>
      </c>
      <c r="L25" s="73">
        <f t="shared" si="14"/>
        <v>158813.53789491294</v>
      </c>
      <c r="M25" s="73">
        <f t="shared" si="14"/>
        <v>159406.39754170005</v>
      </c>
      <c r="N25" s="73">
        <f t="shared" si="14"/>
        <v>160011.11438142296</v>
      </c>
      <c r="O25" s="103">
        <f t="shared" si="14"/>
        <v>160627.9255579403</v>
      </c>
    </row>
    <row r="26" spans="3:15" x14ac:dyDescent="0.25">
      <c r="C26" s="102" t="s">
        <v>57</v>
      </c>
      <c r="D26" s="79">
        <f>D23*0.05</f>
        <v>7021.3888888888896</v>
      </c>
      <c r="E26" s="80">
        <f t="shared" ref="E26:O26" si="15">E23*0.05</f>
        <v>7044.3888888888896</v>
      </c>
      <c r="F26" s="80">
        <f t="shared" si="15"/>
        <v>7067.8488888888896</v>
      </c>
      <c r="G26" s="80">
        <f t="shared" si="15"/>
        <v>7091.7780888888901</v>
      </c>
      <c r="H26" s="81">
        <f t="shared" si="15"/>
        <v>7116.185872888891</v>
      </c>
      <c r="I26" s="81">
        <f t="shared" si="15"/>
        <v>7141.0818125688911</v>
      </c>
      <c r="J26" s="81">
        <f t="shared" si="15"/>
        <v>7166.4756710424908</v>
      </c>
      <c r="K26" s="82">
        <f t="shared" si="15"/>
        <v>7192.377406685564</v>
      </c>
      <c r="L26" s="82">
        <f t="shared" si="15"/>
        <v>7218.797177041497</v>
      </c>
      <c r="M26" s="82">
        <f t="shared" si="15"/>
        <v>7245.7453428045483</v>
      </c>
      <c r="N26" s="82">
        <f t="shared" si="15"/>
        <v>7273.2324718828622</v>
      </c>
      <c r="O26" s="105">
        <f t="shared" si="15"/>
        <v>7301.2693435427418</v>
      </c>
    </row>
    <row r="27" spans="3:15" x14ac:dyDescent="0.25">
      <c r="C27" s="102" t="s">
        <v>51</v>
      </c>
      <c r="D27" s="79">
        <f>D23-D26</f>
        <v>133406.38888888891</v>
      </c>
      <c r="E27" s="80">
        <f t="shared" ref="E27:O27" si="16">E23-E26</f>
        <v>133843.38888888891</v>
      </c>
      <c r="F27" s="80">
        <f t="shared" si="16"/>
        <v>134289.1288888889</v>
      </c>
      <c r="G27" s="80">
        <f t="shared" si="16"/>
        <v>134743.78368888891</v>
      </c>
      <c r="H27" s="81">
        <f t="shared" si="16"/>
        <v>135207.53158488893</v>
      </c>
      <c r="I27" s="81">
        <f t="shared" si="16"/>
        <v>135680.55443880893</v>
      </c>
      <c r="J27" s="81">
        <f t="shared" si="16"/>
        <v>136163.03774980732</v>
      </c>
      <c r="K27" s="82">
        <f t="shared" si="16"/>
        <v>136655.17072702572</v>
      </c>
      <c r="L27" s="82">
        <f t="shared" si="16"/>
        <v>137157.14636378843</v>
      </c>
      <c r="M27" s="82">
        <f t="shared" si="16"/>
        <v>137669.16151328641</v>
      </c>
      <c r="N27" s="82">
        <f t="shared" si="16"/>
        <v>138191.41696577438</v>
      </c>
      <c r="O27" s="105">
        <f t="shared" si="16"/>
        <v>138724.11752731208</v>
      </c>
    </row>
    <row r="28" spans="3:15" x14ac:dyDescent="0.25">
      <c r="C28" s="102" t="s">
        <v>68</v>
      </c>
      <c r="D28" s="79">
        <f>D27*0.87</f>
        <v>116063.55833333335</v>
      </c>
      <c r="E28" s="80">
        <f t="shared" ref="E28:O28" si="17">E27*0.87</f>
        <v>116443.74833333335</v>
      </c>
      <c r="F28" s="80">
        <f t="shared" si="17"/>
        <v>116831.54213333334</v>
      </c>
      <c r="G28" s="80">
        <f t="shared" si="17"/>
        <v>117227.09180933336</v>
      </c>
      <c r="H28" s="81">
        <f t="shared" si="17"/>
        <v>117630.55247885337</v>
      </c>
      <c r="I28" s="81">
        <f t="shared" si="17"/>
        <v>118042.08236176377</v>
      </c>
      <c r="J28" s="81">
        <f t="shared" si="17"/>
        <v>118461.84284233236</v>
      </c>
      <c r="K28" s="82">
        <f t="shared" si="17"/>
        <v>118889.99853251237</v>
      </c>
      <c r="L28" s="82">
        <f t="shared" si="17"/>
        <v>119326.71733649593</v>
      </c>
      <c r="M28" s="82">
        <f t="shared" si="17"/>
        <v>119772.17051655917</v>
      </c>
      <c r="N28" s="82">
        <f t="shared" si="17"/>
        <v>120226.53276022371</v>
      </c>
      <c r="O28" s="105">
        <f t="shared" si="17"/>
        <v>120689.9822487615</v>
      </c>
    </row>
    <row r="29" spans="3:15" x14ac:dyDescent="0.25">
      <c r="C29" s="102" t="s">
        <v>59</v>
      </c>
      <c r="D29" s="70">
        <v>15000</v>
      </c>
      <c r="E29" s="80">
        <f>D29*1.02</f>
        <v>15300</v>
      </c>
      <c r="F29" s="80">
        <f t="shared" ref="F29:O30" si="18">E29*1.02</f>
        <v>15606</v>
      </c>
      <c r="G29" s="80">
        <f t="shared" si="18"/>
        <v>15918.12</v>
      </c>
      <c r="H29" s="81">
        <f t="shared" si="18"/>
        <v>16236.482400000001</v>
      </c>
      <c r="I29" s="81">
        <f t="shared" si="18"/>
        <v>16561.212048000001</v>
      </c>
      <c r="J29" s="81">
        <f t="shared" si="18"/>
        <v>16892.436288960002</v>
      </c>
      <c r="K29" s="82">
        <f t="shared" si="18"/>
        <v>17230.285014739202</v>
      </c>
      <c r="L29" s="82">
        <f t="shared" si="18"/>
        <v>17574.890715033987</v>
      </c>
      <c r="M29" s="82">
        <f t="shared" si="18"/>
        <v>17926.388529334668</v>
      </c>
      <c r="N29" s="82">
        <f t="shared" si="18"/>
        <v>18284.916299921362</v>
      </c>
      <c r="O29" s="105">
        <f t="shared" si="18"/>
        <v>18650.614625919789</v>
      </c>
    </row>
    <row r="30" spans="3:15" x14ac:dyDescent="0.25">
      <c r="C30" s="102" t="s">
        <v>60</v>
      </c>
      <c r="D30" s="70">
        <v>8000</v>
      </c>
      <c r="E30" s="80">
        <f>D30*1.02</f>
        <v>8160</v>
      </c>
      <c r="F30" s="80">
        <f t="shared" si="18"/>
        <v>8323.2000000000007</v>
      </c>
      <c r="G30" s="80">
        <f t="shared" si="18"/>
        <v>8489.6640000000007</v>
      </c>
      <c r="H30" s="81">
        <f t="shared" si="18"/>
        <v>8659.4572800000005</v>
      </c>
      <c r="I30" s="81">
        <f t="shared" si="18"/>
        <v>8832.6464255999999</v>
      </c>
      <c r="J30" s="81">
        <f t="shared" si="18"/>
        <v>9009.2993541119995</v>
      </c>
      <c r="K30" s="82">
        <f t="shared" si="18"/>
        <v>9189.4853411942404</v>
      </c>
      <c r="L30" s="82">
        <f t="shared" si="18"/>
        <v>9373.2750480181257</v>
      </c>
      <c r="M30" s="82">
        <f t="shared" si="18"/>
        <v>9560.7405489784887</v>
      </c>
      <c r="N30" s="82">
        <f t="shared" si="18"/>
        <v>9751.9553599580595</v>
      </c>
      <c r="O30" s="105">
        <f t="shared" si="18"/>
        <v>9946.9944671572212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32000</v>
      </c>
      <c r="E32" s="80">
        <v>32000</v>
      </c>
      <c r="F32" s="80">
        <v>32000</v>
      </c>
      <c r="G32" s="80">
        <v>32000</v>
      </c>
      <c r="H32" s="81">
        <v>32000</v>
      </c>
      <c r="I32" s="81">
        <v>32000</v>
      </c>
      <c r="J32" s="81">
        <v>32000</v>
      </c>
      <c r="K32" s="82">
        <v>32000</v>
      </c>
      <c r="L32" s="82">
        <v>32000</v>
      </c>
      <c r="M32" s="82">
        <v>32000</v>
      </c>
      <c r="N32" s="82">
        <v>32000</v>
      </c>
      <c r="O32" s="105">
        <v>32000</v>
      </c>
    </row>
    <row r="33" spans="3:15" ht="15" thickBot="1" x14ac:dyDescent="0.3">
      <c r="C33" s="102" t="s">
        <v>69</v>
      </c>
      <c r="D33" s="79">
        <f>D28-D29-D30-D31-D32</f>
        <v>57063.558333333349</v>
      </c>
      <c r="E33" s="80">
        <f t="shared" ref="E33:O33" si="19">E28-E29-E30-E31-E32</f>
        <v>56983.748333333351</v>
      </c>
      <c r="F33" s="80">
        <f t="shared" si="19"/>
        <v>56902.342133333339</v>
      </c>
      <c r="G33" s="80">
        <f t="shared" si="19"/>
        <v>56819.307809333361</v>
      </c>
      <c r="H33" s="81">
        <f t="shared" si="19"/>
        <v>56734.61279885337</v>
      </c>
      <c r="I33" s="81">
        <f t="shared" si="19"/>
        <v>56648.22388816376</v>
      </c>
      <c r="J33" s="81">
        <f t="shared" si="19"/>
        <v>56560.107199260368</v>
      </c>
      <c r="K33" s="82">
        <f t="shared" si="19"/>
        <v>56470.228176578923</v>
      </c>
      <c r="L33" s="82">
        <f t="shared" si="19"/>
        <v>56378.551573443823</v>
      </c>
      <c r="M33" s="82">
        <f t="shared" si="19"/>
        <v>56285.041438246015</v>
      </c>
      <c r="N33" s="82">
        <f t="shared" si="19"/>
        <v>56189.661100344296</v>
      </c>
      <c r="O33" s="105">
        <f t="shared" si="19"/>
        <v>56092.373155684501</v>
      </c>
    </row>
    <row r="34" spans="3:15" ht="15" thickBot="1" x14ac:dyDescent="0.3">
      <c r="C34" s="111" t="s">
        <v>70</v>
      </c>
      <c r="D34" s="112">
        <f>D33/D27</f>
        <v>0.42774232035363963</v>
      </c>
      <c r="E34" s="137">
        <f t="shared" ref="E34:O34" si="20">E33/E27</f>
        <v>0.42574944348307586</v>
      </c>
      <c r="F34" s="113">
        <f t="shared" si="20"/>
        <v>0.42373007110958666</v>
      </c>
      <c r="G34" s="113">
        <f t="shared" si="20"/>
        <v>0.42168407516686596</v>
      </c>
      <c r="H34" s="114">
        <f t="shared" si="20"/>
        <v>0.41961133476675455</v>
      </c>
      <c r="I34" s="114">
        <f t="shared" si="20"/>
        <v>0.41751173646413531</v>
      </c>
      <c r="J34" s="114">
        <f t="shared" si="20"/>
        <v>0.41538517452281504</v>
      </c>
      <c r="K34" s="115">
        <f t="shared" si="20"/>
        <v>0.41323155118206623</v>
      </c>
      <c r="L34" s="115">
        <f t="shared" si="20"/>
        <v>0.41105077692348824</v>
      </c>
      <c r="M34" s="136">
        <f t="shared" si="20"/>
        <v>0.40884277073783121</v>
      </c>
      <c r="N34" s="136">
        <f t="shared" si="20"/>
        <v>0.40660746039141266</v>
      </c>
      <c r="O34" s="136">
        <f t="shared" si="20"/>
        <v>0.40434478269174073</v>
      </c>
    </row>
    <row r="37" spans="3:15" x14ac:dyDescent="0.25">
      <c r="D37" s="30">
        <f>D8-D25</f>
        <v>5673.888888888876</v>
      </c>
      <c r="E37" s="30">
        <f t="shared" ref="E37:O37" si="21">E8-E25</f>
        <v>-4356.111111111124</v>
      </c>
      <c r="F37" s="30">
        <f t="shared" si="21"/>
        <v>739.0533333333442</v>
      </c>
      <c r="G37" s="30">
        <f t="shared" si="21"/>
        <v>-8315.0730666666932</v>
      </c>
      <c r="H37" s="30">
        <f t="shared" si="21"/>
        <v>-16548.959914666688</v>
      </c>
      <c r="I37" s="30">
        <f t="shared" si="21"/>
        <v>-24045.894627626694</v>
      </c>
      <c r="J37" s="30">
        <f t="shared" si="21"/>
        <v>-30880.861150045865</v>
      </c>
      <c r="K37" s="30">
        <f t="shared" si="21"/>
        <v>-37121.370806593492</v>
      </c>
      <c r="L37" s="30">
        <f t="shared" si="21"/>
        <v>-42828.210079584009</v>
      </c>
      <c r="M37" s="30">
        <f t="shared" si="21"/>
        <v>-48056.113619015116</v>
      </c>
      <c r="N37" s="30">
        <f t="shared" si="21"/>
        <v>-52854.369962117635</v>
      </c>
      <c r="O37" s="30">
        <f t="shared" si="21"/>
        <v>-57267.366691676609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7"/>
  <sheetViews>
    <sheetView topLeftCell="B1" zoomScaleNormal="100" workbookViewId="0">
      <selection activeCell="D22" sqref="D22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363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62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98">
        <v>93964.144423876074</v>
      </c>
    </row>
    <row r="7" spans="3:15" x14ac:dyDescent="0.25">
      <c r="C7" s="243" t="s">
        <v>46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99">
        <v>9396.4144423876078</v>
      </c>
    </row>
    <row r="8" spans="3:15" x14ac:dyDescent="0.25">
      <c r="C8" s="243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0">
        <v>103360.55886626369</v>
      </c>
    </row>
    <row r="9" spans="3:15" x14ac:dyDescent="0.25">
      <c r="C9" s="243" t="s">
        <v>84</v>
      </c>
      <c r="D9" s="79">
        <v>20</v>
      </c>
      <c r="E9" s="80">
        <v>20</v>
      </c>
      <c r="F9" s="80">
        <v>20</v>
      </c>
      <c r="G9" s="90">
        <v>20</v>
      </c>
      <c r="H9" s="81">
        <v>20</v>
      </c>
      <c r="I9" s="81">
        <v>20</v>
      </c>
      <c r="J9" s="81">
        <v>20</v>
      </c>
      <c r="K9" s="82">
        <v>20</v>
      </c>
      <c r="L9" s="82">
        <v>20</v>
      </c>
      <c r="M9" s="82">
        <v>20</v>
      </c>
      <c r="N9" s="82">
        <v>20</v>
      </c>
      <c r="O9" s="100">
        <v>20</v>
      </c>
    </row>
    <row r="10" spans="3:15" x14ac:dyDescent="0.25">
      <c r="C10" s="243" t="s">
        <v>94</v>
      </c>
      <c r="D10" s="79">
        <v>8</v>
      </c>
      <c r="E10" s="80">
        <v>8</v>
      </c>
      <c r="F10" s="80">
        <v>8</v>
      </c>
      <c r="G10" s="9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0">
        <v>8</v>
      </c>
    </row>
    <row r="11" spans="3:15" x14ac:dyDescent="0.25">
      <c r="C11" s="243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243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5911.4793441891343</v>
      </c>
      <c r="E14" s="90">
        <v>5739.3003341642079</v>
      </c>
      <c r="F14" s="90">
        <v>5572.1362467613671</v>
      </c>
      <c r="G14" s="90">
        <v>5409.8410162731716</v>
      </c>
      <c r="H14" s="94">
        <v>5252.2728313331763</v>
      </c>
      <c r="I14" s="94">
        <v>5099.2940110030841</v>
      </c>
      <c r="J14" s="94">
        <v>4950.7708844690133</v>
      </c>
      <c r="K14" s="95">
        <v>4806.5736742417603</v>
      </c>
      <c r="L14" s="95">
        <v>4666.5763827589908</v>
      </c>
      <c r="M14" s="95">
        <v>5040.1579717966488</v>
      </c>
      <c r="N14" s="95">
        <v>5402.8585436778694</v>
      </c>
      <c r="O14" s="101">
        <v>5754.9950212324529</v>
      </c>
    </row>
    <row r="15" spans="3:15" x14ac:dyDescent="0.25">
      <c r="C15" s="243" t="s">
        <v>89</v>
      </c>
      <c r="D15" s="79">
        <f>2*300+3*100</f>
        <v>900</v>
      </c>
      <c r="E15" s="90">
        <f>D15*(1-$D$13)</f>
        <v>873</v>
      </c>
      <c r="F15" s="90">
        <f t="shared" ref="F15:O15" si="0">E15*(1-$D$13)</f>
        <v>846.81</v>
      </c>
      <c r="G15" s="90">
        <f t="shared" si="0"/>
        <v>821.40569999999991</v>
      </c>
      <c r="H15" s="94">
        <f t="shared" si="0"/>
        <v>796.76352899999983</v>
      </c>
      <c r="I15" s="94">
        <f t="shared" si="0"/>
        <v>772.86062312999979</v>
      </c>
      <c r="J15" s="94">
        <f t="shared" si="0"/>
        <v>749.67480443609975</v>
      </c>
      <c r="K15" s="95">
        <f t="shared" si="0"/>
        <v>727.18456030301672</v>
      </c>
      <c r="L15" s="95">
        <f t="shared" si="0"/>
        <v>705.36902349392619</v>
      </c>
      <c r="M15" s="95">
        <f t="shared" si="0"/>
        <v>684.20795278910839</v>
      </c>
      <c r="N15" s="95">
        <f t="shared" si="0"/>
        <v>663.68171420543513</v>
      </c>
      <c r="O15" s="101">
        <f t="shared" si="0"/>
        <v>643.77126277927209</v>
      </c>
    </row>
    <row r="16" spans="3:15" x14ac:dyDescent="0.25">
      <c r="C16" s="243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101">
        <f t="shared" si="1"/>
        <v>14094.621663581411</v>
      </c>
    </row>
    <row r="19" spans="3:15" x14ac:dyDescent="0.25">
      <c r="C19" s="244" t="s">
        <v>93</v>
      </c>
      <c r="D19" s="161">
        <f>D8+D14+D15+D16+D17-D18</f>
        <v>174024.47382941956</v>
      </c>
      <c r="E19" s="158">
        <f t="shared" ref="E19:O19" si="2">E8+E14+E15+E16+E17-E18</f>
        <v>164824.35452694452</v>
      </c>
      <c r="F19" s="158">
        <f t="shared" si="2"/>
        <v>170651.85955151037</v>
      </c>
      <c r="G19" s="158">
        <f t="shared" si="2"/>
        <v>162245.7834458029</v>
      </c>
      <c r="H19" s="159">
        <f t="shared" si="2"/>
        <v>154587.53924401905</v>
      </c>
      <c r="I19" s="159">
        <f t="shared" si="2"/>
        <v>144588.56063178147</v>
      </c>
      <c r="J19" s="159">
        <f t="shared" si="2"/>
        <v>135287.19159170162</v>
      </c>
      <c r="K19" s="162">
        <f t="shared" si="2"/>
        <v>126621.92374380157</v>
      </c>
      <c r="L19" s="162">
        <f t="shared" si="2"/>
        <v>118537.1591359133</v>
      </c>
      <c r="M19" s="162">
        <f t="shared" si="2"/>
        <v>111492.12749395821</v>
      </c>
      <c r="N19" s="162">
        <f t="shared" si="2"/>
        <v>104917.01667071394</v>
      </c>
      <c r="O19" s="172">
        <f t="shared" si="2"/>
        <v>98771.114976068682</v>
      </c>
    </row>
    <row r="20" spans="3:15" x14ac:dyDescent="0.25">
      <c r="C20" s="131" t="s">
        <v>375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140427.77777777778</v>
      </c>
      <c r="E22" s="87">
        <v>140887.77777777778</v>
      </c>
      <c r="F22" s="87">
        <v>141356.97777777779</v>
      </c>
      <c r="G22" s="87">
        <v>141835.5617777778</v>
      </c>
      <c r="H22" s="88">
        <v>142323.71745777782</v>
      </c>
      <c r="I22" s="88">
        <v>142821.63625137781</v>
      </c>
      <c r="J22" s="88">
        <v>143329.51342084981</v>
      </c>
      <c r="K22" s="89">
        <v>143847.54813371127</v>
      </c>
      <c r="L22" s="89">
        <v>144375.94354082993</v>
      </c>
      <c r="M22" s="89">
        <v>144914.90685609097</v>
      </c>
      <c r="N22" s="89">
        <v>145464.64943765724</v>
      </c>
      <c r="O22" s="107">
        <v>146025.38687085483</v>
      </c>
    </row>
    <row r="23" spans="3:15" x14ac:dyDescent="0.25">
      <c r="C23" s="102" t="s">
        <v>46</v>
      </c>
      <c r="D23" s="117">
        <v>14042.777777777779</v>
      </c>
      <c r="E23" s="76">
        <v>14088.777777777779</v>
      </c>
      <c r="F23" s="76">
        <v>14135.697777777779</v>
      </c>
      <c r="G23" s="76">
        <v>14183.55617777778</v>
      </c>
      <c r="H23" s="77">
        <v>14232.371745777782</v>
      </c>
      <c r="I23" s="77">
        <v>14282.163625137782</v>
      </c>
      <c r="J23" s="77">
        <v>14332.951342084982</v>
      </c>
      <c r="K23" s="78">
        <v>14384.754813371128</v>
      </c>
      <c r="L23" s="78">
        <v>14437.594354082994</v>
      </c>
      <c r="M23" s="78">
        <v>14491.490685609097</v>
      </c>
      <c r="N23" s="78">
        <v>14546.464943765724</v>
      </c>
      <c r="O23" s="104">
        <v>14602.538687085484</v>
      </c>
    </row>
    <row r="24" spans="3:15" x14ac:dyDescent="0.25">
      <c r="C24" s="102" t="s">
        <v>56</v>
      </c>
      <c r="D24" s="93">
        <v>154470.55555555556</v>
      </c>
      <c r="E24" s="71">
        <v>154976.55555555556</v>
      </c>
      <c r="F24" s="71">
        <v>155492.67555555556</v>
      </c>
      <c r="G24" s="80">
        <v>156019.11795555559</v>
      </c>
      <c r="H24" s="72">
        <v>156556.0892035556</v>
      </c>
      <c r="I24" s="72">
        <v>157103.79987651561</v>
      </c>
      <c r="J24" s="72">
        <v>157662.46476293477</v>
      </c>
      <c r="K24" s="73">
        <v>158232.30294708241</v>
      </c>
      <c r="L24" s="73">
        <v>158813.53789491294</v>
      </c>
      <c r="M24" s="73">
        <v>159406.39754170005</v>
      </c>
      <c r="N24" s="73">
        <v>160011.11438142296</v>
      </c>
      <c r="O24" s="103">
        <v>160627.9255579403</v>
      </c>
    </row>
    <row r="25" spans="3:15" x14ac:dyDescent="0.25">
      <c r="C25" s="102" t="s">
        <v>84</v>
      </c>
      <c r="D25" s="79">
        <v>20</v>
      </c>
      <c r="E25" s="71">
        <v>20</v>
      </c>
      <c r="F25" s="71">
        <v>20</v>
      </c>
      <c r="G25" s="80">
        <v>20</v>
      </c>
      <c r="H25" s="72">
        <v>20</v>
      </c>
      <c r="I25" s="72">
        <v>20</v>
      </c>
      <c r="J25" s="72">
        <v>20</v>
      </c>
      <c r="K25" s="73">
        <v>20</v>
      </c>
      <c r="L25" s="73">
        <v>20</v>
      </c>
      <c r="M25" s="73">
        <v>20</v>
      </c>
      <c r="N25" s="73">
        <v>20</v>
      </c>
      <c r="O25" s="103">
        <v>20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6</v>
      </c>
      <c r="E27" s="76">
        <v>6</v>
      </c>
      <c r="F27" s="76">
        <v>6</v>
      </c>
      <c r="G27" s="76">
        <v>6</v>
      </c>
      <c r="H27" s="77">
        <v>6</v>
      </c>
      <c r="I27" s="77">
        <v>6</v>
      </c>
      <c r="J27" s="77">
        <v>6</v>
      </c>
      <c r="K27" s="78">
        <v>6</v>
      </c>
      <c r="L27" s="78">
        <v>6</v>
      </c>
      <c r="M27" s="78">
        <v>6</v>
      </c>
      <c r="N27" s="78">
        <v>6</v>
      </c>
      <c r="O27" s="104">
        <v>6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22168.047540709253</v>
      </c>
      <c r="E30" s="71">
        <v>21522.376253115777</v>
      </c>
      <c r="F30" s="71">
        <v>20895.51092535512</v>
      </c>
      <c r="G30" s="80">
        <v>20286.903811024393</v>
      </c>
      <c r="H30" s="72">
        <v>19696.023117499408</v>
      </c>
      <c r="I30" s="72">
        <v>19122.35254126156</v>
      </c>
      <c r="J30" s="72">
        <v>18565.390816758798</v>
      </c>
      <c r="K30" s="73">
        <v>18024.6512784066</v>
      </c>
      <c r="L30" s="73">
        <v>17499.661435346214</v>
      </c>
      <c r="M30" s="73">
        <v>18900.592394237428</v>
      </c>
      <c r="N30" s="73">
        <v>20260.719538792004</v>
      </c>
      <c r="O30" s="103">
        <v>21581.231329621696</v>
      </c>
    </row>
    <row r="31" spans="3:15" x14ac:dyDescent="0.25">
      <c r="C31" s="102" t="s">
        <v>89</v>
      </c>
      <c r="D31" s="70">
        <v>9600</v>
      </c>
      <c r="E31" s="71">
        <f>D31*(1-$D$29)</f>
        <v>9312</v>
      </c>
      <c r="F31" s="71">
        <f t="shared" ref="F31:O31" si="3">E31*(1-$D$29)</f>
        <v>9032.64</v>
      </c>
      <c r="G31" s="80">
        <f t="shared" si="3"/>
        <v>8761.6607999999997</v>
      </c>
      <c r="H31" s="72">
        <f t="shared" si="3"/>
        <v>8498.8109759999988</v>
      </c>
      <c r="I31" s="72">
        <f t="shared" si="3"/>
        <v>8243.8466467199978</v>
      </c>
      <c r="J31" s="72">
        <f t="shared" si="3"/>
        <v>7996.5312473183976</v>
      </c>
      <c r="K31" s="73">
        <f t="shared" si="3"/>
        <v>7756.6353098988457</v>
      </c>
      <c r="L31" s="73">
        <f t="shared" si="3"/>
        <v>7523.9362506018797</v>
      </c>
      <c r="M31" s="73">
        <f t="shared" si="3"/>
        <v>7298.2181630838231</v>
      </c>
      <c r="N31" s="73">
        <f t="shared" si="3"/>
        <v>7079.2716181913083</v>
      </c>
      <c r="O31" s="103">
        <f t="shared" si="3"/>
        <v>6866.893469645569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49149.722222222219</v>
      </c>
      <c r="E34" s="71">
        <f t="shared" ref="E34:O34" si="5">0.35*E22</f>
        <v>49310.722222222219</v>
      </c>
      <c r="F34" s="71">
        <f t="shared" si="5"/>
        <v>49474.942222222227</v>
      </c>
      <c r="G34" s="80">
        <f t="shared" si="5"/>
        <v>49642.446622222225</v>
      </c>
      <c r="H34" s="72">
        <f t="shared" si="5"/>
        <v>49813.301110222237</v>
      </c>
      <c r="I34" s="72">
        <f t="shared" si="5"/>
        <v>49987.572687982232</v>
      </c>
      <c r="J34" s="72">
        <f t="shared" si="5"/>
        <v>50165.329697297428</v>
      </c>
      <c r="K34" s="73">
        <f t="shared" si="5"/>
        <v>50346.641846798942</v>
      </c>
      <c r="L34" s="73">
        <f t="shared" si="5"/>
        <v>50531.580239290473</v>
      </c>
      <c r="M34" s="73">
        <f t="shared" si="5"/>
        <v>50720.217399631838</v>
      </c>
      <c r="N34" s="73">
        <f t="shared" si="5"/>
        <v>50912.62730318003</v>
      </c>
      <c r="O34" s="103">
        <f t="shared" si="5"/>
        <v>51108.885404799184</v>
      </c>
    </row>
    <row r="35" spans="3:15" x14ac:dyDescent="0.25">
      <c r="C35" s="160" t="s">
        <v>93</v>
      </c>
      <c r="D35" s="163">
        <f>D24+D30+D31+D32-D34</f>
        <v>166010.01269492877</v>
      </c>
      <c r="E35" s="164">
        <f t="shared" ref="E35:O35" si="6">E24+E30+E31+E32-E34</f>
        <v>164578.97834459101</v>
      </c>
      <c r="F35" s="164">
        <f t="shared" si="6"/>
        <v>163206.82480057384</v>
      </c>
      <c r="G35" s="165">
        <f t="shared" si="6"/>
        <v>161892.16850929501</v>
      </c>
      <c r="H35" s="166">
        <f t="shared" si="6"/>
        <v>160633.67322075242</v>
      </c>
      <c r="I35" s="166">
        <f t="shared" si="6"/>
        <v>156624.52921877182</v>
      </c>
      <c r="J35" s="166">
        <f t="shared" si="6"/>
        <v>152750.72483443478</v>
      </c>
      <c r="K35" s="167">
        <f t="shared" si="6"/>
        <v>149008.67836657452</v>
      </c>
      <c r="L35" s="167">
        <f t="shared" si="6"/>
        <v>145394.91997418273</v>
      </c>
      <c r="M35" s="167">
        <f t="shared" si="6"/>
        <v>143816.71839474593</v>
      </c>
      <c r="N35" s="167">
        <f t="shared" si="6"/>
        <v>142304.53900120818</v>
      </c>
      <c r="O35" s="168">
        <f t="shared" si="6"/>
        <v>140856.85005880339</v>
      </c>
    </row>
    <row r="37" spans="3:15" x14ac:dyDescent="0.25">
      <c r="D37">
        <v>2019</v>
      </c>
      <c r="E37">
        <v>2020</v>
      </c>
      <c r="F37">
        <v>2021</v>
      </c>
      <c r="G37">
        <v>2022</v>
      </c>
      <c r="H37">
        <v>2023</v>
      </c>
      <c r="I37">
        <v>2024</v>
      </c>
      <c r="J37">
        <v>2025</v>
      </c>
      <c r="K37">
        <v>2026</v>
      </c>
      <c r="L37">
        <v>2027</v>
      </c>
      <c r="M37">
        <v>2028</v>
      </c>
      <c r="N37">
        <v>2029</v>
      </c>
      <c r="O37">
        <v>2030</v>
      </c>
    </row>
    <row r="38" spans="3:15" x14ac:dyDescent="0.25">
      <c r="C38" t="s">
        <v>305</v>
      </c>
      <c r="D38" s="30">
        <f>D19-D35</f>
        <v>8014.4611344907898</v>
      </c>
      <c r="E38" s="30">
        <f t="shared" ref="E38:O38" si="7">E19-E35</f>
        <v>245.37618235350237</v>
      </c>
      <c r="F38" s="30">
        <f t="shared" si="7"/>
        <v>7445.0347509365238</v>
      </c>
      <c r="G38" s="30">
        <f t="shared" si="7"/>
        <v>353.61493650788907</v>
      </c>
      <c r="H38" s="30">
        <f t="shared" si="7"/>
        <v>-6046.1339767333702</v>
      </c>
      <c r="I38" s="30">
        <f t="shared" si="7"/>
        <v>-12035.968586990348</v>
      </c>
      <c r="J38" s="30">
        <f t="shared" si="7"/>
        <v>-17463.53324273316</v>
      </c>
      <c r="K38" s="30">
        <f t="shared" si="7"/>
        <v>-22386.754622772947</v>
      </c>
      <c r="L38" s="30">
        <f t="shared" si="7"/>
        <v>-26857.760838269431</v>
      </c>
      <c r="M38" s="30">
        <f t="shared" si="7"/>
        <v>-32324.59090078772</v>
      </c>
      <c r="N38" s="30">
        <f t="shared" si="7"/>
        <v>-37387.522330494234</v>
      </c>
      <c r="O38" s="30">
        <f t="shared" si="7"/>
        <v>-42085.735082734711</v>
      </c>
    </row>
    <row r="63" spans="3:26" x14ac:dyDescent="0.25">
      <c r="D63">
        <v>2019</v>
      </c>
      <c r="E63">
        <v>2020</v>
      </c>
      <c r="F63">
        <v>2021</v>
      </c>
      <c r="G63">
        <v>2022</v>
      </c>
      <c r="H63">
        <v>2023</v>
      </c>
      <c r="I63">
        <v>2024</v>
      </c>
      <c r="J63">
        <v>2025</v>
      </c>
      <c r="K63">
        <v>2026</v>
      </c>
      <c r="L63">
        <v>2027</v>
      </c>
      <c r="M63">
        <v>2028</v>
      </c>
      <c r="N63">
        <v>2029</v>
      </c>
      <c r="O63">
        <v>2030</v>
      </c>
      <c r="P63">
        <v>2031</v>
      </c>
      <c r="Q63">
        <v>2032</v>
      </c>
      <c r="R63">
        <v>2033</v>
      </c>
      <c r="S63">
        <v>2034</v>
      </c>
      <c r="T63">
        <v>2035</v>
      </c>
      <c r="U63">
        <v>2036</v>
      </c>
      <c r="V63">
        <v>2037</v>
      </c>
      <c r="W63">
        <v>2038</v>
      </c>
      <c r="X63">
        <v>2039</v>
      </c>
      <c r="Y63">
        <v>2040</v>
      </c>
      <c r="Z63">
        <v>2041</v>
      </c>
    </row>
    <row r="64" spans="3:26" x14ac:dyDescent="0.25">
      <c r="C64" t="s">
        <v>98</v>
      </c>
      <c r="D64">
        <f>20*365</f>
        <v>7300</v>
      </c>
      <c r="E64">
        <f t="shared" ref="E64:S64" si="8">20*365</f>
        <v>7300</v>
      </c>
      <c r="F64">
        <f t="shared" si="8"/>
        <v>7300</v>
      </c>
      <c r="G64">
        <f t="shared" si="8"/>
        <v>7300</v>
      </c>
      <c r="H64">
        <f t="shared" si="8"/>
        <v>7300</v>
      </c>
      <c r="I64">
        <f t="shared" si="8"/>
        <v>7300</v>
      </c>
      <c r="J64">
        <f t="shared" si="8"/>
        <v>7300</v>
      </c>
      <c r="K64">
        <f t="shared" si="8"/>
        <v>7300</v>
      </c>
      <c r="L64">
        <f t="shared" si="8"/>
        <v>7300</v>
      </c>
      <c r="M64">
        <f t="shared" si="8"/>
        <v>7300</v>
      </c>
      <c r="N64">
        <f t="shared" si="8"/>
        <v>7300</v>
      </c>
      <c r="O64">
        <f t="shared" si="8"/>
        <v>7300</v>
      </c>
      <c r="P64">
        <f t="shared" si="8"/>
        <v>7300</v>
      </c>
      <c r="Q64">
        <f t="shared" si="8"/>
        <v>7300</v>
      </c>
      <c r="R64">
        <f t="shared" si="8"/>
        <v>7300</v>
      </c>
      <c r="S64">
        <f t="shared" si="8"/>
        <v>7300</v>
      </c>
      <c r="T64">
        <f t="shared" ref="T64:Z64" si="9">40*365</f>
        <v>14600</v>
      </c>
      <c r="U64">
        <f t="shared" si="9"/>
        <v>14600</v>
      </c>
      <c r="V64">
        <f t="shared" si="9"/>
        <v>14600</v>
      </c>
      <c r="W64">
        <f t="shared" si="9"/>
        <v>14600</v>
      </c>
      <c r="X64">
        <f t="shared" si="9"/>
        <v>14600</v>
      </c>
      <c r="Y64">
        <f t="shared" si="9"/>
        <v>14600</v>
      </c>
      <c r="Z64">
        <f t="shared" si="9"/>
        <v>14600</v>
      </c>
    </row>
    <row r="65" spans="3:26" x14ac:dyDescent="0.25">
      <c r="C65" t="s">
        <v>99</v>
      </c>
      <c r="D65" s="30">
        <f>($D$11/100)*D64</f>
        <v>1022.0000000000001</v>
      </c>
      <c r="E65" s="30">
        <f t="shared" ref="E65:Z65" si="10">($D$11/100)*E64</f>
        <v>1022.0000000000001</v>
      </c>
      <c r="F65" s="30">
        <f t="shared" si="10"/>
        <v>1022.0000000000001</v>
      </c>
      <c r="G65" s="30">
        <f t="shared" si="10"/>
        <v>1022.0000000000001</v>
      </c>
      <c r="H65" s="30">
        <f t="shared" si="10"/>
        <v>1022.0000000000001</v>
      </c>
      <c r="I65" s="30">
        <f t="shared" si="10"/>
        <v>1022.0000000000001</v>
      </c>
      <c r="J65" s="30">
        <f t="shared" si="10"/>
        <v>1022.0000000000001</v>
      </c>
      <c r="K65" s="30">
        <f t="shared" si="10"/>
        <v>1022.0000000000001</v>
      </c>
      <c r="L65" s="30">
        <f t="shared" si="10"/>
        <v>1022.0000000000001</v>
      </c>
      <c r="M65" s="30">
        <f t="shared" si="10"/>
        <v>1022.0000000000001</v>
      </c>
      <c r="N65" s="30">
        <f t="shared" si="10"/>
        <v>1022.0000000000001</v>
      </c>
      <c r="O65" s="30">
        <f t="shared" si="10"/>
        <v>1022.0000000000001</v>
      </c>
      <c r="P65" s="30">
        <f t="shared" si="10"/>
        <v>1022.0000000000001</v>
      </c>
      <c r="Q65" s="30">
        <f t="shared" si="10"/>
        <v>1022.0000000000001</v>
      </c>
      <c r="R65" s="30">
        <f t="shared" si="10"/>
        <v>1022.0000000000001</v>
      </c>
      <c r="S65" s="30">
        <f t="shared" si="10"/>
        <v>1022.0000000000001</v>
      </c>
      <c r="T65" s="30">
        <f t="shared" si="10"/>
        <v>2044.0000000000002</v>
      </c>
      <c r="U65" s="30">
        <f t="shared" si="10"/>
        <v>2044.0000000000002</v>
      </c>
      <c r="V65" s="30">
        <f t="shared" si="10"/>
        <v>2044.0000000000002</v>
      </c>
      <c r="W65" s="30">
        <f t="shared" si="10"/>
        <v>2044.0000000000002</v>
      </c>
      <c r="X65" s="30">
        <f t="shared" si="10"/>
        <v>2044.0000000000002</v>
      </c>
      <c r="Y65" s="30">
        <f t="shared" si="10"/>
        <v>2044.0000000000002</v>
      </c>
      <c r="Z65" s="30">
        <f t="shared" si="10"/>
        <v>2044.0000000000002</v>
      </c>
    </row>
    <row r="66" spans="3:26" x14ac:dyDescent="0.25">
      <c r="C66" t="s">
        <v>101</v>
      </c>
      <c r="D66" s="1">
        <f>D65*$D$12</f>
        <v>817.60000000000014</v>
      </c>
      <c r="E66" s="1">
        <f t="shared" ref="E66:Z66" si="11">E65*$D$12</f>
        <v>817.60000000000014</v>
      </c>
      <c r="F66" s="1">
        <f t="shared" si="11"/>
        <v>817.60000000000014</v>
      </c>
      <c r="G66" s="1">
        <f t="shared" si="11"/>
        <v>817.60000000000014</v>
      </c>
      <c r="H66" s="1">
        <f t="shared" si="11"/>
        <v>817.60000000000014</v>
      </c>
      <c r="I66" s="1">
        <f t="shared" si="11"/>
        <v>817.60000000000014</v>
      </c>
      <c r="J66" s="1">
        <f t="shared" si="11"/>
        <v>817.60000000000014</v>
      </c>
      <c r="K66" s="1">
        <f t="shared" si="11"/>
        <v>817.60000000000014</v>
      </c>
      <c r="L66" s="1">
        <f t="shared" si="11"/>
        <v>817.60000000000014</v>
      </c>
      <c r="M66" s="1">
        <f t="shared" si="11"/>
        <v>817.60000000000014</v>
      </c>
      <c r="N66" s="1">
        <f t="shared" si="11"/>
        <v>817.60000000000014</v>
      </c>
      <c r="O66" s="1">
        <f t="shared" si="11"/>
        <v>817.60000000000014</v>
      </c>
      <c r="P66" s="1">
        <f t="shared" si="11"/>
        <v>817.60000000000014</v>
      </c>
      <c r="Q66" s="1">
        <f t="shared" si="11"/>
        <v>817.60000000000014</v>
      </c>
      <c r="R66" s="1">
        <f t="shared" si="11"/>
        <v>817.60000000000014</v>
      </c>
      <c r="S66" s="1">
        <f t="shared" si="11"/>
        <v>817.60000000000014</v>
      </c>
      <c r="T66" s="1">
        <f t="shared" si="11"/>
        <v>1635.2000000000003</v>
      </c>
      <c r="U66" s="1">
        <f t="shared" si="11"/>
        <v>1635.2000000000003</v>
      </c>
      <c r="V66" s="1">
        <f t="shared" si="11"/>
        <v>1635.2000000000003</v>
      </c>
      <c r="W66" s="1">
        <f t="shared" si="11"/>
        <v>1635.2000000000003</v>
      </c>
      <c r="X66" s="1">
        <f t="shared" si="11"/>
        <v>1635.2000000000003</v>
      </c>
      <c r="Y66" s="1">
        <f t="shared" si="11"/>
        <v>1635.2000000000003</v>
      </c>
      <c r="Z66" s="1">
        <f t="shared" si="11"/>
        <v>1635.2000000000003</v>
      </c>
    </row>
    <row r="67" spans="3:26" x14ac:dyDescent="0.25">
      <c r="C67" t="s">
        <v>100</v>
      </c>
      <c r="D67">
        <f>D66/(1+$D$13)^(D63-2019)</f>
        <v>817.60000000000014</v>
      </c>
      <c r="E67">
        <f t="shared" ref="E67:Z67" si="12">E66/(1+$D$13)^(E63-2019)</f>
        <v>793.78640776699035</v>
      </c>
      <c r="F67">
        <f t="shared" si="12"/>
        <v>770.66641530775769</v>
      </c>
      <c r="G67">
        <f t="shared" si="12"/>
        <v>748.2198206871434</v>
      </c>
      <c r="H67">
        <f t="shared" si="12"/>
        <v>726.42701037586744</v>
      </c>
      <c r="I67">
        <f t="shared" si="12"/>
        <v>705.26894211249271</v>
      </c>
      <c r="J67">
        <f t="shared" si="12"/>
        <v>684.72712826455597</v>
      </c>
      <c r="K67">
        <f t="shared" si="12"/>
        <v>664.78361967432613</v>
      </c>
      <c r="L67">
        <f t="shared" si="12"/>
        <v>645.42098997507401</v>
      </c>
      <c r="M67">
        <f t="shared" si="12"/>
        <v>626.62232036414946</v>
      </c>
      <c r="N67">
        <f t="shared" si="12"/>
        <v>608.37118481956259</v>
      </c>
      <c r="O67">
        <f t="shared" si="12"/>
        <v>590.65163574714813</v>
      </c>
      <c r="P67">
        <f t="shared" si="12"/>
        <v>573.44819004577494</v>
      </c>
      <c r="Q67">
        <f t="shared" si="12"/>
        <v>556.74581557842237</v>
      </c>
      <c r="R67">
        <f t="shared" si="12"/>
        <v>540.52991803730322</v>
      </c>
      <c r="S67">
        <f t="shared" si="12"/>
        <v>524.78632819155644</v>
      </c>
      <c r="T67">
        <f t="shared" si="12"/>
        <v>1019.0025790127312</v>
      </c>
      <c r="U67">
        <f t="shared" si="12"/>
        <v>989.3228922453701</v>
      </c>
      <c r="V67">
        <f t="shared" si="12"/>
        <v>960.50766237414564</v>
      </c>
      <c r="W67">
        <f t="shared" si="12"/>
        <v>932.53171104285991</v>
      </c>
      <c r="X67">
        <f t="shared" si="12"/>
        <v>905.37059324549512</v>
      </c>
      <c r="Y67">
        <f t="shared" si="12"/>
        <v>879.00057596650015</v>
      </c>
      <c r="Z67">
        <f t="shared" si="12"/>
        <v>853.39861744320399</v>
      </c>
    </row>
    <row r="68" spans="3:26" x14ac:dyDescent="0.25">
      <c r="C68" t="s">
        <v>102</v>
      </c>
      <c r="D68">
        <f>SUM(D67:K67)</f>
        <v>5911.4793441891343</v>
      </c>
      <c r="E68">
        <f>SUM(E67:L67)</f>
        <v>5739.3003341642079</v>
      </c>
      <c r="F68">
        <f t="shared" ref="F68:O68" si="13">SUM(F67:M67)</f>
        <v>5572.1362467613671</v>
      </c>
      <c r="G68">
        <f t="shared" si="13"/>
        <v>5409.8410162731716</v>
      </c>
      <c r="H68">
        <f t="shared" si="13"/>
        <v>5252.2728313331763</v>
      </c>
      <c r="I68">
        <f t="shared" si="13"/>
        <v>5099.2940110030841</v>
      </c>
      <c r="J68">
        <f t="shared" si="13"/>
        <v>4950.7708844690133</v>
      </c>
      <c r="K68">
        <f t="shared" si="13"/>
        <v>4806.5736742417603</v>
      </c>
      <c r="L68">
        <f t="shared" si="13"/>
        <v>4666.5763827589908</v>
      </c>
      <c r="M68">
        <f t="shared" si="13"/>
        <v>5040.1579717966488</v>
      </c>
      <c r="N68">
        <f t="shared" si="13"/>
        <v>5402.8585436778694</v>
      </c>
      <c r="O68">
        <f t="shared" si="13"/>
        <v>5754.9950212324529</v>
      </c>
    </row>
    <row r="70" spans="3:26" x14ac:dyDescent="0.25">
      <c r="C70" t="s">
        <v>103</v>
      </c>
      <c r="D70">
        <f>27*300+27*100</f>
        <v>10800</v>
      </c>
    </row>
    <row r="74" spans="3:26" x14ac:dyDescent="0.25">
      <c r="C74" t="s">
        <v>104</v>
      </c>
      <c r="D74">
        <v>4300</v>
      </c>
      <c r="E74">
        <v>4300</v>
      </c>
      <c r="F74">
        <v>4300</v>
      </c>
      <c r="G74">
        <v>4300</v>
      </c>
      <c r="H74">
        <v>4300</v>
      </c>
      <c r="I74">
        <v>4300</v>
      </c>
      <c r="J74">
        <v>4300</v>
      </c>
      <c r="K74">
        <v>4300</v>
      </c>
      <c r="L74">
        <v>4300</v>
      </c>
      <c r="M74">
        <v>4300</v>
      </c>
      <c r="N74">
        <v>4300</v>
      </c>
      <c r="O74">
        <v>4300</v>
      </c>
      <c r="P74">
        <v>4300</v>
      </c>
      <c r="Q74">
        <v>4300</v>
      </c>
      <c r="R74">
        <v>4300</v>
      </c>
      <c r="S74">
        <v>4300</v>
      </c>
      <c r="T74">
        <v>4300</v>
      </c>
      <c r="U74">
        <v>4300</v>
      </c>
      <c r="V74">
        <v>4300</v>
      </c>
      <c r="W74">
        <v>4300</v>
      </c>
      <c r="X74">
        <v>4300</v>
      </c>
      <c r="Y74">
        <v>4300</v>
      </c>
      <c r="Z74">
        <v>4300</v>
      </c>
    </row>
    <row r="75" spans="3:26" x14ac:dyDescent="0.25">
      <c r="C75" t="s">
        <v>105</v>
      </c>
      <c r="D75">
        <f>D74/(1+0.03)^(D63-2019)</f>
        <v>4300</v>
      </c>
      <c r="E75">
        <f t="shared" ref="E75:O75" si="14">E74/(1+0.03)^(E63-2019)</f>
        <v>4174.7572815533977</v>
      </c>
      <c r="F75">
        <f t="shared" si="14"/>
        <v>4053.162409275144</v>
      </c>
      <c r="G75">
        <f t="shared" si="14"/>
        <v>3935.1091352185863</v>
      </c>
      <c r="H75">
        <f t="shared" si="14"/>
        <v>3820.4943060374626</v>
      </c>
      <c r="I75">
        <f t="shared" si="14"/>
        <v>3709.2177728519055</v>
      </c>
      <c r="J75">
        <f t="shared" si="14"/>
        <v>3601.1823037397139</v>
      </c>
      <c r="K75">
        <f t="shared" si="14"/>
        <v>3496.2934987764211</v>
      </c>
      <c r="L75">
        <f t="shared" si="14"/>
        <v>3394.4597075499237</v>
      </c>
      <c r="M75">
        <f t="shared" si="14"/>
        <v>3295.5919490775959</v>
      </c>
      <c r="N75">
        <f t="shared" si="14"/>
        <v>3199.6038340559185</v>
      </c>
      <c r="O75">
        <f t="shared" si="14"/>
        <v>3106.4114893746778</v>
      </c>
    </row>
    <row r="76" spans="3:26" x14ac:dyDescent="0.25">
      <c r="C76" t="s">
        <v>106</v>
      </c>
      <c r="D76" s="145">
        <f>SUM(D75:K75)</f>
        <v>31090.216707452633</v>
      </c>
      <c r="E76" s="145">
        <f>SUM(E75:L75)</f>
        <v>30184.676415002552</v>
      </c>
      <c r="F76" s="145">
        <f>SUM(F75:M75)</f>
        <v>29305.511082526751</v>
      </c>
      <c r="G76" s="145">
        <f t="shared" ref="G76:O76" si="15">SUM(G75:N75)</f>
        <v>28451.952507307524</v>
      </c>
      <c r="H76" s="145">
        <f t="shared" si="15"/>
        <v>27623.254861463614</v>
      </c>
      <c r="I76" s="145">
        <f t="shared" si="15"/>
        <v>23802.760555426157</v>
      </c>
      <c r="J76" s="145">
        <f t="shared" si="15"/>
        <v>20093.542782574252</v>
      </c>
      <c r="K76" s="145">
        <f t="shared" si="15"/>
        <v>16492.360478834536</v>
      </c>
      <c r="L76" s="145">
        <f t="shared" si="15"/>
        <v>12996.066980058116</v>
      </c>
      <c r="M76" s="145">
        <f t="shared" si="15"/>
        <v>9601.6072725081922</v>
      </c>
      <c r="N76" s="145">
        <f t="shared" si="15"/>
        <v>6306.0153234305963</v>
      </c>
      <c r="O76" s="145">
        <f t="shared" si="15"/>
        <v>3106.4114893746778</v>
      </c>
    </row>
    <row r="79" spans="3:26" x14ac:dyDescent="0.25">
      <c r="C79" t="s">
        <v>98</v>
      </c>
      <c r="D79">
        <f>D64</f>
        <v>7300</v>
      </c>
      <c r="E79">
        <f t="shared" ref="E79:Z79" si="16">E64</f>
        <v>7300</v>
      </c>
      <c r="F79">
        <f t="shared" si="16"/>
        <v>7300</v>
      </c>
      <c r="G79">
        <f t="shared" si="16"/>
        <v>7300</v>
      </c>
      <c r="H79">
        <f t="shared" si="16"/>
        <v>7300</v>
      </c>
      <c r="I79">
        <f t="shared" si="16"/>
        <v>7300</v>
      </c>
      <c r="J79">
        <f t="shared" si="16"/>
        <v>7300</v>
      </c>
      <c r="K79">
        <f t="shared" si="16"/>
        <v>7300</v>
      </c>
      <c r="L79">
        <f t="shared" si="16"/>
        <v>7300</v>
      </c>
      <c r="M79">
        <f t="shared" si="16"/>
        <v>7300</v>
      </c>
      <c r="N79">
        <f t="shared" si="16"/>
        <v>7300</v>
      </c>
      <c r="O79">
        <f t="shared" si="16"/>
        <v>7300</v>
      </c>
      <c r="P79">
        <f t="shared" si="16"/>
        <v>7300</v>
      </c>
      <c r="Q79">
        <f t="shared" si="16"/>
        <v>7300</v>
      </c>
      <c r="R79">
        <f t="shared" si="16"/>
        <v>7300</v>
      </c>
      <c r="S79">
        <f t="shared" si="16"/>
        <v>7300</v>
      </c>
      <c r="T79">
        <f t="shared" si="16"/>
        <v>14600</v>
      </c>
      <c r="U79">
        <f t="shared" si="16"/>
        <v>14600</v>
      </c>
      <c r="V79">
        <f t="shared" si="16"/>
        <v>14600</v>
      </c>
      <c r="W79">
        <f t="shared" si="16"/>
        <v>14600</v>
      </c>
      <c r="X79">
        <f t="shared" si="16"/>
        <v>14600</v>
      </c>
      <c r="Y79">
        <f t="shared" si="16"/>
        <v>14600</v>
      </c>
      <c r="Z79">
        <f t="shared" si="16"/>
        <v>14600</v>
      </c>
    </row>
    <row r="80" spans="3:26" x14ac:dyDescent="0.25">
      <c r="C80" t="s">
        <v>107</v>
      </c>
      <c r="D80" s="30">
        <f>($D$27/100)*D79</f>
        <v>438</v>
      </c>
      <c r="E80" s="30">
        <f t="shared" ref="E80:Z80" si="17">($D$27/100)*E79</f>
        <v>438</v>
      </c>
      <c r="F80" s="30">
        <f t="shared" si="17"/>
        <v>438</v>
      </c>
      <c r="G80" s="30">
        <f t="shared" si="17"/>
        <v>438</v>
      </c>
      <c r="H80" s="30">
        <f t="shared" si="17"/>
        <v>438</v>
      </c>
      <c r="I80" s="30">
        <f t="shared" si="17"/>
        <v>438</v>
      </c>
      <c r="J80" s="30">
        <f t="shared" si="17"/>
        <v>438</v>
      </c>
      <c r="K80" s="30">
        <f t="shared" si="17"/>
        <v>438</v>
      </c>
      <c r="L80" s="30">
        <f t="shared" si="17"/>
        <v>438</v>
      </c>
      <c r="M80" s="30">
        <f t="shared" si="17"/>
        <v>438</v>
      </c>
      <c r="N80" s="30">
        <f t="shared" si="17"/>
        <v>438</v>
      </c>
      <c r="O80" s="30">
        <f t="shared" si="17"/>
        <v>438</v>
      </c>
      <c r="P80" s="30">
        <f t="shared" si="17"/>
        <v>438</v>
      </c>
      <c r="Q80" s="30">
        <f t="shared" si="17"/>
        <v>438</v>
      </c>
      <c r="R80" s="30">
        <f t="shared" si="17"/>
        <v>438</v>
      </c>
      <c r="S80" s="30">
        <f t="shared" si="17"/>
        <v>438</v>
      </c>
      <c r="T80" s="30">
        <f t="shared" si="17"/>
        <v>876</v>
      </c>
      <c r="U80" s="30">
        <f t="shared" si="17"/>
        <v>876</v>
      </c>
      <c r="V80" s="30">
        <f t="shared" si="17"/>
        <v>876</v>
      </c>
      <c r="W80" s="30">
        <f t="shared" si="17"/>
        <v>876</v>
      </c>
      <c r="X80" s="30">
        <f t="shared" si="17"/>
        <v>876</v>
      </c>
      <c r="Y80" s="30">
        <f t="shared" si="17"/>
        <v>876</v>
      </c>
      <c r="Z80" s="30">
        <f t="shared" si="17"/>
        <v>876</v>
      </c>
    </row>
    <row r="81" spans="3:26" x14ac:dyDescent="0.25">
      <c r="C81" t="s">
        <v>108</v>
      </c>
      <c r="D81">
        <f>D80*$D$28</f>
        <v>3066</v>
      </c>
      <c r="E81">
        <f t="shared" ref="E81:Z81" si="18">E80*$D$28</f>
        <v>3066</v>
      </c>
      <c r="F81">
        <f t="shared" si="18"/>
        <v>3066</v>
      </c>
      <c r="G81">
        <f t="shared" si="18"/>
        <v>3066</v>
      </c>
      <c r="H81">
        <f t="shared" si="18"/>
        <v>3066</v>
      </c>
      <c r="I81">
        <f t="shared" si="18"/>
        <v>3066</v>
      </c>
      <c r="J81">
        <f t="shared" si="18"/>
        <v>3066</v>
      </c>
      <c r="K81">
        <f t="shared" si="18"/>
        <v>3066</v>
      </c>
      <c r="L81">
        <f t="shared" si="18"/>
        <v>3066</v>
      </c>
      <c r="M81">
        <f t="shared" si="18"/>
        <v>3066</v>
      </c>
      <c r="N81">
        <f t="shared" si="18"/>
        <v>3066</v>
      </c>
      <c r="O81">
        <f t="shared" si="18"/>
        <v>3066</v>
      </c>
      <c r="P81">
        <f t="shared" si="18"/>
        <v>3066</v>
      </c>
      <c r="Q81">
        <f t="shared" si="18"/>
        <v>3066</v>
      </c>
      <c r="R81">
        <f t="shared" si="18"/>
        <v>3066</v>
      </c>
      <c r="S81">
        <f t="shared" si="18"/>
        <v>3066</v>
      </c>
      <c r="T81">
        <f t="shared" si="18"/>
        <v>6132</v>
      </c>
      <c r="U81">
        <f t="shared" si="18"/>
        <v>6132</v>
      </c>
      <c r="V81">
        <f t="shared" si="18"/>
        <v>6132</v>
      </c>
      <c r="W81">
        <f t="shared" si="18"/>
        <v>6132</v>
      </c>
      <c r="X81">
        <f t="shared" si="18"/>
        <v>6132</v>
      </c>
      <c r="Y81">
        <f t="shared" si="18"/>
        <v>6132</v>
      </c>
      <c r="Z81">
        <f t="shared" si="18"/>
        <v>6132</v>
      </c>
    </row>
    <row r="82" spans="3:26" x14ac:dyDescent="0.25">
      <c r="C82" t="s">
        <v>109</v>
      </c>
      <c r="D82">
        <f>D81/(1+$D$29)^(D63-2019)</f>
        <v>3066</v>
      </c>
      <c r="E82">
        <f t="shared" ref="E82:Z82" si="19">E81/(1+$D$29)^(E63-2019)</f>
        <v>2976.6990291262136</v>
      </c>
      <c r="F82">
        <f t="shared" si="19"/>
        <v>2889.9990574040912</v>
      </c>
      <c r="G82">
        <f t="shared" si="19"/>
        <v>2805.8243275767873</v>
      </c>
      <c r="H82">
        <f t="shared" si="19"/>
        <v>2724.1012889095023</v>
      </c>
      <c r="I82">
        <f t="shared" si="19"/>
        <v>2644.7585329218473</v>
      </c>
      <c r="J82">
        <f t="shared" si="19"/>
        <v>2567.7267309920844</v>
      </c>
      <c r="K82">
        <f t="shared" si="19"/>
        <v>2492.9385737787225</v>
      </c>
      <c r="L82">
        <f t="shared" si="19"/>
        <v>2420.3287124065273</v>
      </c>
      <c r="M82">
        <f t="shared" si="19"/>
        <v>2349.83370136556</v>
      </c>
      <c r="N82">
        <f t="shared" si="19"/>
        <v>2281.3919430733595</v>
      </c>
      <c r="O82">
        <f t="shared" si="19"/>
        <v>2214.943634051805</v>
      </c>
      <c r="P82">
        <f t="shared" si="19"/>
        <v>2150.4307126716558</v>
      </c>
      <c r="Q82">
        <f t="shared" si="19"/>
        <v>2087.7968084190834</v>
      </c>
      <c r="R82">
        <f t="shared" si="19"/>
        <v>2026.9871926398866</v>
      </c>
      <c r="S82">
        <f t="shared" si="19"/>
        <v>1967.9487307183365</v>
      </c>
      <c r="T82">
        <f t="shared" si="19"/>
        <v>3821.2596712977411</v>
      </c>
      <c r="U82">
        <f t="shared" si="19"/>
        <v>3709.9608459201372</v>
      </c>
      <c r="V82">
        <f t="shared" si="19"/>
        <v>3601.9037339030456</v>
      </c>
      <c r="W82">
        <f t="shared" si="19"/>
        <v>3496.9939164107241</v>
      </c>
      <c r="X82">
        <f t="shared" si="19"/>
        <v>3395.139724670606</v>
      </c>
      <c r="Y82">
        <f t="shared" si="19"/>
        <v>3296.2521598743751</v>
      </c>
      <c r="Z82">
        <f t="shared" si="19"/>
        <v>3200.2448154120143</v>
      </c>
    </row>
    <row r="83" spans="3:26" x14ac:dyDescent="0.25">
      <c r="C83" t="s">
        <v>110</v>
      </c>
      <c r="D83" s="1">
        <f>SUM(D82:K82)</f>
        <v>22168.047540709253</v>
      </c>
      <c r="E83" s="1">
        <f t="shared" ref="E83:O83" si="20">SUM(E82:L82)</f>
        <v>21522.376253115777</v>
      </c>
      <c r="F83" s="1">
        <f t="shared" si="20"/>
        <v>20895.51092535512</v>
      </c>
      <c r="G83" s="1">
        <f t="shared" si="20"/>
        <v>20286.903811024393</v>
      </c>
      <c r="H83" s="1">
        <f t="shared" si="20"/>
        <v>19696.023117499408</v>
      </c>
      <c r="I83" s="1">
        <f t="shared" si="20"/>
        <v>19122.35254126156</v>
      </c>
      <c r="J83" s="1">
        <f t="shared" si="20"/>
        <v>18565.390816758798</v>
      </c>
      <c r="K83" s="1">
        <f t="shared" si="20"/>
        <v>18024.6512784066</v>
      </c>
      <c r="L83" s="1">
        <f t="shared" si="20"/>
        <v>17499.661435346214</v>
      </c>
      <c r="M83" s="1">
        <f t="shared" si="20"/>
        <v>18900.592394237428</v>
      </c>
      <c r="N83" s="1">
        <f t="shared" si="20"/>
        <v>20260.719538792004</v>
      </c>
      <c r="O83" s="1">
        <f t="shared" si="20"/>
        <v>21581.231329621696</v>
      </c>
    </row>
    <row r="85" spans="3:26" x14ac:dyDescent="0.25">
      <c r="D85">
        <v>4000</v>
      </c>
      <c r="E85">
        <v>4000</v>
      </c>
      <c r="F85">
        <v>4000</v>
      </c>
      <c r="G85">
        <v>4000</v>
      </c>
      <c r="H85">
        <v>4000</v>
      </c>
      <c r="I85">
        <v>4000</v>
      </c>
      <c r="J85">
        <v>4000</v>
      </c>
      <c r="K85">
        <v>4000</v>
      </c>
      <c r="L85">
        <v>4000</v>
      </c>
      <c r="M85">
        <v>4000</v>
      </c>
      <c r="N85">
        <v>4000</v>
      </c>
      <c r="O85">
        <v>4000</v>
      </c>
      <c r="P85">
        <v>4000</v>
      </c>
      <c r="Q85">
        <v>4000</v>
      </c>
      <c r="R85">
        <v>4000</v>
      </c>
      <c r="S85">
        <v>4000</v>
      </c>
      <c r="T85">
        <v>4000</v>
      </c>
      <c r="U85">
        <v>4000</v>
      </c>
      <c r="V85">
        <v>4000</v>
      </c>
      <c r="W85">
        <v>4000</v>
      </c>
      <c r="X85">
        <v>4000</v>
      </c>
      <c r="Y85">
        <v>4000</v>
      </c>
      <c r="Z85">
        <v>4000</v>
      </c>
    </row>
    <row r="86" spans="3:26" x14ac:dyDescent="0.25">
      <c r="D86">
        <f>D85/1.03^(D63-2019)</f>
        <v>4000</v>
      </c>
      <c r="E86">
        <f t="shared" ref="E86:Z86" si="21">E85/1.03^(E63-2019)</f>
        <v>3883.4951456310678</v>
      </c>
      <c r="F86">
        <f t="shared" si="21"/>
        <v>3770.3836365350176</v>
      </c>
      <c r="G86">
        <f t="shared" si="21"/>
        <v>3660.5666374126381</v>
      </c>
      <c r="H86">
        <f t="shared" si="21"/>
        <v>3553.948191662756</v>
      </c>
      <c r="I86">
        <f t="shared" si="21"/>
        <v>3450.4351375366564</v>
      </c>
      <c r="J86">
        <f t="shared" si="21"/>
        <v>3349.9370267346176</v>
      </c>
      <c r="K86">
        <f t="shared" si="21"/>
        <v>3252.3660453734151</v>
      </c>
      <c r="L86">
        <f t="shared" si="21"/>
        <v>3157.6369372557433</v>
      </c>
      <c r="M86">
        <f t="shared" si="21"/>
        <v>3065.6669293745076</v>
      </c>
      <c r="N86">
        <f t="shared" si="21"/>
        <v>2976.3756595869008</v>
      </c>
      <c r="O86">
        <f t="shared" si="21"/>
        <v>2889.6851063950494</v>
      </c>
      <c r="P86">
        <f t="shared" si="21"/>
        <v>2805.519520771893</v>
      </c>
      <c r="Q86">
        <f t="shared" si="21"/>
        <v>2723.8053599727118</v>
      </c>
      <c r="R86">
        <f t="shared" si="21"/>
        <v>2644.4712232744769</v>
      </c>
      <c r="S86">
        <f t="shared" si="21"/>
        <v>2567.4477895868708</v>
      </c>
      <c r="T86">
        <f t="shared" si="21"/>
        <v>2492.6677568804575</v>
      </c>
      <c r="U86">
        <f t="shared" si="21"/>
        <v>2420.0657833790851</v>
      </c>
      <c r="V86">
        <f t="shared" si="21"/>
        <v>2349.5784304651311</v>
      </c>
      <c r="W86">
        <f t="shared" si="21"/>
        <v>2281.1441072477</v>
      </c>
      <c r="X86">
        <f t="shared" si="21"/>
        <v>2214.7030167453399</v>
      </c>
      <c r="Y86">
        <f t="shared" si="21"/>
        <v>2150.1971036362525</v>
      </c>
      <c r="Z86">
        <f t="shared" si="21"/>
        <v>2087.5700035303421</v>
      </c>
    </row>
    <row r="87" spans="3:26" x14ac:dyDescent="0.25">
      <c r="D87">
        <f>SUM(D86:K86)</f>
        <v>28921.13182088617</v>
      </c>
      <c r="E87">
        <f t="shared" ref="E87:O87" si="22">SUM(E86:L86)</f>
        <v>28078.768758141909</v>
      </c>
      <c r="F87">
        <f t="shared" si="22"/>
        <v>27260.940541885349</v>
      </c>
      <c r="G87">
        <f t="shared" si="22"/>
        <v>26466.932564937233</v>
      </c>
      <c r="H87">
        <f t="shared" si="22"/>
        <v>25696.051033919644</v>
      </c>
      <c r="I87">
        <f t="shared" si="22"/>
        <v>24947.622363028782</v>
      </c>
      <c r="J87">
        <f t="shared" si="22"/>
        <v>24220.992585464839</v>
      </c>
      <c r="K87">
        <f t="shared" si="22"/>
        <v>23515.526782004701</v>
      </c>
      <c r="L87">
        <f t="shared" si="22"/>
        <v>22830.608526218151</v>
      </c>
      <c r="M87">
        <f t="shared" si="22"/>
        <v>22165.639345842868</v>
      </c>
      <c r="N87">
        <f t="shared" si="22"/>
        <v>21520.038199847448</v>
      </c>
      <c r="O87">
        <f t="shared" si="22"/>
        <v>20893.240970725677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7"/>
  <sheetViews>
    <sheetView topLeftCell="C4" zoomScale="98" zoomScaleNormal="98" workbookViewId="0">
      <selection activeCell="E9" sqref="E9:O9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364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103">
        <v>93964.144423876074</v>
      </c>
    </row>
    <row r="7" spans="3:15" x14ac:dyDescent="0.25">
      <c r="C7" s="102" t="s">
        <v>24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104">
        <v>9396.4144423876078</v>
      </c>
    </row>
    <row r="8" spans="3:15" x14ac:dyDescent="0.25">
      <c r="C8" s="102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5">
        <v>103360.55886626369</v>
      </c>
    </row>
    <row r="9" spans="3:15" x14ac:dyDescent="0.25">
      <c r="C9" s="102" t="s">
        <v>84</v>
      </c>
      <c r="D9" s="79">
        <v>30</v>
      </c>
      <c r="E9" s="80">
        <v>30</v>
      </c>
      <c r="F9" s="80">
        <v>30</v>
      </c>
      <c r="G9" s="90">
        <v>30</v>
      </c>
      <c r="H9" s="81">
        <v>30</v>
      </c>
      <c r="I9" s="81">
        <v>30</v>
      </c>
      <c r="J9" s="81">
        <v>30</v>
      </c>
      <c r="K9" s="82">
        <v>30</v>
      </c>
      <c r="L9" s="82">
        <v>30</v>
      </c>
      <c r="M9" s="82">
        <v>30</v>
      </c>
      <c r="N9" s="82">
        <v>30</v>
      </c>
      <c r="O9" s="105">
        <v>30</v>
      </c>
    </row>
    <row r="10" spans="3:15" x14ac:dyDescent="0.25">
      <c r="C10" s="102" t="s">
        <v>94</v>
      </c>
      <c r="D10" s="79">
        <v>8</v>
      </c>
      <c r="E10" s="80">
        <v>8</v>
      </c>
      <c r="F10" s="80">
        <v>8</v>
      </c>
      <c r="G10" s="9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5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8867.2190162837032</v>
      </c>
      <c r="E14" s="90">
        <v>8608.9505012463123</v>
      </c>
      <c r="F14" s="90">
        <v>8358.2043701420516</v>
      </c>
      <c r="G14" s="90">
        <v>8114.7615244097597</v>
      </c>
      <c r="H14" s="94">
        <v>7878.4092469997668</v>
      </c>
      <c r="I14" s="94">
        <v>7648.9410165046274</v>
      </c>
      <c r="J14" s="94">
        <v>7426.1563267035217</v>
      </c>
      <c r="K14" s="95">
        <v>7209.8605113626427</v>
      </c>
      <c r="L14" s="95">
        <v>6999.864574138488</v>
      </c>
      <c r="M14" s="95">
        <v>6795.9850234354253</v>
      </c>
      <c r="N14" s="95">
        <v>6598.0437120732286</v>
      </c>
      <c r="O14" s="95">
        <v>6405.8676816244933</v>
      </c>
    </row>
    <row r="15" spans="3:15" x14ac:dyDescent="0.25">
      <c r="C15" s="102" t="s">
        <v>89</v>
      </c>
      <c r="D15" s="79">
        <f>4*300+4*100</f>
        <v>1600</v>
      </c>
      <c r="E15" s="90">
        <f>D15*(1-$D$13)</f>
        <v>1552</v>
      </c>
      <c r="F15" s="90">
        <f t="shared" ref="F15:O15" si="0">E15*(1-$D$13)</f>
        <v>1505.44</v>
      </c>
      <c r="G15" s="90">
        <f t="shared" si="0"/>
        <v>1460.2768000000001</v>
      </c>
      <c r="H15" s="94">
        <f t="shared" si="0"/>
        <v>1416.468496</v>
      </c>
      <c r="I15" s="94">
        <f t="shared" si="0"/>
        <v>1373.9744411199999</v>
      </c>
      <c r="J15" s="94">
        <f t="shared" si="0"/>
        <v>1332.7552078863998</v>
      </c>
      <c r="K15" s="95">
        <f t="shared" si="0"/>
        <v>1292.7725516498078</v>
      </c>
      <c r="L15" s="95">
        <f t="shared" si="0"/>
        <v>1253.9893751003135</v>
      </c>
      <c r="M15" s="95">
        <f t="shared" si="0"/>
        <v>1216.369693847304</v>
      </c>
      <c r="N15" s="95">
        <f t="shared" si="0"/>
        <v>1179.8786030318849</v>
      </c>
      <c r="O15" s="95">
        <f t="shared" si="0"/>
        <v>1144.4822449409285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95">
        <f t="shared" si="1"/>
        <v>14094.621663581411</v>
      </c>
    </row>
    <row r="19" spans="3:15" x14ac:dyDescent="0.25">
      <c r="C19" s="160" t="s">
        <v>93</v>
      </c>
      <c r="D19" s="161">
        <f>D8+D14+D15+D16+D17-D18</f>
        <v>177680.21350151411</v>
      </c>
      <c r="E19" s="158">
        <f t="shared" ref="E19:O19" si="2">E8+E14+E15+E16+E17-E18</f>
        <v>168373.00469402666</v>
      </c>
      <c r="F19" s="158">
        <f t="shared" si="2"/>
        <v>174096.55767489105</v>
      </c>
      <c r="G19" s="158">
        <f t="shared" si="2"/>
        <v>165589.57505393948</v>
      </c>
      <c r="H19" s="159">
        <f t="shared" si="2"/>
        <v>157833.38062668563</v>
      </c>
      <c r="I19" s="159">
        <f t="shared" si="2"/>
        <v>147739.32145527302</v>
      </c>
      <c r="J19" s="159">
        <f t="shared" si="2"/>
        <v>138345.6574373864</v>
      </c>
      <c r="K19" s="162">
        <f t="shared" si="2"/>
        <v>129590.79857226921</v>
      </c>
      <c r="L19" s="162">
        <f t="shared" si="2"/>
        <v>121419.06767889915</v>
      </c>
      <c r="M19" s="162">
        <f t="shared" si="2"/>
        <v>113780.11628665517</v>
      </c>
      <c r="N19" s="162">
        <f t="shared" si="2"/>
        <v>106628.39872793575</v>
      </c>
      <c r="O19" s="162">
        <f t="shared" si="2"/>
        <v>99922.69861862238</v>
      </c>
    </row>
    <row r="20" spans="3:15" x14ac:dyDescent="0.25">
      <c r="C20" s="131" t="s">
        <v>374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140427.77777777778</v>
      </c>
      <c r="E22" s="87">
        <v>140887.77777777778</v>
      </c>
      <c r="F22" s="87">
        <v>141356.97777777779</v>
      </c>
      <c r="G22" s="87">
        <v>141835.5617777778</v>
      </c>
      <c r="H22" s="88">
        <v>142323.71745777782</v>
      </c>
      <c r="I22" s="88">
        <v>142821.63625137781</v>
      </c>
      <c r="J22" s="88">
        <v>143329.51342084981</v>
      </c>
      <c r="K22" s="89">
        <v>143847.54813371127</v>
      </c>
      <c r="L22" s="89">
        <v>144375.94354082993</v>
      </c>
      <c r="M22" s="89">
        <v>144914.90685609097</v>
      </c>
      <c r="N22" s="89">
        <v>145464.64943765724</v>
      </c>
      <c r="O22" s="107">
        <v>146025.38687085483</v>
      </c>
    </row>
    <row r="23" spans="3:15" x14ac:dyDescent="0.25">
      <c r="C23" s="102" t="s">
        <v>24</v>
      </c>
      <c r="D23" s="117">
        <v>14042.777777777779</v>
      </c>
      <c r="E23" s="76">
        <v>14088.777777777779</v>
      </c>
      <c r="F23" s="76">
        <v>14135.697777777779</v>
      </c>
      <c r="G23" s="76">
        <v>14183.55617777778</v>
      </c>
      <c r="H23" s="77">
        <v>14232.371745777782</v>
      </c>
      <c r="I23" s="77">
        <v>14282.163625137782</v>
      </c>
      <c r="J23" s="77">
        <v>14332.951342084982</v>
      </c>
      <c r="K23" s="78">
        <v>14384.754813371128</v>
      </c>
      <c r="L23" s="78">
        <v>14437.594354082994</v>
      </c>
      <c r="M23" s="78">
        <v>14491.490685609097</v>
      </c>
      <c r="N23" s="78">
        <v>14546.464943765724</v>
      </c>
      <c r="O23" s="104">
        <v>14602.538687085484</v>
      </c>
    </row>
    <row r="24" spans="3:15" x14ac:dyDescent="0.25">
      <c r="C24" s="102" t="s">
        <v>48</v>
      </c>
      <c r="D24" s="93">
        <v>154470.55555555556</v>
      </c>
      <c r="E24" s="71">
        <v>154976.55555555556</v>
      </c>
      <c r="F24" s="71">
        <v>155492.67555555556</v>
      </c>
      <c r="G24" s="80">
        <v>156019.11795555559</v>
      </c>
      <c r="H24" s="72">
        <v>156556.0892035556</v>
      </c>
      <c r="I24" s="72">
        <v>157103.79987651561</v>
      </c>
      <c r="J24" s="72">
        <v>157662.46476293477</v>
      </c>
      <c r="K24" s="73">
        <v>158232.30294708241</v>
      </c>
      <c r="L24" s="73">
        <v>158813.53789491294</v>
      </c>
      <c r="M24" s="73">
        <v>159406.39754170005</v>
      </c>
      <c r="N24" s="73">
        <v>160011.11438142296</v>
      </c>
      <c r="O24" s="103">
        <v>160627.9255579403</v>
      </c>
    </row>
    <row r="25" spans="3:15" x14ac:dyDescent="0.25">
      <c r="C25" s="102" t="s">
        <v>84</v>
      </c>
      <c r="D25" s="79">
        <v>30</v>
      </c>
      <c r="E25" s="79">
        <v>30</v>
      </c>
      <c r="F25" s="79">
        <v>30</v>
      </c>
      <c r="G25" s="79">
        <v>30</v>
      </c>
      <c r="H25" s="79">
        <v>30</v>
      </c>
      <c r="I25" s="79">
        <v>30</v>
      </c>
      <c r="J25" s="79">
        <v>30</v>
      </c>
      <c r="K25" s="79">
        <v>30</v>
      </c>
      <c r="L25" s="79">
        <v>30</v>
      </c>
      <c r="M25" s="79">
        <v>30</v>
      </c>
      <c r="N25" s="79">
        <v>30</v>
      </c>
      <c r="O25" s="79">
        <v>30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6</v>
      </c>
      <c r="E27" s="76">
        <v>6</v>
      </c>
      <c r="F27" s="76">
        <v>6</v>
      </c>
      <c r="G27" s="76">
        <v>6</v>
      </c>
      <c r="H27" s="77">
        <v>6</v>
      </c>
      <c r="I27" s="77">
        <v>6</v>
      </c>
      <c r="J27" s="77">
        <v>6</v>
      </c>
      <c r="K27" s="78">
        <v>6</v>
      </c>
      <c r="L27" s="78">
        <v>6</v>
      </c>
      <c r="M27" s="78">
        <v>6</v>
      </c>
      <c r="N27" s="78">
        <v>6</v>
      </c>
      <c r="O27" s="104">
        <v>6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33252.071311063868</v>
      </c>
      <c r="E30" s="71">
        <v>32283.564379673662</v>
      </c>
      <c r="F30" s="71">
        <v>31343.266388032684</v>
      </c>
      <c r="G30" s="80">
        <v>30430.355716536582</v>
      </c>
      <c r="H30" s="72">
        <v>29544.03467624911</v>
      </c>
      <c r="I30" s="72">
        <v>28683.528811892342</v>
      </c>
      <c r="J30" s="72">
        <v>27848.086225138199</v>
      </c>
      <c r="K30" s="73">
        <v>27036.9769176099</v>
      </c>
      <c r="L30" s="73">
        <v>26249.492153019328</v>
      </c>
      <c r="M30" s="73">
        <v>25484.943837882838</v>
      </c>
      <c r="N30" s="73">
        <v>24742.663920274597</v>
      </c>
      <c r="O30" s="103">
        <v>24022.003806091845</v>
      </c>
    </row>
    <row r="31" spans="3:15" x14ac:dyDescent="0.25">
      <c r="C31" s="102" t="s">
        <v>89</v>
      </c>
      <c r="D31" s="70">
        <f>9*600+8*1200</f>
        <v>15000</v>
      </c>
      <c r="E31" s="71">
        <f>D31*(1-$D$29)</f>
        <v>14550</v>
      </c>
      <c r="F31" s="71">
        <f t="shared" ref="F31:O31" si="3">E31*(1-$D$29)</f>
        <v>14113.5</v>
      </c>
      <c r="G31" s="80">
        <f t="shared" si="3"/>
        <v>13690.094999999999</v>
      </c>
      <c r="H31" s="72">
        <f t="shared" si="3"/>
        <v>13279.39215</v>
      </c>
      <c r="I31" s="72">
        <f t="shared" si="3"/>
        <v>12881.0103855</v>
      </c>
      <c r="J31" s="72">
        <f t="shared" si="3"/>
        <v>12494.580073935</v>
      </c>
      <c r="K31" s="73">
        <f t="shared" si="3"/>
        <v>12119.742671716949</v>
      </c>
      <c r="L31" s="73">
        <f t="shared" si="3"/>
        <v>11756.150391565441</v>
      </c>
      <c r="M31" s="73">
        <f t="shared" si="3"/>
        <v>11403.465879818477</v>
      </c>
      <c r="N31" s="73">
        <f t="shared" si="3"/>
        <v>11061.361903423922</v>
      </c>
      <c r="O31" s="103">
        <f t="shared" si="3"/>
        <v>10729.521046321204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26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26" x14ac:dyDescent="0.25">
      <c r="C34" s="102" t="s">
        <v>87</v>
      </c>
      <c r="D34" s="79">
        <f>0.35*D22</f>
        <v>49149.722222222219</v>
      </c>
      <c r="E34" s="71">
        <f t="shared" ref="E34:O34" si="5">0.35*E22</f>
        <v>49310.722222222219</v>
      </c>
      <c r="F34" s="71">
        <f t="shared" si="5"/>
        <v>49474.942222222227</v>
      </c>
      <c r="G34" s="80">
        <f t="shared" si="5"/>
        <v>49642.446622222225</v>
      </c>
      <c r="H34" s="72">
        <f t="shared" si="5"/>
        <v>49813.301110222237</v>
      </c>
      <c r="I34" s="72">
        <f t="shared" si="5"/>
        <v>49987.572687982232</v>
      </c>
      <c r="J34" s="72">
        <f t="shared" si="5"/>
        <v>50165.329697297428</v>
      </c>
      <c r="K34" s="73">
        <f t="shared" si="5"/>
        <v>50346.641846798942</v>
      </c>
      <c r="L34" s="73">
        <f t="shared" si="5"/>
        <v>50531.580239290473</v>
      </c>
      <c r="M34" s="73">
        <f t="shared" si="5"/>
        <v>50720.217399631838</v>
      </c>
      <c r="N34" s="73">
        <f t="shared" si="5"/>
        <v>50912.62730318003</v>
      </c>
      <c r="O34" s="103">
        <f t="shared" si="5"/>
        <v>51108.885404799184</v>
      </c>
    </row>
    <row r="35" spans="3:26" x14ac:dyDescent="0.25">
      <c r="C35" s="160" t="s">
        <v>93</v>
      </c>
      <c r="D35" s="163">
        <f>D24+D30+D31+D32-D34</f>
        <v>182494.03646528337</v>
      </c>
      <c r="E35" s="164">
        <f t="shared" ref="E35:O35" si="6">E24+E30+E31+E32-E34</f>
        <v>180578.1664711489</v>
      </c>
      <c r="F35" s="164">
        <f t="shared" si="6"/>
        <v>178735.44026325137</v>
      </c>
      <c r="G35" s="165">
        <f t="shared" si="6"/>
        <v>176964.05461480716</v>
      </c>
      <c r="H35" s="166">
        <f t="shared" si="6"/>
        <v>175262.26595350212</v>
      </c>
      <c r="I35" s="166">
        <f t="shared" si="6"/>
        <v>170822.86922818262</v>
      </c>
      <c r="J35" s="166">
        <f t="shared" si="6"/>
        <v>166531.46906943078</v>
      </c>
      <c r="K35" s="167">
        <f t="shared" si="6"/>
        <v>162384.11136759594</v>
      </c>
      <c r="L35" s="167">
        <f t="shared" si="6"/>
        <v>158376.96483281942</v>
      </c>
      <c r="M35" s="167">
        <f t="shared" si="6"/>
        <v>154506.31755512601</v>
      </c>
      <c r="N35" s="167">
        <f t="shared" si="6"/>
        <v>150768.57366792337</v>
      </c>
      <c r="O35" s="168">
        <f t="shared" si="6"/>
        <v>147160.25011194919</v>
      </c>
    </row>
    <row r="36" spans="3:26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3:26" x14ac:dyDescent="0.25">
      <c r="C37" t="s">
        <v>343</v>
      </c>
      <c r="D37" s="30">
        <f>D19-D35</f>
        <v>-4813.8229637692566</v>
      </c>
      <c r="E37" s="30">
        <f t="shared" ref="E37:O37" si="7">E19-E35</f>
        <v>-12205.161777122237</v>
      </c>
      <c r="F37" s="30">
        <f t="shared" si="7"/>
        <v>-4638.8825883603131</v>
      </c>
      <c r="G37" s="30">
        <f t="shared" si="7"/>
        <v>-11374.47956086768</v>
      </c>
      <c r="H37" s="30">
        <f t="shared" si="7"/>
        <v>-17428.885326816497</v>
      </c>
      <c r="I37" s="30">
        <f t="shared" si="7"/>
        <v>-23083.547772909602</v>
      </c>
      <c r="J37" s="30">
        <f t="shared" si="7"/>
        <v>-28185.811632044381</v>
      </c>
      <c r="K37" s="30">
        <f t="shared" si="7"/>
        <v>-32793.312795326725</v>
      </c>
      <c r="L37" s="30">
        <f t="shared" si="7"/>
        <v>-36957.897153920261</v>
      </c>
      <c r="M37" s="30">
        <f t="shared" si="7"/>
        <v>-40726.201268470832</v>
      </c>
      <c r="N37" s="30">
        <f t="shared" si="7"/>
        <v>-44140.174939987613</v>
      </c>
      <c r="O37" s="30">
        <f t="shared" si="7"/>
        <v>-47237.551493326813</v>
      </c>
    </row>
    <row r="47" spans="3:26" x14ac:dyDescent="0.25">
      <c r="D47">
        <v>2019</v>
      </c>
      <c r="E47">
        <v>2020</v>
      </c>
      <c r="F47">
        <v>2021</v>
      </c>
      <c r="G47">
        <v>2022</v>
      </c>
      <c r="H47">
        <v>2023</v>
      </c>
      <c r="I47">
        <v>2024</v>
      </c>
      <c r="J47">
        <v>2025</v>
      </c>
      <c r="K47">
        <v>2026</v>
      </c>
      <c r="L47">
        <v>2027</v>
      </c>
      <c r="M47">
        <v>2028</v>
      </c>
      <c r="N47">
        <v>2029</v>
      </c>
      <c r="O47">
        <v>2030</v>
      </c>
      <c r="P47">
        <v>2031</v>
      </c>
      <c r="Q47">
        <v>2032</v>
      </c>
      <c r="R47">
        <v>2033</v>
      </c>
      <c r="S47">
        <v>2034</v>
      </c>
      <c r="T47">
        <v>2035</v>
      </c>
      <c r="U47">
        <v>2036</v>
      </c>
      <c r="V47">
        <v>2037</v>
      </c>
      <c r="W47">
        <v>2038</v>
      </c>
      <c r="X47">
        <v>2039</v>
      </c>
      <c r="Y47">
        <v>2040</v>
      </c>
      <c r="Z47">
        <v>2041</v>
      </c>
    </row>
    <row r="48" spans="3:26" x14ac:dyDescent="0.25">
      <c r="C48" t="s">
        <v>98</v>
      </c>
      <c r="D48">
        <f>30*365</f>
        <v>10950</v>
      </c>
      <c r="E48">
        <f t="shared" ref="E48:Z48" si="8">30*365</f>
        <v>10950</v>
      </c>
      <c r="F48">
        <f t="shared" si="8"/>
        <v>10950</v>
      </c>
      <c r="G48">
        <f t="shared" si="8"/>
        <v>10950</v>
      </c>
      <c r="H48">
        <f t="shared" si="8"/>
        <v>10950</v>
      </c>
      <c r="I48">
        <f t="shared" si="8"/>
        <v>10950</v>
      </c>
      <c r="J48">
        <f t="shared" si="8"/>
        <v>10950</v>
      </c>
      <c r="K48">
        <f t="shared" si="8"/>
        <v>10950</v>
      </c>
      <c r="L48">
        <f t="shared" si="8"/>
        <v>10950</v>
      </c>
      <c r="M48">
        <f t="shared" si="8"/>
        <v>10950</v>
      </c>
      <c r="N48">
        <f t="shared" si="8"/>
        <v>10950</v>
      </c>
      <c r="O48">
        <f t="shared" si="8"/>
        <v>10950</v>
      </c>
      <c r="P48">
        <f t="shared" si="8"/>
        <v>10950</v>
      </c>
      <c r="Q48">
        <f t="shared" si="8"/>
        <v>10950</v>
      </c>
      <c r="R48">
        <f t="shared" si="8"/>
        <v>10950</v>
      </c>
      <c r="S48">
        <f t="shared" si="8"/>
        <v>10950</v>
      </c>
      <c r="T48">
        <f t="shared" si="8"/>
        <v>10950</v>
      </c>
      <c r="U48">
        <f t="shared" si="8"/>
        <v>10950</v>
      </c>
      <c r="V48">
        <f t="shared" si="8"/>
        <v>10950</v>
      </c>
      <c r="W48">
        <f t="shared" si="8"/>
        <v>10950</v>
      </c>
      <c r="X48">
        <f t="shared" si="8"/>
        <v>10950</v>
      </c>
      <c r="Y48">
        <f t="shared" si="8"/>
        <v>10950</v>
      </c>
      <c r="Z48">
        <f t="shared" si="8"/>
        <v>10950</v>
      </c>
    </row>
    <row r="49" spans="3:26" x14ac:dyDescent="0.25">
      <c r="C49" t="s">
        <v>99</v>
      </c>
      <c r="D49" s="30">
        <f>($D$11/100)*D48</f>
        <v>1533.0000000000002</v>
      </c>
      <c r="E49" s="30">
        <f t="shared" ref="E49:Z49" si="9">($D$11/100)*E48</f>
        <v>1533.0000000000002</v>
      </c>
      <c r="F49" s="30">
        <f t="shared" si="9"/>
        <v>1533.0000000000002</v>
      </c>
      <c r="G49" s="30">
        <f t="shared" si="9"/>
        <v>1533.0000000000002</v>
      </c>
      <c r="H49" s="30">
        <f t="shared" si="9"/>
        <v>1533.0000000000002</v>
      </c>
      <c r="I49" s="30">
        <f t="shared" si="9"/>
        <v>1533.0000000000002</v>
      </c>
      <c r="J49" s="30">
        <f t="shared" si="9"/>
        <v>1533.0000000000002</v>
      </c>
      <c r="K49" s="30">
        <f t="shared" si="9"/>
        <v>1533.0000000000002</v>
      </c>
      <c r="L49" s="30">
        <f t="shared" si="9"/>
        <v>1533.0000000000002</v>
      </c>
      <c r="M49" s="30">
        <f t="shared" si="9"/>
        <v>1533.0000000000002</v>
      </c>
      <c r="N49" s="30">
        <f t="shared" si="9"/>
        <v>1533.0000000000002</v>
      </c>
      <c r="O49" s="30">
        <f t="shared" si="9"/>
        <v>1533.0000000000002</v>
      </c>
      <c r="P49" s="30">
        <f t="shared" si="9"/>
        <v>1533.0000000000002</v>
      </c>
      <c r="Q49" s="30">
        <f t="shared" si="9"/>
        <v>1533.0000000000002</v>
      </c>
      <c r="R49" s="30">
        <f t="shared" si="9"/>
        <v>1533.0000000000002</v>
      </c>
      <c r="S49" s="30">
        <f t="shared" si="9"/>
        <v>1533.0000000000002</v>
      </c>
      <c r="T49" s="30">
        <f t="shared" si="9"/>
        <v>1533.0000000000002</v>
      </c>
      <c r="U49" s="30">
        <f t="shared" si="9"/>
        <v>1533.0000000000002</v>
      </c>
      <c r="V49" s="30">
        <f t="shared" si="9"/>
        <v>1533.0000000000002</v>
      </c>
      <c r="W49" s="30">
        <f t="shared" si="9"/>
        <v>1533.0000000000002</v>
      </c>
      <c r="X49" s="30">
        <f t="shared" si="9"/>
        <v>1533.0000000000002</v>
      </c>
      <c r="Y49" s="30">
        <f t="shared" si="9"/>
        <v>1533.0000000000002</v>
      </c>
      <c r="Z49" s="30">
        <f t="shared" si="9"/>
        <v>1533.0000000000002</v>
      </c>
    </row>
    <row r="50" spans="3:26" x14ac:dyDescent="0.25">
      <c r="C50" t="s">
        <v>101</v>
      </c>
      <c r="D50" s="1">
        <f>D49*$D$12</f>
        <v>1226.4000000000003</v>
      </c>
      <c r="E50" s="1">
        <f t="shared" ref="E50:Z50" si="10">E49*$D$12</f>
        <v>1226.4000000000003</v>
      </c>
      <c r="F50" s="1">
        <f t="shared" si="10"/>
        <v>1226.4000000000003</v>
      </c>
      <c r="G50" s="1">
        <f t="shared" si="10"/>
        <v>1226.4000000000003</v>
      </c>
      <c r="H50" s="1">
        <f t="shared" si="10"/>
        <v>1226.4000000000003</v>
      </c>
      <c r="I50" s="1">
        <f t="shared" si="10"/>
        <v>1226.4000000000003</v>
      </c>
      <c r="J50" s="1">
        <f t="shared" si="10"/>
        <v>1226.4000000000003</v>
      </c>
      <c r="K50" s="1">
        <f t="shared" si="10"/>
        <v>1226.4000000000003</v>
      </c>
      <c r="L50" s="1">
        <f t="shared" si="10"/>
        <v>1226.4000000000003</v>
      </c>
      <c r="M50" s="1">
        <f t="shared" si="10"/>
        <v>1226.4000000000003</v>
      </c>
      <c r="N50" s="1">
        <f t="shared" si="10"/>
        <v>1226.4000000000003</v>
      </c>
      <c r="O50" s="1">
        <f t="shared" si="10"/>
        <v>1226.4000000000003</v>
      </c>
      <c r="P50" s="1">
        <f t="shared" si="10"/>
        <v>1226.4000000000003</v>
      </c>
      <c r="Q50" s="1">
        <f t="shared" si="10"/>
        <v>1226.4000000000003</v>
      </c>
      <c r="R50" s="1">
        <f t="shared" si="10"/>
        <v>1226.4000000000003</v>
      </c>
      <c r="S50" s="1">
        <f t="shared" si="10"/>
        <v>1226.4000000000003</v>
      </c>
      <c r="T50" s="1">
        <f t="shared" si="10"/>
        <v>1226.4000000000003</v>
      </c>
      <c r="U50" s="1">
        <f t="shared" si="10"/>
        <v>1226.4000000000003</v>
      </c>
      <c r="V50" s="1">
        <f t="shared" si="10"/>
        <v>1226.4000000000003</v>
      </c>
      <c r="W50" s="1">
        <f t="shared" si="10"/>
        <v>1226.4000000000003</v>
      </c>
      <c r="X50" s="1">
        <f t="shared" si="10"/>
        <v>1226.4000000000003</v>
      </c>
      <c r="Y50" s="1">
        <f t="shared" si="10"/>
        <v>1226.4000000000003</v>
      </c>
      <c r="Z50" s="1">
        <f t="shared" si="10"/>
        <v>1226.4000000000003</v>
      </c>
    </row>
    <row r="51" spans="3:26" x14ac:dyDescent="0.25">
      <c r="C51" t="s">
        <v>100</v>
      </c>
      <c r="D51">
        <f>D50/(1+$D$13)^(D47-2019)</f>
        <v>1226.4000000000003</v>
      </c>
      <c r="E51">
        <f t="shared" ref="E51:Z51" si="11">E50/(1+$D$13)^(E47-2019)</f>
        <v>1190.6796116504856</v>
      </c>
      <c r="F51">
        <f t="shared" si="11"/>
        <v>1155.9996229616368</v>
      </c>
      <c r="G51">
        <f t="shared" si="11"/>
        <v>1122.3297310307153</v>
      </c>
      <c r="H51">
        <f t="shared" si="11"/>
        <v>1089.6405155638013</v>
      </c>
      <c r="I51">
        <f t="shared" si="11"/>
        <v>1057.9034131687392</v>
      </c>
      <c r="J51">
        <f t="shared" si="11"/>
        <v>1027.0906923968341</v>
      </c>
      <c r="K51">
        <f t="shared" si="11"/>
        <v>997.17542951148926</v>
      </c>
      <c r="L51">
        <f t="shared" si="11"/>
        <v>968.13148496261113</v>
      </c>
      <c r="M51">
        <f t="shared" si="11"/>
        <v>939.93348054622436</v>
      </c>
      <c r="N51">
        <f t="shared" si="11"/>
        <v>912.55677722934399</v>
      </c>
      <c r="O51">
        <f t="shared" si="11"/>
        <v>885.97745362072226</v>
      </c>
      <c r="P51">
        <f t="shared" si="11"/>
        <v>860.17228506866252</v>
      </c>
      <c r="Q51">
        <f t="shared" si="11"/>
        <v>835.11872336763361</v>
      </c>
      <c r="R51">
        <f t="shared" si="11"/>
        <v>810.79487705595488</v>
      </c>
      <c r="S51">
        <f t="shared" si="11"/>
        <v>787.17949228733482</v>
      </c>
      <c r="T51">
        <f t="shared" si="11"/>
        <v>764.25193425954842</v>
      </c>
      <c r="U51">
        <f t="shared" si="11"/>
        <v>741.9921691840276</v>
      </c>
      <c r="V51">
        <f t="shared" si="11"/>
        <v>720.38074678060934</v>
      </c>
      <c r="W51">
        <f t="shared" si="11"/>
        <v>699.39878328214502</v>
      </c>
      <c r="X51">
        <f t="shared" si="11"/>
        <v>679.02794493412136</v>
      </c>
      <c r="Y51">
        <f t="shared" si="11"/>
        <v>659.25043197487526</v>
      </c>
      <c r="Z51">
        <f t="shared" si="11"/>
        <v>640.04896308240302</v>
      </c>
    </row>
    <row r="52" spans="3:26" x14ac:dyDescent="0.25">
      <c r="C52" t="s">
        <v>102</v>
      </c>
      <c r="D52">
        <f>SUM(D51:K51)</f>
        <v>8867.2190162837032</v>
      </c>
      <c r="E52">
        <f>SUM(E51:L51)</f>
        <v>8608.9505012463123</v>
      </c>
      <c r="F52">
        <f t="shared" ref="F52:O52" si="12">SUM(F51:M51)</f>
        <v>8358.2043701420516</v>
      </c>
      <c r="G52">
        <f t="shared" si="12"/>
        <v>8114.7615244097597</v>
      </c>
      <c r="H52">
        <f t="shared" si="12"/>
        <v>7878.4092469997668</v>
      </c>
      <c r="I52">
        <f t="shared" si="12"/>
        <v>7648.9410165046274</v>
      </c>
      <c r="J52">
        <f t="shared" si="12"/>
        <v>7426.1563267035217</v>
      </c>
      <c r="K52">
        <f t="shared" si="12"/>
        <v>7209.8605113626427</v>
      </c>
      <c r="L52">
        <f t="shared" si="12"/>
        <v>6999.864574138488</v>
      </c>
      <c r="M52">
        <f t="shared" si="12"/>
        <v>6795.9850234354253</v>
      </c>
      <c r="N52">
        <f t="shared" si="12"/>
        <v>6598.0437120732286</v>
      </c>
      <c r="O52">
        <f t="shared" si="12"/>
        <v>6405.8676816244933</v>
      </c>
    </row>
    <row r="54" spans="3:26" x14ac:dyDescent="0.25">
      <c r="C54" t="s">
        <v>103</v>
      </c>
      <c r="D54">
        <f>27*300+27*100</f>
        <v>10800</v>
      </c>
    </row>
    <row r="58" spans="3:26" x14ac:dyDescent="0.25">
      <c r="C58" t="s">
        <v>104</v>
      </c>
      <c r="D58">
        <v>4300</v>
      </c>
      <c r="E58">
        <v>4300</v>
      </c>
      <c r="F58">
        <v>4300</v>
      </c>
      <c r="G58">
        <v>4300</v>
      </c>
      <c r="H58">
        <v>4300</v>
      </c>
      <c r="I58">
        <v>4300</v>
      </c>
      <c r="J58">
        <v>4300</v>
      </c>
      <c r="K58">
        <v>4300</v>
      </c>
      <c r="L58">
        <v>4300</v>
      </c>
      <c r="M58">
        <v>4300</v>
      </c>
      <c r="N58">
        <v>4300</v>
      </c>
      <c r="O58">
        <v>4300</v>
      </c>
      <c r="P58">
        <v>4300</v>
      </c>
      <c r="Q58">
        <v>4300</v>
      </c>
      <c r="R58">
        <v>4300</v>
      </c>
      <c r="S58">
        <v>4300</v>
      </c>
      <c r="T58">
        <v>4300</v>
      </c>
      <c r="U58">
        <v>4300</v>
      </c>
      <c r="V58">
        <v>4300</v>
      </c>
      <c r="W58">
        <v>4300</v>
      </c>
      <c r="X58">
        <v>4300</v>
      </c>
      <c r="Y58">
        <v>4300</v>
      </c>
      <c r="Z58">
        <v>4300</v>
      </c>
    </row>
    <row r="59" spans="3:26" x14ac:dyDescent="0.25">
      <c r="C59" t="s">
        <v>105</v>
      </c>
      <c r="D59">
        <f>D58/(1+0.03)^(D47-2019)</f>
        <v>4300</v>
      </c>
      <c r="E59">
        <f t="shared" ref="E59:O59" si="13">E58/(1+0.03)^(E47-2019)</f>
        <v>4174.7572815533977</v>
      </c>
      <c r="F59">
        <f t="shared" si="13"/>
        <v>4053.162409275144</v>
      </c>
      <c r="G59">
        <f t="shared" si="13"/>
        <v>3935.1091352185863</v>
      </c>
      <c r="H59">
        <f t="shared" si="13"/>
        <v>3820.4943060374626</v>
      </c>
      <c r="I59">
        <f t="shared" si="13"/>
        <v>3709.2177728519055</v>
      </c>
      <c r="J59">
        <f t="shared" si="13"/>
        <v>3601.1823037397139</v>
      </c>
      <c r="K59">
        <f t="shared" si="13"/>
        <v>3496.2934987764211</v>
      </c>
      <c r="L59">
        <f t="shared" si="13"/>
        <v>3394.4597075499237</v>
      </c>
      <c r="M59">
        <f t="shared" si="13"/>
        <v>3295.5919490775959</v>
      </c>
      <c r="N59">
        <f t="shared" si="13"/>
        <v>3199.6038340559185</v>
      </c>
      <c r="O59">
        <f t="shared" si="13"/>
        <v>3106.4114893746778</v>
      </c>
    </row>
    <row r="60" spans="3:26" x14ac:dyDescent="0.25">
      <c r="C60" t="s">
        <v>106</v>
      </c>
      <c r="D60" s="145">
        <f>SUM(D59:K59)</f>
        <v>31090.216707452633</v>
      </c>
      <c r="E60" s="145">
        <f>SUM(E59:L59)</f>
        <v>30184.676415002552</v>
      </c>
      <c r="F60" s="145">
        <f>SUM(F59:M59)</f>
        <v>29305.511082526751</v>
      </c>
      <c r="G60" s="145">
        <f t="shared" ref="G60:O60" si="14">SUM(G59:N59)</f>
        <v>28451.952507307524</v>
      </c>
      <c r="H60" s="145">
        <f t="shared" si="14"/>
        <v>27623.254861463614</v>
      </c>
      <c r="I60" s="145">
        <f t="shared" si="14"/>
        <v>23802.760555426157</v>
      </c>
      <c r="J60" s="145">
        <f t="shared" si="14"/>
        <v>20093.542782574252</v>
      </c>
      <c r="K60" s="145">
        <f t="shared" si="14"/>
        <v>16492.360478834536</v>
      </c>
      <c r="L60" s="145">
        <f t="shared" si="14"/>
        <v>12996.066980058116</v>
      </c>
      <c r="M60" s="145">
        <f t="shared" si="14"/>
        <v>9601.6072725081922</v>
      </c>
      <c r="N60" s="145">
        <f t="shared" si="14"/>
        <v>6306.0153234305963</v>
      </c>
      <c r="O60" s="145">
        <f t="shared" si="14"/>
        <v>3106.4114893746778</v>
      </c>
    </row>
    <row r="63" spans="3:26" x14ac:dyDescent="0.25">
      <c r="C63" t="s">
        <v>98</v>
      </c>
      <c r="D63">
        <f>D48</f>
        <v>10950</v>
      </c>
      <c r="E63">
        <f t="shared" ref="E63:Z63" si="15">E48</f>
        <v>10950</v>
      </c>
      <c r="F63">
        <f t="shared" si="15"/>
        <v>10950</v>
      </c>
      <c r="G63">
        <f t="shared" si="15"/>
        <v>10950</v>
      </c>
      <c r="H63">
        <f t="shared" si="15"/>
        <v>10950</v>
      </c>
      <c r="I63">
        <f t="shared" si="15"/>
        <v>10950</v>
      </c>
      <c r="J63">
        <f t="shared" si="15"/>
        <v>10950</v>
      </c>
      <c r="K63">
        <f t="shared" si="15"/>
        <v>10950</v>
      </c>
      <c r="L63">
        <f t="shared" si="15"/>
        <v>10950</v>
      </c>
      <c r="M63">
        <f t="shared" si="15"/>
        <v>10950</v>
      </c>
      <c r="N63">
        <f t="shared" si="15"/>
        <v>10950</v>
      </c>
      <c r="O63">
        <f t="shared" si="15"/>
        <v>10950</v>
      </c>
      <c r="P63">
        <f t="shared" si="15"/>
        <v>10950</v>
      </c>
      <c r="Q63">
        <f t="shared" si="15"/>
        <v>10950</v>
      </c>
      <c r="R63">
        <f t="shared" si="15"/>
        <v>10950</v>
      </c>
      <c r="S63">
        <f t="shared" si="15"/>
        <v>10950</v>
      </c>
      <c r="T63">
        <f t="shared" si="15"/>
        <v>10950</v>
      </c>
      <c r="U63">
        <f t="shared" si="15"/>
        <v>10950</v>
      </c>
      <c r="V63">
        <f t="shared" si="15"/>
        <v>10950</v>
      </c>
      <c r="W63">
        <f t="shared" si="15"/>
        <v>10950</v>
      </c>
      <c r="X63">
        <f t="shared" si="15"/>
        <v>10950</v>
      </c>
      <c r="Y63">
        <f t="shared" si="15"/>
        <v>10950</v>
      </c>
      <c r="Z63">
        <f t="shared" si="15"/>
        <v>10950</v>
      </c>
    </row>
    <row r="64" spans="3:26" x14ac:dyDescent="0.25">
      <c r="C64" t="s">
        <v>107</v>
      </c>
      <c r="D64" s="30">
        <f>($D$27/100)*D63</f>
        <v>657</v>
      </c>
      <c r="E64" s="30">
        <f t="shared" ref="E64:Z64" si="16">($D$27/100)*E63</f>
        <v>657</v>
      </c>
      <c r="F64" s="30">
        <f t="shared" si="16"/>
        <v>657</v>
      </c>
      <c r="G64" s="30">
        <f t="shared" si="16"/>
        <v>657</v>
      </c>
      <c r="H64" s="30">
        <f t="shared" si="16"/>
        <v>657</v>
      </c>
      <c r="I64" s="30">
        <f t="shared" si="16"/>
        <v>657</v>
      </c>
      <c r="J64" s="30">
        <f t="shared" si="16"/>
        <v>657</v>
      </c>
      <c r="K64" s="30">
        <f t="shared" si="16"/>
        <v>657</v>
      </c>
      <c r="L64" s="30">
        <f t="shared" si="16"/>
        <v>657</v>
      </c>
      <c r="M64" s="30">
        <f t="shared" si="16"/>
        <v>657</v>
      </c>
      <c r="N64" s="30">
        <f t="shared" si="16"/>
        <v>657</v>
      </c>
      <c r="O64" s="30">
        <f t="shared" si="16"/>
        <v>657</v>
      </c>
      <c r="P64" s="30">
        <f t="shared" si="16"/>
        <v>657</v>
      </c>
      <c r="Q64" s="30">
        <f t="shared" si="16"/>
        <v>657</v>
      </c>
      <c r="R64" s="30">
        <f t="shared" si="16"/>
        <v>657</v>
      </c>
      <c r="S64" s="30">
        <f t="shared" si="16"/>
        <v>657</v>
      </c>
      <c r="T64" s="30">
        <f t="shared" si="16"/>
        <v>657</v>
      </c>
      <c r="U64" s="30">
        <f t="shared" si="16"/>
        <v>657</v>
      </c>
      <c r="V64" s="30">
        <f t="shared" si="16"/>
        <v>657</v>
      </c>
      <c r="W64" s="30">
        <f t="shared" si="16"/>
        <v>657</v>
      </c>
      <c r="X64" s="30">
        <f t="shared" si="16"/>
        <v>657</v>
      </c>
      <c r="Y64" s="30">
        <f t="shared" si="16"/>
        <v>657</v>
      </c>
      <c r="Z64" s="30">
        <f t="shared" si="16"/>
        <v>657</v>
      </c>
    </row>
    <row r="65" spans="3:26" x14ac:dyDescent="0.25">
      <c r="C65" t="s">
        <v>108</v>
      </c>
      <c r="D65">
        <f>D64*$D$28</f>
        <v>4599</v>
      </c>
      <c r="E65">
        <f t="shared" ref="E65:Z65" si="17">E64*$D$28</f>
        <v>4599</v>
      </c>
      <c r="F65">
        <f t="shared" si="17"/>
        <v>4599</v>
      </c>
      <c r="G65">
        <f t="shared" si="17"/>
        <v>4599</v>
      </c>
      <c r="H65">
        <f t="shared" si="17"/>
        <v>4599</v>
      </c>
      <c r="I65">
        <f t="shared" si="17"/>
        <v>4599</v>
      </c>
      <c r="J65">
        <f t="shared" si="17"/>
        <v>4599</v>
      </c>
      <c r="K65">
        <f t="shared" si="17"/>
        <v>4599</v>
      </c>
      <c r="L65">
        <f t="shared" si="17"/>
        <v>4599</v>
      </c>
      <c r="M65">
        <f t="shared" si="17"/>
        <v>4599</v>
      </c>
      <c r="N65">
        <f t="shared" si="17"/>
        <v>4599</v>
      </c>
      <c r="O65">
        <f t="shared" si="17"/>
        <v>4599</v>
      </c>
      <c r="P65">
        <f t="shared" si="17"/>
        <v>4599</v>
      </c>
      <c r="Q65">
        <f t="shared" si="17"/>
        <v>4599</v>
      </c>
      <c r="R65">
        <f t="shared" si="17"/>
        <v>4599</v>
      </c>
      <c r="S65">
        <f t="shared" si="17"/>
        <v>4599</v>
      </c>
      <c r="T65">
        <f t="shared" si="17"/>
        <v>4599</v>
      </c>
      <c r="U65">
        <f t="shared" si="17"/>
        <v>4599</v>
      </c>
      <c r="V65">
        <f t="shared" si="17"/>
        <v>4599</v>
      </c>
      <c r="W65">
        <f t="shared" si="17"/>
        <v>4599</v>
      </c>
      <c r="X65">
        <f t="shared" si="17"/>
        <v>4599</v>
      </c>
      <c r="Y65">
        <f t="shared" si="17"/>
        <v>4599</v>
      </c>
      <c r="Z65">
        <f t="shared" si="17"/>
        <v>4599</v>
      </c>
    </row>
    <row r="66" spans="3:26" x14ac:dyDescent="0.25">
      <c r="C66" t="s">
        <v>109</v>
      </c>
      <c r="D66">
        <f>D65/(1+$D$29)^(D47-2019)</f>
        <v>4599</v>
      </c>
      <c r="E66">
        <f t="shared" ref="E66:Z66" si="18">E65/(1+$D$29)^(E47-2019)</f>
        <v>4465.0485436893205</v>
      </c>
      <c r="F66">
        <f t="shared" si="18"/>
        <v>4334.9985861061368</v>
      </c>
      <c r="G66">
        <f t="shared" si="18"/>
        <v>4208.7364913651809</v>
      </c>
      <c r="H66">
        <f t="shared" si="18"/>
        <v>4086.1519333642536</v>
      </c>
      <c r="I66">
        <f t="shared" si="18"/>
        <v>3967.1377993827705</v>
      </c>
      <c r="J66">
        <f t="shared" si="18"/>
        <v>3851.5900964881266</v>
      </c>
      <c r="K66">
        <f t="shared" si="18"/>
        <v>3739.4078606680841</v>
      </c>
      <c r="L66">
        <f t="shared" si="18"/>
        <v>3630.4930686097905</v>
      </c>
      <c r="M66">
        <f t="shared" si="18"/>
        <v>3524.7505520483405</v>
      </c>
      <c r="N66">
        <f t="shared" si="18"/>
        <v>3422.0879146100392</v>
      </c>
      <c r="O66">
        <f t="shared" si="18"/>
        <v>3322.415451077708</v>
      </c>
      <c r="P66">
        <f t="shared" si="18"/>
        <v>3225.6460690074837</v>
      </c>
      <c r="Q66">
        <f t="shared" si="18"/>
        <v>3131.6952126286251</v>
      </c>
      <c r="R66">
        <f t="shared" si="18"/>
        <v>3040.4807889598301</v>
      </c>
      <c r="S66">
        <f t="shared" si="18"/>
        <v>2951.9230960775044</v>
      </c>
      <c r="T66">
        <f t="shared" si="18"/>
        <v>2865.9447534733058</v>
      </c>
      <c r="U66">
        <f t="shared" si="18"/>
        <v>2782.4706344401029</v>
      </c>
      <c r="V66">
        <f t="shared" si="18"/>
        <v>2701.4278004272842</v>
      </c>
      <c r="W66">
        <f t="shared" si="18"/>
        <v>2622.7454373080432</v>
      </c>
      <c r="X66">
        <f t="shared" si="18"/>
        <v>2546.3547935029546</v>
      </c>
      <c r="Y66">
        <f t="shared" si="18"/>
        <v>2472.1891199057814</v>
      </c>
      <c r="Z66">
        <f t="shared" si="18"/>
        <v>2400.1836115590108</v>
      </c>
    </row>
    <row r="67" spans="3:26" x14ac:dyDescent="0.25">
      <c r="C67" t="s">
        <v>110</v>
      </c>
      <c r="D67" s="1">
        <f>SUM(D66:K66)</f>
        <v>33252.071311063868</v>
      </c>
      <c r="E67" s="1">
        <f t="shared" ref="E67:O67" si="19">SUM(E66:L66)</f>
        <v>32283.564379673662</v>
      </c>
      <c r="F67" s="1">
        <f t="shared" si="19"/>
        <v>31343.266388032684</v>
      </c>
      <c r="G67" s="1">
        <f t="shared" si="19"/>
        <v>30430.355716536582</v>
      </c>
      <c r="H67" s="1">
        <f t="shared" si="19"/>
        <v>29544.03467624911</v>
      </c>
      <c r="I67" s="1">
        <f t="shared" si="19"/>
        <v>28683.528811892342</v>
      </c>
      <c r="J67" s="1">
        <f t="shared" si="19"/>
        <v>27848.086225138199</v>
      </c>
      <c r="K67" s="1">
        <f t="shared" si="19"/>
        <v>27036.9769176099</v>
      </c>
      <c r="L67" s="1">
        <f t="shared" si="19"/>
        <v>26249.492153019328</v>
      </c>
      <c r="M67" s="1">
        <f t="shared" si="19"/>
        <v>25484.943837882838</v>
      </c>
      <c r="N67" s="1">
        <f t="shared" si="19"/>
        <v>24742.663920274597</v>
      </c>
      <c r="O67" s="1">
        <f t="shared" si="19"/>
        <v>24022.003806091845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7"/>
  <sheetViews>
    <sheetView topLeftCell="C10" zoomScaleNormal="100" workbookViewId="0">
      <selection activeCell="S36" sqref="S36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372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62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98">
        <v>93964.144423876074</v>
      </c>
    </row>
    <row r="7" spans="3:15" x14ac:dyDescent="0.25">
      <c r="C7" s="243" t="s">
        <v>46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99">
        <v>9396.4144423876078</v>
      </c>
    </row>
    <row r="8" spans="3:15" x14ac:dyDescent="0.25">
      <c r="C8" s="243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0">
        <v>103360.55886626369</v>
      </c>
    </row>
    <row r="9" spans="3:15" x14ac:dyDescent="0.25">
      <c r="C9" s="243" t="s">
        <v>84</v>
      </c>
      <c r="D9" s="79">
        <v>40</v>
      </c>
      <c r="E9" s="80">
        <v>40</v>
      </c>
      <c r="F9" s="80">
        <v>40</v>
      </c>
      <c r="G9" s="90">
        <v>40</v>
      </c>
      <c r="H9" s="81">
        <v>40</v>
      </c>
      <c r="I9" s="81">
        <v>40</v>
      </c>
      <c r="J9" s="81">
        <v>40</v>
      </c>
      <c r="K9" s="82">
        <v>40</v>
      </c>
      <c r="L9" s="82">
        <v>40</v>
      </c>
      <c r="M9" s="82">
        <v>40</v>
      </c>
      <c r="N9" s="82">
        <v>40</v>
      </c>
      <c r="O9" s="100">
        <v>40</v>
      </c>
    </row>
    <row r="10" spans="3:15" x14ac:dyDescent="0.25">
      <c r="C10" s="243" t="s">
        <v>94</v>
      </c>
      <c r="D10" s="79">
        <v>8</v>
      </c>
      <c r="E10" s="80">
        <v>8</v>
      </c>
      <c r="F10" s="80">
        <v>8</v>
      </c>
      <c r="G10" s="9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0">
        <v>8</v>
      </c>
    </row>
    <row r="11" spans="3:15" x14ac:dyDescent="0.25">
      <c r="C11" s="243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243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11822.958688378269</v>
      </c>
      <c r="E14" s="90">
        <v>11478.600668328416</v>
      </c>
      <c r="F14" s="90">
        <v>11144.272493522734</v>
      </c>
      <c r="G14" s="90">
        <v>10819.682032546343</v>
      </c>
      <c r="H14" s="94">
        <v>10504.545662666353</v>
      </c>
      <c r="I14" s="94">
        <v>10198.588022006168</v>
      </c>
      <c r="J14" s="94">
        <v>9901.5417689380265</v>
      </c>
      <c r="K14" s="95">
        <v>9613.1473484835205</v>
      </c>
      <c r="L14" s="95">
        <v>9333.1527655179816</v>
      </c>
      <c r="M14" s="95">
        <v>9061.3133645805665</v>
      </c>
      <c r="N14" s="95">
        <v>8797.3916160976369</v>
      </c>
      <c r="O14" s="101">
        <v>8541.1569088326578</v>
      </c>
    </row>
    <row r="15" spans="3:15" x14ac:dyDescent="0.25">
      <c r="C15" s="243" t="s">
        <v>89</v>
      </c>
      <c r="D15" s="79">
        <f>5*300+6*100</f>
        <v>2100</v>
      </c>
      <c r="E15" s="90">
        <f>D15*(1-$D$13)</f>
        <v>2037</v>
      </c>
      <c r="F15" s="90">
        <f t="shared" ref="F15:O15" si="0">E15*(1-$D$13)</f>
        <v>1975.8899999999999</v>
      </c>
      <c r="G15" s="90">
        <f t="shared" si="0"/>
        <v>1916.6132999999998</v>
      </c>
      <c r="H15" s="94">
        <f t="shared" si="0"/>
        <v>1859.1149009999997</v>
      </c>
      <c r="I15" s="94">
        <f t="shared" si="0"/>
        <v>1803.3414539699997</v>
      </c>
      <c r="J15" s="94">
        <f t="shared" si="0"/>
        <v>1749.2412103508998</v>
      </c>
      <c r="K15" s="95">
        <f t="shared" si="0"/>
        <v>1696.7639740403727</v>
      </c>
      <c r="L15" s="95">
        <f t="shared" si="0"/>
        <v>1645.8610548191614</v>
      </c>
      <c r="M15" s="95">
        <f t="shared" si="0"/>
        <v>1596.4852231745865</v>
      </c>
      <c r="N15" s="95">
        <f t="shared" si="0"/>
        <v>1548.5906664793488</v>
      </c>
      <c r="O15" s="101">
        <f t="shared" si="0"/>
        <v>1502.1329464849682</v>
      </c>
    </row>
    <row r="16" spans="3:15" x14ac:dyDescent="0.25">
      <c r="C16" s="243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101">
        <f t="shared" si="1"/>
        <v>14094.621663581411</v>
      </c>
    </row>
    <row r="19" spans="3:15" x14ac:dyDescent="0.25">
      <c r="C19" s="244" t="s">
        <v>93</v>
      </c>
      <c r="D19" s="161">
        <f>D8+D14+D15+D16+D17-D18</f>
        <v>181135.95317360869</v>
      </c>
      <c r="E19" s="158">
        <f t="shared" ref="E19:O19" si="2">E8+E14+E15+E16+E17-E18</f>
        <v>171727.65486110875</v>
      </c>
      <c r="F19" s="158">
        <f t="shared" si="2"/>
        <v>177353.07579827175</v>
      </c>
      <c r="G19" s="158">
        <f t="shared" si="2"/>
        <v>168750.83206207608</v>
      </c>
      <c r="H19" s="159">
        <f t="shared" si="2"/>
        <v>160902.16344735221</v>
      </c>
      <c r="I19" s="159">
        <f t="shared" si="2"/>
        <v>150718.33547362458</v>
      </c>
      <c r="J19" s="159">
        <f t="shared" si="2"/>
        <v>141237.52888208543</v>
      </c>
      <c r="K19" s="162">
        <f t="shared" si="2"/>
        <v>132398.07683178067</v>
      </c>
      <c r="L19" s="162">
        <f t="shared" si="2"/>
        <v>124144.22754999751</v>
      </c>
      <c r="M19" s="162">
        <f t="shared" si="2"/>
        <v>116425.56015712762</v>
      </c>
      <c r="N19" s="162">
        <f t="shared" si="2"/>
        <v>109196.45869540762</v>
      </c>
      <c r="O19" s="172">
        <f t="shared" si="2"/>
        <v>102415.63854737459</v>
      </c>
    </row>
    <row r="20" spans="3:15" x14ac:dyDescent="0.25">
      <c r="C20" s="131" t="s">
        <v>373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140427.77777777778</v>
      </c>
      <c r="E22" s="87">
        <v>140887.77777777778</v>
      </c>
      <c r="F22" s="87">
        <v>141356.97777777779</v>
      </c>
      <c r="G22" s="87">
        <v>141835.5617777778</v>
      </c>
      <c r="H22" s="88">
        <v>142323.71745777782</v>
      </c>
      <c r="I22" s="88">
        <v>142821.63625137781</v>
      </c>
      <c r="J22" s="88">
        <v>143329.51342084981</v>
      </c>
      <c r="K22" s="89">
        <v>143847.54813371127</v>
      </c>
      <c r="L22" s="89">
        <v>144375.94354082993</v>
      </c>
      <c r="M22" s="89">
        <v>144914.90685609097</v>
      </c>
      <c r="N22" s="89">
        <v>145464.64943765724</v>
      </c>
      <c r="O22" s="107">
        <v>146025.38687085483</v>
      </c>
    </row>
    <row r="23" spans="3:15" x14ac:dyDescent="0.25">
      <c r="C23" s="102" t="s">
        <v>46</v>
      </c>
      <c r="D23" s="117">
        <v>14042.777777777779</v>
      </c>
      <c r="E23" s="76">
        <v>14088.777777777779</v>
      </c>
      <c r="F23" s="76">
        <v>14135.697777777779</v>
      </c>
      <c r="G23" s="76">
        <v>14183.55617777778</v>
      </c>
      <c r="H23" s="77">
        <v>14232.371745777782</v>
      </c>
      <c r="I23" s="77">
        <v>14282.163625137782</v>
      </c>
      <c r="J23" s="77">
        <v>14332.951342084982</v>
      </c>
      <c r="K23" s="78">
        <v>14384.754813371128</v>
      </c>
      <c r="L23" s="78">
        <v>14437.594354082994</v>
      </c>
      <c r="M23" s="78">
        <v>14491.490685609097</v>
      </c>
      <c r="N23" s="78">
        <v>14546.464943765724</v>
      </c>
      <c r="O23" s="104">
        <v>14602.538687085484</v>
      </c>
    </row>
    <row r="24" spans="3:15" x14ac:dyDescent="0.25">
      <c r="C24" s="102" t="s">
        <v>56</v>
      </c>
      <c r="D24" s="93">
        <v>154470.55555555556</v>
      </c>
      <c r="E24" s="71">
        <v>154976.55555555556</v>
      </c>
      <c r="F24" s="71">
        <v>155492.67555555556</v>
      </c>
      <c r="G24" s="80">
        <v>156019.11795555559</v>
      </c>
      <c r="H24" s="72">
        <v>156556.0892035556</v>
      </c>
      <c r="I24" s="72">
        <v>157103.79987651561</v>
      </c>
      <c r="J24" s="72">
        <v>157662.46476293477</v>
      </c>
      <c r="K24" s="73">
        <v>158232.30294708241</v>
      </c>
      <c r="L24" s="73">
        <v>158813.53789491294</v>
      </c>
      <c r="M24" s="73">
        <v>159406.39754170005</v>
      </c>
      <c r="N24" s="73">
        <v>160011.11438142296</v>
      </c>
      <c r="O24" s="103">
        <v>160627.9255579403</v>
      </c>
    </row>
    <row r="25" spans="3:15" x14ac:dyDescent="0.25">
      <c r="C25" s="102" t="s">
        <v>84</v>
      </c>
      <c r="D25" s="79">
        <v>40</v>
      </c>
      <c r="E25" s="71">
        <v>40</v>
      </c>
      <c r="F25" s="71">
        <v>40</v>
      </c>
      <c r="G25" s="80">
        <v>40</v>
      </c>
      <c r="H25" s="72">
        <v>40</v>
      </c>
      <c r="I25" s="72">
        <v>40</v>
      </c>
      <c r="J25" s="72">
        <v>40</v>
      </c>
      <c r="K25" s="73">
        <v>40</v>
      </c>
      <c r="L25" s="73">
        <v>40</v>
      </c>
      <c r="M25" s="73">
        <v>40</v>
      </c>
      <c r="N25" s="73">
        <v>40</v>
      </c>
      <c r="O25" s="103">
        <v>40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6</v>
      </c>
      <c r="E27" s="76">
        <v>6</v>
      </c>
      <c r="F27" s="76">
        <v>6</v>
      </c>
      <c r="G27" s="76">
        <v>6</v>
      </c>
      <c r="H27" s="77">
        <v>6</v>
      </c>
      <c r="I27" s="77">
        <v>6</v>
      </c>
      <c r="J27" s="77">
        <v>6</v>
      </c>
      <c r="K27" s="78">
        <v>6</v>
      </c>
      <c r="L27" s="78">
        <v>6</v>
      </c>
      <c r="M27" s="78">
        <v>6</v>
      </c>
      <c r="N27" s="78">
        <v>6</v>
      </c>
      <c r="O27" s="104">
        <v>6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44336.095081418505</v>
      </c>
      <c r="E30" s="71">
        <v>43044.752506231554</v>
      </c>
      <c r="F30" s="71">
        <v>41791.02185071024</v>
      </c>
      <c r="G30" s="80">
        <v>40573.807622048786</v>
      </c>
      <c r="H30" s="72">
        <v>39392.046234998816</v>
      </c>
      <c r="I30" s="72">
        <v>38244.70508252312</v>
      </c>
      <c r="J30" s="72">
        <v>37130.781633517596</v>
      </c>
      <c r="K30" s="73">
        <v>36049.3025568132</v>
      </c>
      <c r="L30" s="73">
        <v>34999.322870692427</v>
      </c>
      <c r="M30" s="73">
        <v>33979.925117177117</v>
      </c>
      <c r="N30" s="73">
        <v>32990.218560366135</v>
      </c>
      <c r="O30" s="103">
        <v>32029.338408122458</v>
      </c>
    </row>
    <row r="31" spans="3:15" x14ac:dyDescent="0.25">
      <c r="C31" s="102" t="s">
        <v>89</v>
      </c>
      <c r="D31" s="70">
        <f>12*600+11*1200</f>
        <v>20400</v>
      </c>
      <c r="E31" s="71">
        <f>D31*(1-$D$29)</f>
        <v>19788</v>
      </c>
      <c r="F31" s="71">
        <f t="shared" ref="F31:O31" si="3">E31*(1-$D$29)</f>
        <v>19194.36</v>
      </c>
      <c r="G31" s="80">
        <f t="shared" si="3"/>
        <v>18618.529200000001</v>
      </c>
      <c r="H31" s="72">
        <f t="shared" si="3"/>
        <v>18059.973323999999</v>
      </c>
      <c r="I31" s="72">
        <f t="shared" si="3"/>
        <v>17518.174124279998</v>
      </c>
      <c r="J31" s="72">
        <f t="shared" si="3"/>
        <v>16992.628900551597</v>
      </c>
      <c r="K31" s="73">
        <f t="shared" si="3"/>
        <v>16482.850033535047</v>
      </c>
      <c r="L31" s="73">
        <f t="shared" si="3"/>
        <v>15988.364532528996</v>
      </c>
      <c r="M31" s="73">
        <f t="shared" si="3"/>
        <v>15508.713596553125</v>
      </c>
      <c r="N31" s="73">
        <f t="shared" si="3"/>
        <v>15043.452188656531</v>
      </c>
      <c r="O31" s="103">
        <f t="shared" si="3"/>
        <v>14592.148622996834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26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26" x14ac:dyDescent="0.25">
      <c r="C34" s="102" t="s">
        <v>87</v>
      </c>
      <c r="D34" s="79">
        <f>0.35*D22</f>
        <v>49149.722222222219</v>
      </c>
      <c r="E34" s="71">
        <f t="shared" ref="E34:O34" si="5">0.35*E22</f>
        <v>49310.722222222219</v>
      </c>
      <c r="F34" s="71">
        <f t="shared" si="5"/>
        <v>49474.942222222227</v>
      </c>
      <c r="G34" s="80">
        <f t="shared" si="5"/>
        <v>49642.446622222225</v>
      </c>
      <c r="H34" s="72">
        <f t="shared" si="5"/>
        <v>49813.301110222237</v>
      </c>
      <c r="I34" s="72">
        <f t="shared" si="5"/>
        <v>49987.572687982232</v>
      </c>
      <c r="J34" s="72">
        <f t="shared" si="5"/>
        <v>50165.329697297428</v>
      </c>
      <c r="K34" s="73">
        <f t="shared" si="5"/>
        <v>50346.641846798942</v>
      </c>
      <c r="L34" s="73">
        <f t="shared" si="5"/>
        <v>50531.580239290473</v>
      </c>
      <c r="M34" s="73">
        <f t="shared" si="5"/>
        <v>50720.217399631838</v>
      </c>
      <c r="N34" s="73">
        <f t="shared" si="5"/>
        <v>50912.62730318003</v>
      </c>
      <c r="O34" s="103">
        <f t="shared" si="5"/>
        <v>51108.885404799184</v>
      </c>
    </row>
    <row r="35" spans="3:26" x14ac:dyDescent="0.25">
      <c r="C35" s="160" t="s">
        <v>93</v>
      </c>
      <c r="D35" s="163">
        <f>D24+D30+D31+D32-D34</f>
        <v>198978.06023563803</v>
      </c>
      <c r="E35" s="164">
        <f t="shared" ref="E35:O35" si="6">E24+E30+E31+E32-E34</f>
        <v>196577.35459770678</v>
      </c>
      <c r="F35" s="164">
        <f t="shared" si="6"/>
        <v>194264.05572592895</v>
      </c>
      <c r="G35" s="165">
        <f t="shared" si="6"/>
        <v>192035.94072031937</v>
      </c>
      <c r="H35" s="166">
        <f t="shared" si="6"/>
        <v>189890.85868625183</v>
      </c>
      <c r="I35" s="166">
        <f t="shared" si="6"/>
        <v>185021.20923759337</v>
      </c>
      <c r="J35" s="166">
        <f t="shared" si="6"/>
        <v>180312.21330442675</v>
      </c>
      <c r="K35" s="167">
        <f t="shared" si="6"/>
        <v>175759.54436861732</v>
      </c>
      <c r="L35" s="167">
        <f t="shared" si="6"/>
        <v>171359.0096914561</v>
      </c>
      <c r="M35" s="167">
        <f t="shared" si="6"/>
        <v>167106.54655115496</v>
      </c>
      <c r="N35" s="167">
        <f t="shared" si="6"/>
        <v>162998.21859324755</v>
      </c>
      <c r="O35" s="168">
        <f t="shared" si="6"/>
        <v>159030.21229065544</v>
      </c>
    </row>
    <row r="36" spans="3:26" x14ac:dyDescent="0.25">
      <c r="D36">
        <v>2019</v>
      </c>
      <c r="E36">
        <v>2020</v>
      </c>
      <c r="F36">
        <v>2021</v>
      </c>
      <c r="G36">
        <v>2022</v>
      </c>
      <c r="H36">
        <v>2023</v>
      </c>
      <c r="I36">
        <v>2024</v>
      </c>
      <c r="J36">
        <v>2025</v>
      </c>
      <c r="K36">
        <v>2026</v>
      </c>
      <c r="L36">
        <v>2027</v>
      </c>
      <c r="M36">
        <v>2028</v>
      </c>
      <c r="N36">
        <v>2029</v>
      </c>
      <c r="O36">
        <v>2030</v>
      </c>
    </row>
    <row r="37" spans="3:26" x14ac:dyDescent="0.25">
      <c r="C37" t="s">
        <v>307</v>
      </c>
      <c r="D37" s="30">
        <f>D19-D35</f>
        <v>-17842.107062029332</v>
      </c>
      <c r="E37" s="30">
        <f t="shared" ref="E37:O37" si="7">E19-E35</f>
        <v>-24849.699736598035</v>
      </c>
      <c r="F37" s="30">
        <f t="shared" si="7"/>
        <v>-16910.979927657201</v>
      </c>
      <c r="G37" s="30">
        <f t="shared" si="7"/>
        <v>-23285.108658243291</v>
      </c>
      <c r="H37" s="30">
        <f t="shared" si="7"/>
        <v>-28988.695238899614</v>
      </c>
      <c r="I37" s="30">
        <f t="shared" si="7"/>
        <v>-34302.87376396879</v>
      </c>
      <c r="J37" s="30">
        <f t="shared" si="7"/>
        <v>-39074.684422341321</v>
      </c>
      <c r="K37" s="30">
        <f t="shared" si="7"/>
        <v>-43361.467536836659</v>
      </c>
      <c r="L37" s="30">
        <f t="shared" si="7"/>
        <v>-47214.782141458592</v>
      </c>
      <c r="M37" s="30">
        <f t="shared" si="7"/>
        <v>-50680.986394027335</v>
      </c>
      <c r="N37" s="30">
        <f t="shared" si="7"/>
        <v>-53801.759897839933</v>
      </c>
      <c r="O37" s="30">
        <f t="shared" si="7"/>
        <v>-56614.573743280853</v>
      </c>
    </row>
    <row r="47" spans="3:26" x14ac:dyDescent="0.25">
      <c r="D47">
        <v>2019</v>
      </c>
      <c r="E47">
        <v>2020</v>
      </c>
      <c r="F47">
        <v>2021</v>
      </c>
      <c r="G47">
        <v>2022</v>
      </c>
      <c r="H47">
        <v>2023</v>
      </c>
      <c r="I47">
        <v>2024</v>
      </c>
      <c r="J47">
        <v>2025</v>
      </c>
      <c r="K47">
        <v>2026</v>
      </c>
      <c r="L47">
        <v>2027</v>
      </c>
      <c r="M47">
        <v>2028</v>
      </c>
      <c r="N47">
        <v>2029</v>
      </c>
      <c r="O47">
        <v>2030</v>
      </c>
      <c r="P47">
        <v>2031</v>
      </c>
      <c r="Q47">
        <v>2032</v>
      </c>
      <c r="R47">
        <v>2033</v>
      </c>
      <c r="S47">
        <v>2034</v>
      </c>
      <c r="T47">
        <v>2035</v>
      </c>
      <c r="U47">
        <v>2036</v>
      </c>
      <c r="V47">
        <v>2037</v>
      </c>
      <c r="W47">
        <v>2038</v>
      </c>
      <c r="X47">
        <v>2039</v>
      </c>
      <c r="Y47">
        <v>2040</v>
      </c>
      <c r="Z47">
        <v>2041</v>
      </c>
    </row>
    <row r="48" spans="3:26" x14ac:dyDescent="0.25">
      <c r="C48" t="s">
        <v>98</v>
      </c>
      <c r="D48">
        <f>40*365</f>
        <v>14600</v>
      </c>
      <c r="E48">
        <f t="shared" ref="E48:Z48" si="8">40*365</f>
        <v>14600</v>
      </c>
      <c r="F48">
        <f t="shared" si="8"/>
        <v>14600</v>
      </c>
      <c r="G48">
        <f t="shared" si="8"/>
        <v>14600</v>
      </c>
      <c r="H48">
        <f t="shared" si="8"/>
        <v>14600</v>
      </c>
      <c r="I48">
        <f t="shared" si="8"/>
        <v>14600</v>
      </c>
      <c r="J48">
        <f t="shared" si="8"/>
        <v>14600</v>
      </c>
      <c r="K48">
        <f t="shared" si="8"/>
        <v>14600</v>
      </c>
      <c r="L48">
        <f t="shared" si="8"/>
        <v>14600</v>
      </c>
      <c r="M48">
        <f t="shared" si="8"/>
        <v>14600</v>
      </c>
      <c r="N48">
        <f t="shared" si="8"/>
        <v>14600</v>
      </c>
      <c r="O48">
        <f t="shared" si="8"/>
        <v>14600</v>
      </c>
      <c r="P48">
        <f t="shared" si="8"/>
        <v>14600</v>
      </c>
      <c r="Q48">
        <f t="shared" si="8"/>
        <v>14600</v>
      </c>
      <c r="R48">
        <f t="shared" si="8"/>
        <v>14600</v>
      </c>
      <c r="S48">
        <f t="shared" si="8"/>
        <v>14600</v>
      </c>
      <c r="T48">
        <f t="shared" si="8"/>
        <v>14600</v>
      </c>
      <c r="U48">
        <f t="shared" si="8"/>
        <v>14600</v>
      </c>
      <c r="V48">
        <f t="shared" si="8"/>
        <v>14600</v>
      </c>
      <c r="W48">
        <f t="shared" si="8"/>
        <v>14600</v>
      </c>
      <c r="X48">
        <f t="shared" si="8"/>
        <v>14600</v>
      </c>
      <c r="Y48">
        <f t="shared" si="8"/>
        <v>14600</v>
      </c>
      <c r="Z48">
        <f t="shared" si="8"/>
        <v>14600</v>
      </c>
    </row>
    <row r="49" spans="3:26" x14ac:dyDescent="0.25">
      <c r="C49" t="s">
        <v>99</v>
      </c>
      <c r="D49" s="30">
        <f>($D$11/100)*D48</f>
        <v>2044.0000000000002</v>
      </c>
      <c r="E49" s="30">
        <f t="shared" ref="E49:Z49" si="9">($D$11/100)*E48</f>
        <v>2044.0000000000002</v>
      </c>
      <c r="F49" s="30">
        <f t="shared" si="9"/>
        <v>2044.0000000000002</v>
      </c>
      <c r="G49" s="30">
        <f t="shared" si="9"/>
        <v>2044.0000000000002</v>
      </c>
      <c r="H49" s="30">
        <f t="shared" si="9"/>
        <v>2044.0000000000002</v>
      </c>
      <c r="I49" s="30">
        <f t="shared" si="9"/>
        <v>2044.0000000000002</v>
      </c>
      <c r="J49" s="30">
        <f t="shared" si="9"/>
        <v>2044.0000000000002</v>
      </c>
      <c r="K49" s="30">
        <f t="shared" si="9"/>
        <v>2044.0000000000002</v>
      </c>
      <c r="L49" s="30">
        <f t="shared" si="9"/>
        <v>2044.0000000000002</v>
      </c>
      <c r="M49" s="30">
        <f t="shared" si="9"/>
        <v>2044.0000000000002</v>
      </c>
      <c r="N49" s="30">
        <f t="shared" si="9"/>
        <v>2044.0000000000002</v>
      </c>
      <c r="O49" s="30">
        <f t="shared" si="9"/>
        <v>2044.0000000000002</v>
      </c>
      <c r="P49" s="30">
        <f t="shared" si="9"/>
        <v>2044.0000000000002</v>
      </c>
      <c r="Q49" s="30">
        <f t="shared" si="9"/>
        <v>2044.0000000000002</v>
      </c>
      <c r="R49" s="30">
        <f t="shared" si="9"/>
        <v>2044.0000000000002</v>
      </c>
      <c r="S49" s="30">
        <f t="shared" si="9"/>
        <v>2044.0000000000002</v>
      </c>
      <c r="T49" s="30">
        <f t="shared" si="9"/>
        <v>2044.0000000000002</v>
      </c>
      <c r="U49" s="30">
        <f t="shared" si="9"/>
        <v>2044.0000000000002</v>
      </c>
      <c r="V49" s="30">
        <f t="shared" si="9"/>
        <v>2044.0000000000002</v>
      </c>
      <c r="W49" s="30">
        <f t="shared" si="9"/>
        <v>2044.0000000000002</v>
      </c>
      <c r="X49" s="30">
        <f t="shared" si="9"/>
        <v>2044.0000000000002</v>
      </c>
      <c r="Y49" s="30">
        <f t="shared" si="9"/>
        <v>2044.0000000000002</v>
      </c>
      <c r="Z49" s="30">
        <f t="shared" si="9"/>
        <v>2044.0000000000002</v>
      </c>
    </row>
    <row r="50" spans="3:26" x14ac:dyDescent="0.25">
      <c r="C50" t="s">
        <v>101</v>
      </c>
      <c r="D50" s="1">
        <f>D49*$D$12</f>
        <v>1635.2000000000003</v>
      </c>
      <c r="E50" s="1">
        <f t="shared" ref="E50:Z50" si="10">E49*$D$12</f>
        <v>1635.2000000000003</v>
      </c>
      <c r="F50" s="1">
        <f t="shared" si="10"/>
        <v>1635.2000000000003</v>
      </c>
      <c r="G50" s="1">
        <f t="shared" si="10"/>
        <v>1635.2000000000003</v>
      </c>
      <c r="H50" s="1">
        <f t="shared" si="10"/>
        <v>1635.2000000000003</v>
      </c>
      <c r="I50" s="1">
        <f t="shared" si="10"/>
        <v>1635.2000000000003</v>
      </c>
      <c r="J50" s="1">
        <f t="shared" si="10"/>
        <v>1635.2000000000003</v>
      </c>
      <c r="K50" s="1">
        <f t="shared" si="10"/>
        <v>1635.2000000000003</v>
      </c>
      <c r="L50" s="1">
        <f t="shared" si="10"/>
        <v>1635.2000000000003</v>
      </c>
      <c r="M50" s="1">
        <f t="shared" si="10"/>
        <v>1635.2000000000003</v>
      </c>
      <c r="N50" s="1">
        <f t="shared" si="10"/>
        <v>1635.2000000000003</v>
      </c>
      <c r="O50" s="1">
        <f t="shared" si="10"/>
        <v>1635.2000000000003</v>
      </c>
      <c r="P50" s="1">
        <f t="shared" si="10"/>
        <v>1635.2000000000003</v>
      </c>
      <c r="Q50" s="1">
        <f t="shared" si="10"/>
        <v>1635.2000000000003</v>
      </c>
      <c r="R50" s="1">
        <f t="shared" si="10"/>
        <v>1635.2000000000003</v>
      </c>
      <c r="S50" s="1">
        <f t="shared" si="10"/>
        <v>1635.2000000000003</v>
      </c>
      <c r="T50" s="1">
        <f t="shared" si="10"/>
        <v>1635.2000000000003</v>
      </c>
      <c r="U50" s="1">
        <f t="shared" si="10"/>
        <v>1635.2000000000003</v>
      </c>
      <c r="V50" s="1">
        <f t="shared" si="10"/>
        <v>1635.2000000000003</v>
      </c>
      <c r="W50" s="1">
        <f t="shared" si="10"/>
        <v>1635.2000000000003</v>
      </c>
      <c r="X50" s="1">
        <f t="shared" si="10"/>
        <v>1635.2000000000003</v>
      </c>
      <c r="Y50" s="1">
        <f t="shared" si="10"/>
        <v>1635.2000000000003</v>
      </c>
      <c r="Z50" s="1">
        <f t="shared" si="10"/>
        <v>1635.2000000000003</v>
      </c>
    </row>
    <row r="51" spans="3:26" x14ac:dyDescent="0.25">
      <c r="C51" t="s">
        <v>100</v>
      </c>
      <c r="D51">
        <f>D50/(1+$D$13)^(D47-2019)</f>
        <v>1635.2000000000003</v>
      </c>
      <c r="E51">
        <f t="shared" ref="E51:Z51" si="11">E50/(1+$D$13)^(E47-2019)</f>
        <v>1587.5728155339807</v>
      </c>
      <c r="F51">
        <f t="shared" si="11"/>
        <v>1541.3328306155154</v>
      </c>
      <c r="G51">
        <f t="shared" si="11"/>
        <v>1496.4396413742868</v>
      </c>
      <c r="H51">
        <f t="shared" si="11"/>
        <v>1452.8540207517349</v>
      </c>
      <c r="I51">
        <f t="shared" si="11"/>
        <v>1410.5378842249854</v>
      </c>
      <c r="J51">
        <f t="shared" si="11"/>
        <v>1369.4542565291119</v>
      </c>
      <c r="K51">
        <f t="shared" si="11"/>
        <v>1329.5672393486523</v>
      </c>
      <c r="L51">
        <f t="shared" si="11"/>
        <v>1290.841979950148</v>
      </c>
      <c r="M51">
        <f t="shared" si="11"/>
        <v>1253.2446407282989</v>
      </c>
      <c r="N51">
        <f t="shared" si="11"/>
        <v>1216.7423696391252</v>
      </c>
      <c r="O51">
        <f t="shared" si="11"/>
        <v>1181.3032714942963</v>
      </c>
      <c r="P51">
        <f t="shared" si="11"/>
        <v>1146.8963800915499</v>
      </c>
      <c r="Q51">
        <f t="shared" si="11"/>
        <v>1113.4916311568447</v>
      </c>
      <c r="R51">
        <f t="shared" si="11"/>
        <v>1081.0598360746064</v>
      </c>
      <c r="S51">
        <f t="shared" si="11"/>
        <v>1049.5726563831129</v>
      </c>
      <c r="T51">
        <f t="shared" si="11"/>
        <v>1019.0025790127312</v>
      </c>
      <c r="U51">
        <f t="shared" si="11"/>
        <v>989.3228922453701</v>
      </c>
      <c r="V51">
        <f t="shared" si="11"/>
        <v>960.50766237414564</v>
      </c>
      <c r="W51">
        <f t="shared" si="11"/>
        <v>932.53171104285991</v>
      </c>
      <c r="X51">
        <f t="shared" si="11"/>
        <v>905.37059324549512</v>
      </c>
      <c r="Y51">
        <f t="shared" si="11"/>
        <v>879.00057596650015</v>
      </c>
      <c r="Z51">
        <f t="shared" si="11"/>
        <v>853.39861744320399</v>
      </c>
    </row>
    <row r="52" spans="3:26" x14ac:dyDescent="0.25">
      <c r="C52" t="s">
        <v>102</v>
      </c>
      <c r="D52">
        <f>SUM(D51:K51)</f>
        <v>11822.958688378269</v>
      </c>
      <c r="E52">
        <f>SUM(E51:L51)</f>
        <v>11478.600668328416</v>
      </c>
      <c r="F52">
        <f t="shared" ref="F52:O52" si="12">SUM(F51:M51)</f>
        <v>11144.272493522734</v>
      </c>
      <c r="G52">
        <f t="shared" si="12"/>
        <v>10819.682032546343</v>
      </c>
      <c r="H52">
        <f t="shared" si="12"/>
        <v>10504.545662666353</v>
      </c>
      <c r="I52">
        <f t="shared" si="12"/>
        <v>10198.588022006168</v>
      </c>
      <c r="J52">
        <f t="shared" si="12"/>
        <v>9901.5417689380265</v>
      </c>
      <c r="K52">
        <f t="shared" si="12"/>
        <v>9613.1473484835205</v>
      </c>
      <c r="L52">
        <f t="shared" si="12"/>
        <v>9333.1527655179816</v>
      </c>
      <c r="M52">
        <f t="shared" si="12"/>
        <v>9061.3133645805665</v>
      </c>
      <c r="N52">
        <f t="shared" si="12"/>
        <v>8797.3916160976369</v>
      </c>
      <c r="O52">
        <f t="shared" si="12"/>
        <v>8541.1569088326578</v>
      </c>
    </row>
    <row r="54" spans="3:26" x14ac:dyDescent="0.25">
      <c r="C54" t="s">
        <v>103</v>
      </c>
      <c r="D54">
        <f>27*300+27*100</f>
        <v>10800</v>
      </c>
    </row>
    <row r="58" spans="3:26" x14ac:dyDescent="0.25">
      <c r="C58" t="s">
        <v>104</v>
      </c>
      <c r="D58">
        <v>4300</v>
      </c>
      <c r="E58">
        <v>4300</v>
      </c>
      <c r="F58">
        <v>4300</v>
      </c>
      <c r="G58">
        <v>4300</v>
      </c>
      <c r="H58">
        <v>4300</v>
      </c>
      <c r="I58">
        <v>4300</v>
      </c>
      <c r="J58">
        <v>4300</v>
      </c>
      <c r="K58">
        <v>4300</v>
      </c>
      <c r="L58">
        <v>4300</v>
      </c>
      <c r="M58">
        <v>4300</v>
      </c>
      <c r="N58">
        <v>4300</v>
      </c>
      <c r="O58">
        <v>4300</v>
      </c>
      <c r="P58">
        <v>4300</v>
      </c>
      <c r="Q58">
        <v>4300</v>
      </c>
      <c r="R58">
        <v>4300</v>
      </c>
      <c r="S58">
        <v>4300</v>
      </c>
      <c r="T58">
        <v>4300</v>
      </c>
      <c r="U58">
        <v>4300</v>
      </c>
      <c r="V58">
        <v>4300</v>
      </c>
      <c r="W58">
        <v>4300</v>
      </c>
      <c r="X58">
        <v>4300</v>
      </c>
      <c r="Y58">
        <v>4300</v>
      </c>
      <c r="Z58">
        <v>4300</v>
      </c>
    </row>
    <row r="59" spans="3:26" x14ac:dyDescent="0.25">
      <c r="C59" t="s">
        <v>105</v>
      </c>
      <c r="D59">
        <f>D58/(1+0.03)^(D47-2019)</f>
        <v>4300</v>
      </c>
      <c r="E59">
        <f t="shared" ref="E59:O59" si="13">E58/(1+0.03)^(E47-2019)</f>
        <v>4174.7572815533977</v>
      </c>
      <c r="F59">
        <f t="shared" si="13"/>
        <v>4053.162409275144</v>
      </c>
      <c r="G59">
        <f t="shared" si="13"/>
        <v>3935.1091352185863</v>
      </c>
      <c r="H59">
        <f t="shared" si="13"/>
        <v>3820.4943060374626</v>
      </c>
      <c r="I59">
        <f t="shared" si="13"/>
        <v>3709.2177728519055</v>
      </c>
      <c r="J59">
        <f t="shared" si="13"/>
        <v>3601.1823037397139</v>
      </c>
      <c r="K59">
        <f t="shared" si="13"/>
        <v>3496.2934987764211</v>
      </c>
      <c r="L59">
        <f t="shared" si="13"/>
        <v>3394.4597075499237</v>
      </c>
      <c r="M59">
        <f t="shared" si="13"/>
        <v>3295.5919490775959</v>
      </c>
      <c r="N59">
        <f t="shared" si="13"/>
        <v>3199.6038340559185</v>
      </c>
      <c r="O59">
        <f t="shared" si="13"/>
        <v>3106.4114893746778</v>
      </c>
    </row>
    <row r="60" spans="3:26" x14ac:dyDescent="0.25">
      <c r="C60" t="s">
        <v>106</v>
      </c>
      <c r="D60" s="145">
        <f>SUM(D59:K59)</f>
        <v>31090.216707452633</v>
      </c>
      <c r="E60" s="145">
        <f>SUM(E59:L59)</f>
        <v>30184.676415002552</v>
      </c>
      <c r="F60" s="145">
        <f>SUM(F59:M59)</f>
        <v>29305.511082526751</v>
      </c>
      <c r="G60" s="145">
        <f t="shared" ref="G60:O60" si="14">SUM(G59:N59)</f>
        <v>28451.952507307524</v>
      </c>
      <c r="H60" s="145">
        <f t="shared" si="14"/>
        <v>27623.254861463614</v>
      </c>
      <c r="I60" s="145">
        <f t="shared" si="14"/>
        <v>23802.760555426157</v>
      </c>
      <c r="J60" s="145">
        <f t="shared" si="14"/>
        <v>20093.542782574252</v>
      </c>
      <c r="K60" s="145">
        <f t="shared" si="14"/>
        <v>16492.360478834536</v>
      </c>
      <c r="L60" s="145">
        <f t="shared" si="14"/>
        <v>12996.066980058116</v>
      </c>
      <c r="M60" s="145">
        <f t="shared" si="14"/>
        <v>9601.6072725081922</v>
      </c>
      <c r="N60" s="145">
        <f t="shared" si="14"/>
        <v>6306.0153234305963</v>
      </c>
      <c r="O60" s="145">
        <f t="shared" si="14"/>
        <v>3106.4114893746778</v>
      </c>
    </row>
    <row r="63" spans="3:26" x14ac:dyDescent="0.25">
      <c r="C63" t="s">
        <v>98</v>
      </c>
      <c r="D63">
        <v>14600</v>
      </c>
      <c r="E63">
        <v>14600</v>
      </c>
      <c r="F63">
        <v>14600</v>
      </c>
      <c r="G63">
        <v>14600</v>
      </c>
      <c r="H63">
        <v>14600</v>
      </c>
      <c r="I63">
        <v>14600</v>
      </c>
      <c r="J63">
        <v>14600</v>
      </c>
      <c r="K63">
        <v>14600</v>
      </c>
      <c r="L63">
        <v>14600</v>
      </c>
      <c r="M63">
        <v>14600</v>
      </c>
      <c r="N63">
        <v>14600</v>
      </c>
      <c r="O63">
        <v>14600</v>
      </c>
      <c r="P63">
        <v>14600</v>
      </c>
      <c r="Q63">
        <v>14600</v>
      </c>
      <c r="R63">
        <v>14600</v>
      </c>
      <c r="S63">
        <v>14600</v>
      </c>
      <c r="T63">
        <v>14600</v>
      </c>
      <c r="U63">
        <v>14600</v>
      </c>
      <c r="V63">
        <v>14600</v>
      </c>
      <c r="W63">
        <v>14600</v>
      </c>
      <c r="X63">
        <v>14600</v>
      </c>
      <c r="Y63">
        <v>14600</v>
      </c>
      <c r="Z63">
        <v>14600</v>
      </c>
    </row>
    <row r="64" spans="3:26" x14ac:dyDescent="0.25">
      <c r="C64" t="s">
        <v>107</v>
      </c>
      <c r="D64" s="30">
        <f>($D$27/100)*D63</f>
        <v>876</v>
      </c>
      <c r="E64" s="30">
        <f t="shared" ref="E64:Z64" si="15">($D$27/100)*E63</f>
        <v>876</v>
      </c>
      <c r="F64" s="30">
        <f t="shared" si="15"/>
        <v>876</v>
      </c>
      <c r="G64" s="30">
        <f t="shared" si="15"/>
        <v>876</v>
      </c>
      <c r="H64" s="30">
        <f t="shared" si="15"/>
        <v>876</v>
      </c>
      <c r="I64" s="30">
        <f t="shared" si="15"/>
        <v>876</v>
      </c>
      <c r="J64" s="30">
        <f t="shared" si="15"/>
        <v>876</v>
      </c>
      <c r="K64" s="30">
        <f t="shared" si="15"/>
        <v>876</v>
      </c>
      <c r="L64" s="30">
        <f t="shared" si="15"/>
        <v>876</v>
      </c>
      <c r="M64" s="30">
        <f t="shared" si="15"/>
        <v>876</v>
      </c>
      <c r="N64" s="30">
        <f t="shared" si="15"/>
        <v>876</v>
      </c>
      <c r="O64" s="30">
        <f t="shared" si="15"/>
        <v>876</v>
      </c>
      <c r="P64" s="30">
        <f t="shared" si="15"/>
        <v>876</v>
      </c>
      <c r="Q64" s="30">
        <f t="shared" si="15"/>
        <v>876</v>
      </c>
      <c r="R64" s="30">
        <f t="shared" si="15"/>
        <v>876</v>
      </c>
      <c r="S64" s="30">
        <f t="shared" si="15"/>
        <v>876</v>
      </c>
      <c r="T64" s="30">
        <f t="shared" si="15"/>
        <v>876</v>
      </c>
      <c r="U64" s="30">
        <f t="shared" si="15"/>
        <v>876</v>
      </c>
      <c r="V64" s="30">
        <f t="shared" si="15"/>
        <v>876</v>
      </c>
      <c r="W64" s="30">
        <f t="shared" si="15"/>
        <v>876</v>
      </c>
      <c r="X64" s="30">
        <f t="shared" si="15"/>
        <v>876</v>
      </c>
      <c r="Y64" s="30">
        <f t="shared" si="15"/>
        <v>876</v>
      </c>
      <c r="Z64" s="30">
        <f t="shared" si="15"/>
        <v>876</v>
      </c>
    </row>
    <row r="65" spans="3:26" x14ac:dyDescent="0.25">
      <c r="C65" t="s">
        <v>108</v>
      </c>
      <c r="D65">
        <f>D64*$D$28</f>
        <v>6132</v>
      </c>
      <c r="E65">
        <f t="shared" ref="E65:Z65" si="16">E64*$D$28</f>
        <v>6132</v>
      </c>
      <c r="F65">
        <f t="shared" si="16"/>
        <v>6132</v>
      </c>
      <c r="G65">
        <f t="shared" si="16"/>
        <v>6132</v>
      </c>
      <c r="H65">
        <f t="shared" si="16"/>
        <v>6132</v>
      </c>
      <c r="I65">
        <f t="shared" si="16"/>
        <v>6132</v>
      </c>
      <c r="J65">
        <f t="shared" si="16"/>
        <v>6132</v>
      </c>
      <c r="K65">
        <f t="shared" si="16"/>
        <v>6132</v>
      </c>
      <c r="L65">
        <f t="shared" si="16"/>
        <v>6132</v>
      </c>
      <c r="M65">
        <f t="shared" si="16"/>
        <v>6132</v>
      </c>
      <c r="N65">
        <f t="shared" si="16"/>
        <v>6132</v>
      </c>
      <c r="O65">
        <f t="shared" si="16"/>
        <v>6132</v>
      </c>
      <c r="P65">
        <f t="shared" si="16"/>
        <v>6132</v>
      </c>
      <c r="Q65">
        <f t="shared" si="16"/>
        <v>6132</v>
      </c>
      <c r="R65">
        <f t="shared" si="16"/>
        <v>6132</v>
      </c>
      <c r="S65">
        <f t="shared" si="16"/>
        <v>6132</v>
      </c>
      <c r="T65">
        <f t="shared" si="16"/>
        <v>6132</v>
      </c>
      <c r="U65">
        <f t="shared" si="16"/>
        <v>6132</v>
      </c>
      <c r="V65">
        <f t="shared" si="16"/>
        <v>6132</v>
      </c>
      <c r="W65">
        <f t="shared" si="16"/>
        <v>6132</v>
      </c>
      <c r="X65">
        <f t="shared" si="16"/>
        <v>6132</v>
      </c>
      <c r="Y65">
        <f t="shared" si="16"/>
        <v>6132</v>
      </c>
      <c r="Z65">
        <f t="shared" si="16"/>
        <v>6132</v>
      </c>
    </row>
    <row r="66" spans="3:26" x14ac:dyDescent="0.25">
      <c r="C66" t="s">
        <v>109</v>
      </c>
      <c r="D66">
        <f>D65/(1+$D$29)^(D47-2019)</f>
        <v>6132</v>
      </c>
      <c r="E66">
        <f t="shared" ref="E66:Z66" si="17">E65/(1+$D$29)^(E47-2019)</f>
        <v>5953.3980582524273</v>
      </c>
      <c r="F66">
        <f t="shared" si="17"/>
        <v>5779.9981148081824</v>
      </c>
      <c r="G66">
        <f t="shared" si="17"/>
        <v>5611.6486551535745</v>
      </c>
      <c r="H66">
        <f t="shared" si="17"/>
        <v>5448.2025778190045</v>
      </c>
      <c r="I66">
        <f t="shared" si="17"/>
        <v>5289.5170658436946</v>
      </c>
      <c r="J66">
        <f t="shared" si="17"/>
        <v>5135.4534619841688</v>
      </c>
      <c r="K66">
        <f t="shared" si="17"/>
        <v>4985.8771475574449</v>
      </c>
      <c r="L66">
        <f t="shared" si="17"/>
        <v>4840.6574248130546</v>
      </c>
      <c r="M66">
        <f t="shared" si="17"/>
        <v>4699.6674027311201</v>
      </c>
      <c r="N66">
        <f t="shared" si="17"/>
        <v>4562.7838861467189</v>
      </c>
      <c r="O66">
        <f t="shared" si="17"/>
        <v>4429.88726810361</v>
      </c>
      <c r="P66">
        <f t="shared" si="17"/>
        <v>4300.8614253433116</v>
      </c>
      <c r="Q66">
        <f t="shared" si="17"/>
        <v>4175.5936168381668</v>
      </c>
      <c r="R66">
        <f t="shared" si="17"/>
        <v>4053.9743852797733</v>
      </c>
      <c r="S66">
        <f t="shared" si="17"/>
        <v>3935.897461436673</v>
      </c>
      <c r="T66">
        <f t="shared" si="17"/>
        <v>3821.2596712977411</v>
      </c>
      <c r="U66">
        <f t="shared" si="17"/>
        <v>3709.9608459201372</v>
      </c>
      <c r="V66">
        <f t="shared" si="17"/>
        <v>3601.9037339030456</v>
      </c>
      <c r="W66">
        <f t="shared" si="17"/>
        <v>3496.9939164107241</v>
      </c>
      <c r="X66">
        <f t="shared" si="17"/>
        <v>3395.139724670606</v>
      </c>
      <c r="Y66">
        <f t="shared" si="17"/>
        <v>3296.2521598743751</v>
      </c>
      <c r="Z66">
        <f t="shared" si="17"/>
        <v>3200.2448154120143</v>
      </c>
    </row>
    <row r="67" spans="3:26" x14ac:dyDescent="0.25">
      <c r="C67" t="s">
        <v>110</v>
      </c>
      <c r="D67" s="1">
        <f>SUM(D66:K66)</f>
        <v>44336.095081418505</v>
      </c>
      <c r="E67" s="1">
        <f t="shared" ref="E67:O67" si="18">SUM(E66:L66)</f>
        <v>43044.752506231554</v>
      </c>
      <c r="F67" s="1">
        <f t="shared" si="18"/>
        <v>41791.02185071024</v>
      </c>
      <c r="G67" s="1">
        <f t="shared" si="18"/>
        <v>40573.807622048786</v>
      </c>
      <c r="H67" s="1">
        <f t="shared" si="18"/>
        <v>39392.046234998816</v>
      </c>
      <c r="I67" s="1">
        <f t="shared" si="18"/>
        <v>38244.70508252312</v>
      </c>
      <c r="J67" s="1">
        <f t="shared" si="18"/>
        <v>37130.781633517596</v>
      </c>
      <c r="K67" s="1">
        <f t="shared" si="18"/>
        <v>36049.3025568132</v>
      </c>
      <c r="L67" s="1">
        <f t="shared" si="18"/>
        <v>34999.322870692427</v>
      </c>
      <c r="M67" s="1">
        <f t="shared" si="18"/>
        <v>33979.925117177117</v>
      </c>
      <c r="N67" s="1">
        <f t="shared" si="18"/>
        <v>32990.218560366135</v>
      </c>
      <c r="O67" s="1">
        <f t="shared" si="18"/>
        <v>32029.338408122458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9"/>
  <sheetViews>
    <sheetView topLeftCell="A16" zoomScaleNormal="10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363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103">
        <v>93964.144423876074</v>
      </c>
    </row>
    <row r="7" spans="3:15" x14ac:dyDescent="0.25">
      <c r="C7" s="102" t="s">
        <v>46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104">
        <v>9396.4144423876078</v>
      </c>
    </row>
    <row r="8" spans="3:15" x14ac:dyDescent="0.25">
      <c r="C8" s="102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5">
        <v>103360.55886626369</v>
      </c>
    </row>
    <row r="9" spans="3:15" x14ac:dyDescent="0.25">
      <c r="C9" s="102" t="s">
        <v>84</v>
      </c>
      <c r="D9" s="79">
        <v>60</v>
      </c>
      <c r="E9" s="79">
        <v>60</v>
      </c>
      <c r="F9" s="79">
        <v>60</v>
      </c>
      <c r="G9" s="79">
        <v>60</v>
      </c>
      <c r="H9" s="79">
        <v>60</v>
      </c>
      <c r="I9" s="79">
        <v>60</v>
      </c>
      <c r="J9" s="79">
        <v>60</v>
      </c>
      <c r="K9" s="79">
        <v>60</v>
      </c>
      <c r="L9" s="79">
        <v>60</v>
      </c>
      <c r="M9" s="79">
        <v>60</v>
      </c>
      <c r="N9" s="79">
        <v>60</v>
      </c>
      <c r="O9" s="79">
        <v>60</v>
      </c>
    </row>
    <row r="10" spans="3:15" x14ac:dyDescent="0.25">
      <c r="C10" s="102" t="s">
        <v>94</v>
      </c>
      <c r="D10" s="79">
        <v>8</v>
      </c>
      <c r="E10" s="80">
        <v>8</v>
      </c>
      <c r="F10" s="80">
        <v>8</v>
      </c>
      <c r="G10" s="9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5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17734.438032567406</v>
      </c>
      <c r="E14" s="90">
        <v>17217.901002492625</v>
      </c>
      <c r="F14" s="90">
        <v>16716.408740284103</v>
      </c>
      <c r="G14" s="90">
        <v>16229.523048819519</v>
      </c>
      <c r="H14" s="94">
        <v>15756.818493999534</v>
      </c>
      <c r="I14" s="94">
        <v>15297.882033009255</v>
      </c>
      <c r="J14" s="94">
        <v>14852.312653407043</v>
      </c>
      <c r="K14" s="95">
        <v>14419.721022725285</v>
      </c>
      <c r="L14" s="95">
        <v>13999.729148276976</v>
      </c>
      <c r="M14" s="95">
        <v>13591.970046870851</v>
      </c>
      <c r="N14" s="95">
        <v>13196.087424146457</v>
      </c>
      <c r="O14" s="95">
        <v>12811.735363248987</v>
      </c>
    </row>
    <row r="15" spans="3:15" x14ac:dyDescent="0.25">
      <c r="C15" s="102" t="s">
        <v>89</v>
      </c>
      <c r="D15" s="79">
        <f>8*300+9*100</f>
        <v>3300</v>
      </c>
      <c r="E15" s="90">
        <f>D15*(1-$D$13)</f>
        <v>3201</v>
      </c>
      <c r="F15" s="90">
        <f t="shared" ref="F15:O15" si="0">E15*(1-$D$13)</f>
        <v>3104.97</v>
      </c>
      <c r="G15" s="90">
        <f t="shared" si="0"/>
        <v>3011.8208999999997</v>
      </c>
      <c r="H15" s="94">
        <f t="shared" si="0"/>
        <v>2921.4662729999995</v>
      </c>
      <c r="I15" s="94">
        <f t="shared" si="0"/>
        <v>2833.8222848099995</v>
      </c>
      <c r="J15" s="94">
        <f t="shared" si="0"/>
        <v>2748.8076162656994</v>
      </c>
      <c r="K15" s="95">
        <f t="shared" si="0"/>
        <v>2666.3433877777284</v>
      </c>
      <c r="L15" s="95">
        <f t="shared" si="0"/>
        <v>2586.3530861443965</v>
      </c>
      <c r="M15" s="95">
        <f t="shared" si="0"/>
        <v>2508.7624935600643</v>
      </c>
      <c r="N15" s="95">
        <f t="shared" si="0"/>
        <v>2433.4996187532624</v>
      </c>
      <c r="O15" s="95">
        <f t="shared" si="0"/>
        <v>2360.4946301906643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95">
        <f t="shared" si="1"/>
        <v>14094.621663581411</v>
      </c>
    </row>
    <row r="19" spans="3:15" x14ac:dyDescent="0.25">
      <c r="C19" s="109" t="s">
        <v>93</v>
      </c>
      <c r="D19" s="70">
        <f>D8+D14+D15+D16+D17-D18</f>
        <v>188247.43251779783</v>
      </c>
      <c r="E19" s="90">
        <f t="shared" ref="E19:O19" si="2">E8+E14+E15+E16+E17-E18</f>
        <v>178630.95519527298</v>
      </c>
      <c r="F19" s="90">
        <f t="shared" si="2"/>
        <v>184054.2920450331</v>
      </c>
      <c r="G19" s="90">
        <f t="shared" si="2"/>
        <v>175255.88067834923</v>
      </c>
      <c r="H19" s="94">
        <f t="shared" si="2"/>
        <v>167216.78765068541</v>
      </c>
      <c r="I19" s="94">
        <f t="shared" si="2"/>
        <v>156848.11031546767</v>
      </c>
      <c r="J19" s="94">
        <f t="shared" si="2"/>
        <v>147187.86617246922</v>
      </c>
      <c r="K19" s="95">
        <f t="shared" si="2"/>
        <v>138174.22991975982</v>
      </c>
      <c r="L19" s="95">
        <f t="shared" si="2"/>
        <v>129751.29596408174</v>
      </c>
      <c r="M19" s="95">
        <f t="shared" si="2"/>
        <v>121868.49410980337</v>
      </c>
      <c r="N19" s="95">
        <f t="shared" si="2"/>
        <v>114480.06345573037</v>
      </c>
      <c r="O19" s="95">
        <f t="shared" si="2"/>
        <v>107544.5786854966</v>
      </c>
    </row>
    <row r="22" spans="3:15" x14ac:dyDescent="0.25">
      <c r="C22" s="131" t="s">
        <v>361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140427.77777777778</v>
      </c>
      <c r="E24" s="87">
        <v>140887.77777777778</v>
      </c>
      <c r="F24" s="87">
        <v>141356.97777777779</v>
      </c>
      <c r="G24" s="87">
        <v>141835.5617777778</v>
      </c>
      <c r="H24" s="88">
        <v>142323.71745777782</v>
      </c>
      <c r="I24" s="88">
        <v>142821.63625137781</v>
      </c>
      <c r="J24" s="88">
        <v>143329.51342084981</v>
      </c>
      <c r="K24" s="89">
        <v>143847.54813371127</v>
      </c>
      <c r="L24" s="89">
        <v>144375.94354082993</v>
      </c>
      <c r="M24" s="89">
        <v>144914.90685609097</v>
      </c>
      <c r="N24" s="89">
        <v>145464.64943765724</v>
      </c>
      <c r="O24" s="107">
        <v>146025.38687085483</v>
      </c>
    </row>
    <row r="25" spans="3:15" x14ac:dyDescent="0.25">
      <c r="C25" s="102" t="s">
        <v>46</v>
      </c>
      <c r="D25" s="117">
        <v>14042.777777777779</v>
      </c>
      <c r="E25" s="76">
        <v>14088.777777777779</v>
      </c>
      <c r="F25" s="76">
        <v>14135.697777777779</v>
      </c>
      <c r="G25" s="76">
        <v>14183.55617777778</v>
      </c>
      <c r="H25" s="77">
        <v>14232.371745777782</v>
      </c>
      <c r="I25" s="77">
        <v>14282.163625137782</v>
      </c>
      <c r="J25" s="77">
        <v>14332.951342084982</v>
      </c>
      <c r="K25" s="78">
        <v>14384.754813371128</v>
      </c>
      <c r="L25" s="78">
        <v>14437.594354082994</v>
      </c>
      <c r="M25" s="78">
        <v>14491.490685609097</v>
      </c>
      <c r="N25" s="78">
        <v>14546.464943765724</v>
      </c>
      <c r="O25" s="104">
        <v>14602.538687085484</v>
      </c>
    </row>
    <row r="26" spans="3:15" x14ac:dyDescent="0.25">
      <c r="C26" s="102" t="s">
        <v>56</v>
      </c>
      <c r="D26" s="93">
        <v>154470.55555555556</v>
      </c>
      <c r="E26" s="71">
        <v>154976.55555555556</v>
      </c>
      <c r="F26" s="71">
        <v>155492.67555555556</v>
      </c>
      <c r="G26" s="80">
        <v>156019.11795555559</v>
      </c>
      <c r="H26" s="72">
        <v>156556.0892035556</v>
      </c>
      <c r="I26" s="72">
        <v>157103.79987651561</v>
      </c>
      <c r="J26" s="72">
        <v>157662.46476293477</v>
      </c>
      <c r="K26" s="73">
        <v>158232.30294708241</v>
      </c>
      <c r="L26" s="73">
        <v>158813.53789491294</v>
      </c>
      <c r="M26" s="73">
        <v>159406.39754170005</v>
      </c>
      <c r="N26" s="73">
        <v>160011.11438142296</v>
      </c>
      <c r="O26" s="103">
        <v>160627.9255579403</v>
      </c>
    </row>
    <row r="27" spans="3:15" x14ac:dyDescent="0.25">
      <c r="C27" s="102" t="s">
        <v>84</v>
      </c>
      <c r="D27" s="79">
        <v>60</v>
      </c>
      <c r="E27" s="79">
        <v>60</v>
      </c>
      <c r="F27" s="79">
        <v>60</v>
      </c>
      <c r="G27" s="79">
        <v>60</v>
      </c>
      <c r="H27" s="79">
        <v>60</v>
      </c>
      <c r="I27" s="79">
        <v>60</v>
      </c>
      <c r="J27" s="79">
        <v>60</v>
      </c>
      <c r="K27" s="79">
        <v>60</v>
      </c>
      <c r="L27" s="79">
        <v>60</v>
      </c>
      <c r="M27" s="79">
        <v>60</v>
      </c>
      <c r="N27" s="79">
        <v>60</v>
      </c>
      <c r="O27" s="79">
        <v>60</v>
      </c>
    </row>
    <row r="28" spans="3:15" x14ac:dyDescent="0.25">
      <c r="C28" s="102" t="s">
        <v>94</v>
      </c>
      <c r="D28" s="79">
        <v>8</v>
      </c>
      <c r="E28" s="71">
        <v>8</v>
      </c>
      <c r="F28" s="71">
        <v>8</v>
      </c>
      <c r="G28" s="80">
        <v>8</v>
      </c>
      <c r="H28" s="72">
        <v>8</v>
      </c>
      <c r="I28" s="72">
        <v>8</v>
      </c>
      <c r="J28" s="72">
        <v>8</v>
      </c>
      <c r="K28" s="73">
        <v>8</v>
      </c>
      <c r="L28" s="73">
        <v>8</v>
      </c>
      <c r="M28" s="73">
        <v>8</v>
      </c>
      <c r="N28" s="73">
        <v>8</v>
      </c>
      <c r="O28" s="103">
        <v>8</v>
      </c>
    </row>
    <row r="29" spans="3:15" x14ac:dyDescent="0.25">
      <c r="C29" s="102" t="s">
        <v>95</v>
      </c>
      <c r="D29" s="83">
        <v>6</v>
      </c>
      <c r="E29" s="76">
        <v>6</v>
      </c>
      <c r="F29" s="76">
        <v>6</v>
      </c>
      <c r="G29" s="76">
        <v>6</v>
      </c>
      <c r="H29" s="77">
        <v>6</v>
      </c>
      <c r="I29" s="77">
        <v>6</v>
      </c>
      <c r="J29" s="77">
        <v>6</v>
      </c>
      <c r="K29" s="78">
        <v>6</v>
      </c>
      <c r="L29" s="78">
        <v>6</v>
      </c>
      <c r="M29" s="78">
        <v>6</v>
      </c>
      <c r="N29" s="78">
        <v>6</v>
      </c>
      <c r="O29" s="104">
        <v>6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97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66504.142622127736</v>
      </c>
      <c r="E32" s="71">
        <v>64567.128759347324</v>
      </c>
      <c r="F32" s="71">
        <v>62686.532776065367</v>
      </c>
      <c r="G32" s="80">
        <v>60860.711433073164</v>
      </c>
      <c r="H32" s="72">
        <v>59088.06935249822</v>
      </c>
      <c r="I32" s="72">
        <v>57367.057623784684</v>
      </c>
      <c r="J32" s="72">
        <v>55696.172450276397</v>
      </c>
      <c r="K32" s="73">
        <v>54073.9538352198</v>
      </c>
      <c r="L32" s="73">
        <v>52498.984306038656</v>
      </c>
      <c r="M32" s="73">
        <v>50969.887675765676</v>
      </c>
      <c r="N32" s="73">
        <v>49485.327840549195</v>
      </c>
      <c r="O32" s="103">
        <v>48044.00761218369</v>
      </c>
    </row>
    <row r="33" spans="3:15" x14ac:dyDescent="0.25">
      <c r="C33" s="102" t="s">
        <v>89</v>
      </c>
      <c r="D33" s="70">
        <f>18*600+17*1200</f>
        <v>31200</v>
      </c>
      <c r="E33" s="71">
        <f>D33*(1-$D$31)</f>
        <v>30264</v>
      </c>
      <c r="F33" s="71">
        <f t="shared" ref="F33:O33" si="3">E33*(1-$D$31)</f>
        <v>29356.079999999998</v>
      </c>
      <c r="G33" s="80">
        <f t="shared" si="3"/>
        <v>28475.397599999997</v>
      </c>
      <c r="H33" s="72">
        <f t="shared" si="3"/>
        <v>27621.135671999997</v>
      </c>
      <c r="I33" s="72">
        <f t="shared" si="3"/>
        <v>26792.501601839995</v>
      </c>
      <c r="J33" s="72">
        <f t="shared" si="3"/>
        <v>25988.726553784792</v>
      </c>
      <c r="K33" s="73">
        <f t="shared" si="3"/>
        <v>25209.064757171247</v>
      </c>
      <c r="L33" s="73">
        <f t="shared" si="3"/>
        <v>24452.792814456108</v>
      </c>
      <c r="M33" s="73">
        <f t="shared" si="3"/>
        <v>23719.209030022423</v>
      </c>
      <c r="N33" s="73">
        <f t="shared" si="3"/>
        <v>23007.632759121749</v>
      </c>
      <c r="O33" s="103">
        <f t="shared" si="3"/>
        <v>22317.403776348096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49149.722222222219</v>
      </c>
      <c r="E36" s="71">
        <f t="shared" ref="E36:O36" si="5">0.35*E24</f>
        <v>49310.722222222219</v>
      </c>
      <c r="F36" s="71">
        <f t="shared" si="5"/>
        <v>49474.942222222227</v>
      </c>
      <c r="G36" s="80">
        <f t="shared" si="5"/>
        <v>49642.446622222225</v>
      </c>
      <c r="H36" s="72">
        <f t="shared" si="5"/>
        <v>49813.301110222237</v>
      </c>
      <c r="I36" s="72">
        <f t="shared" si="5"/>
        <v>49987.572687982232</v>
      </c>
      <c r="J36" s="72">
        <f t="shared" si="5"/>
        <v>50165.329697297428</v>
      </c>
      <c r="K36" s="73">
        <f t="shared" si="5"/>
        <v>50346.641846798942</v>
      </c>
      <c r="L36" s="73">
        <f t="shared" si="5"/>
        <v>50531.580239290473</v>
      </c>
      <c r="M36" s="73">
        <f t="shared" si="5"/>
        <v>50720.217399631838</v>
      </c>
      <c r="N36" s="73">
        <f t="shared" si="5"/>
        <v>50912.62730318003</v>
      </c>
      <c r="O36" s="103">
        <f t="shared" si="5"/>
        <v>51108.885404799184</v>
      </c>
    </row>
    <row r="37" spans="3:15" x14ac:dyDescent="0.25">
      <c r="C37" s="109" t="s">
        <v>93</v>
      </c>
      <c r="D37" s="79">
        <f>D26+D32+D33+D34-D36</f>
        <v>231946.10777634723</v>
      </c>
      <c r="E37" s="71">
        <f t="shared" ref="E37:O37" si="6">E26+E32+E33+E34-E36</f>
        <v>228575.73085082255</v>
      </c>
      <c r="F37" s="71">
        <f t="shared" si="6"/>
        <v>225321.28665128403</v>
      </c>
      <c r="G37" s="80">
        <f t="shared" si="6"/>
        <v>222179.71293134373</v>
      </c>
      <c r="H37" s="72">
        <f t="shared" si="6"/>
        <v>219148.04415175121</v>
      </c>
      <c r="I37" s="72">
        <f t="shared" si="6"/>
        <v>213417.8892564149</v>
      </c>
      <c r="J37" s="72">
        <f t="shared" si="6"/>
        <v>207873.70177441876</v>
      </c>
      <c r="K37" s="73">
        <f t="shared" si="6"/>
        <v>202510.41037066016</v>
      </c>
      <c r="L37" s="73">
        <f t="shared" si="6"/>
        <v>197323.09940872941</v>
      </c>
      <c r="M37" s="73">
        <f t="shared" si="6"/>
        <v>192307.0045432128</v>
      </c>
      <c r="N37" s="73">
        <f t="shared" si="6"/>
        <v>187457.50844389581</v>
      </c>
      <c r="O37" s="103">
        <f t="shared" si="6"/>
        <v>182770.13664806794</v>
      </c>
    </row>
    <row r="39" spans="3:15" x14ac:dyDescent="0.25">
      <c r="D39">
        <v>2019</v>
      </c>
      <c r="E39">
        <v>2020</v>
      </c>
      <c r="F39">
        <v>2021</v>
      </c>
      <c r="G39">
        <v>2022</v>
      </c>
      <c r="H39">
        <v>2023</v>
      </c>
      <c r="I39">
        <v>2024</v>
      </c>
      <c r="J39">
        <v>2025</v>
      </c>
      <c r="K39">
        <v>2026</v>
      </c>
      <c r="L39">
        <v>2027</v>
      </c>
      <c r="M39">
        <v>2028</v>
      </c>
      <c r="N39">
        <v>2029</v>
      </c>
      <c r="O39">
        <v>2030</v>
      </c>
    </row>
    <row r="40" spans="3:15" x14ac:dyDescent="0.25">
      <c r="C40" t="s">
        <v>309</v>
      </c>
      <c r="D40" s="30">
        <f t="shared" ref="D40:O40" si="7">D19-D37</f>
        <v>-43698.675258549396</v>
      </c>
      <c r="E40" s="30">
        <f t="shared" si="7"/>
        <v>-49944.775655549573</v>
      </c>
      <c r="F40" s="30">
        <f t="shared" si="7"/>
        <v>-41266.994606250926</v>
      </c>
      <c r="G40" s="30">
        <f t="shared" si="7"/>
        <v>-46923.8322529945</v>
      </c>
      <c r="H40" s="30">
        <f t="shared" si="7"/>
        <v>-51931.2565010658</v>
      </c>
      <c r="I40" s="30">
        <f t="shared" si="7"/>
        <v>-56569.778940947232</v>
      </c>
      <c r="J40" s="30">
        <f t="shared" si="7"/>
        <v>-60685.83560194954</v>
      </c>
      <c r="K40" s="30">
        <f t="shared" si="7"/>
        <v>-64336.180450900341</v>
      </c>
      <c r="L40" s="30">
        <f t="shared" si="7"/>
        <v>-67571.803444647667</v>
      </c>
      <c r="M40" s="30">
        <f t="shared" si="7"/>
        <v>-70438.510433409421</v>
      </c>
      <c r="N40" s="30">
        <f t="shared" si="7"/>
        <v>-72977.444988165444</v>
      </c>
      <c r="O40" s="30">
        <f t="shared" si="7"/>
        <v>-75225.557962571344</v>
      </c>
    </row>
    <row r="49" spans="3:26" x14ac:dyDescent="0.25">
      <c r="D49">
        <v>2019</v>
      </c>
      <c r="E49">
        <v>2020</v>
      </c>
      <c r="F49">
        <v>2021</v>
      </c>
      <c r="G49">
        <v>2022</v>
      </c>
      <c r="H49">
        <v>2023</v>
      </c>
      <c r="I49">
        <v>2024</v>
      </c>
      <c r="J49">
        <v>2025</v>
      </c>
      <c r="K49">
        <v>2026</v>
      </c>
      <c r="L49">
        <v>2027</v>
      </c>
      <c r="M49">
        <v>2028</v>
      </c>
      <c r="N49">
        <v>2029</v>
      </c>
      <c r="O49">
        <v>2030</v>
      </c>
      <c r="P49">
        <v>2031</v>
      </c>
      <c r="Q49">
        <v>2032</v>
      </c>
      <c r="R49">
        <v>2033</v>
      </c>
      <c r="S49">
        <v>2034</v>
      </c>
      <c r="T49">
        <v>2035</v>
      </c>
      <c r="U49">
        <v>2036</v>
      </c>
      <c r="V49">
        <v>2037</v>
      </c>
      <c r="W49">
        <v>2038</v>
      </c>
      <c r="X49">
        <v>2039</v>
      </c>
      <c r="Y49">
        <v>2040</v>
      </c>
      <c r="Z49">
        <v>2041</v>
      </c>
    </row>
    <row r="50" spans="3:26" x14ac:dyDescent="0.25">
      <c r="C50" t="s">
        <v>98</v>
      </c>
      <c r="D50">
        <f>60*365</f>
        <v>21900</v>
      </c>
      <c r="E50">
        <f t="shared" ref="E50:Z50" si="8">60*365</f>
        <v>21900</v>
      </c>
      <c r="F50">
        <f t="shared" si="8"/>
        <v>21900</v>
      </c>
      <c r="G50">
        <f t="shared" si="8"/>
        <v>21900</v>
      </c>
      <c r="H50">
        <f t="shared" si="8"/>
        <v>21900</v>
      </c>
      <c r="I50">
        <f t="shared" si="8"/>
        <v>21900</v>
      </c>
      <c r="J50">
        <f t="shared" si="8"/>
        <v>21900</v>
      </c>
      <c r="K50">
        <f t="shared" si="8"/>
        <v>21900</v>
      </c>
      <c r="L50">
        <f t="shared" si="8"/>
        <v>21900</v>
      </c>
      <c r="M50">
        <f t="shared" si="8"/>
        <v>21900</v>
      </c>
      <c r="N50">
        <f t="shared" si="8"/>
        <v>21900</v>
      </c>
      <c r="O50">
        <f t="shared" si="8"/>
        <v>21900</v>
      </c>
      <c r="P50">
        <f t="shared" si="8"/>
        <v>21900</v>
      </c>
      <c r="Q50">
        <f t="shared" si="8"/>
        <v>21900</v>
      </c>
      <c r="R50">
        <f t="shared" si="8"/>
        <v>21900</v>
      </c>
      <c r="S50">
        <f t="shared" si="8"/>
        <v>21900</v>
      </c>
      <c r="T50">
        <f t="shared" si="8"/>
        <v>21900</v>
      </c>
      <c r="U50">
        <f t="shared" si="8"/>
        <v>21900</v>
      </c>
      <c r="V50">
        <f t="shared" si="8"/>
        <v>21900</v>
      </c>
      <c r="W50">
        <f t="shared" si="8"/>
        <v>21900</v>
      </c>
      <c r="X50">
        <f t="shared" si="8"/>
        <v>21900</v>
      </c>
      <c r="Y50">
        <f t="shared" si="8"/>
        <v>21900</v>
      </c>
      <c r="Z50">
        <f t="shared" si="8"/>
        <v>21900</v>
      </c>
    </row>
    <row r="51" spans="3:26" x14ac:dyDescent="0.25">
      <c r="C51" t="s">
        <v>99</v>
      </c>
      <c r="D51" s="30">
        <f>($D$11/100)*D50</f>
        <v>3066.0000000000005</v>
      </c>
      <c r="E51" s="30">
        <f t="shared" ref="E51:Z51" si="9">($D$11/100)*E50</f>
        <v>3066.0000000000005</v>
      </c>
      <c r="F51" s="30">
        <f t="shared" si="9"/>
        <v>3066.0000000000005</v>
      </c>
      <c r="G51" s="30">
        <f t="shared" si="9"/>
        <v>3066.0000000000005</v>
      </c>
      <c r="H51" s="30">
        <f t="shared" si="9"/>
        <v>3066.0000000000005</v>
      </c>
      <c r="I51" s="30">
        <f t="shared" si="9"/>
        <v>3066.0000000000005</v>
      </c>
      <c r="J51" s="30">
        <f t="shared" si="9"/>
        <v>3066.0000000000005</v>
      </c>
      <c r="K51" s="30">
        <f t="shared" si="9"/>
        <v>3066.0000000000005</v>
      </c>
      <c r="L51" s="30">
        <f t="shared" si="9"/>
        <v>3066.0000000000005</v>
      </c>
      <c r="M51" s="30">
        <f t="shared" si="9"/>
        <v>3066.0000000000005</v>
      </c>
      <c r="N51" s="30">
        <f t="shared" si="9"/>
        <v>3066.0000000000005</v>
      </c>
      <c r="O51" s="30">
        <f t="shared" si="9"/>
        <v>3066.0000000000005</v>
      </c>
      <c r="P51" s="30">
        <f t="shared" si="9"/>
        <v>3066.0000000000005</v>
      </c>
      <c r="Q51" s="30">
        <f t="shared" si="9"/>
        <v>3066.0000000000005</v>
      </c>
      <c r="R51" s="30">
        <f t="shared" si="9"/>
        <v>3066.0000000000005</v>
      </c>
      <c r="S51" s="30">
        <f t="shared" si="9"/>
        <v>3066.0000000000005</v>
      </c>
      <c r="T51" s="30">
        <f t="shared" si="9"/>
        <v>3066.0000000000005</v>
      </c>
      <c r="U51" s="30">
        <f t="shared" si="9"/>
        <v>3066.0000000000005</v>
      </c>
      <c r="V51" s="30">
        <f t="shared" si="9"/>
        <v>3066.0000000000005</v>
      </c>
      <c r="W51" s="30">
        <f t="shared" si="9"/>
        <v>3066.0000000000005</v>
      </c>
      <c r="X51" s="30">
        <f t="shared" si="9"/>
        <v>3066.0000000000005</v>
      </c>
      <c r="Y51" s="30">
        <f t="shared" si="9"/>
        <v>3066.0000000000005</v>
      </c>
      <c r="Z51" s="30">
        <f t="shared" si="9"/>
        <v>3066.0000000000005</v>
      </c>
    </row>
    <row r="52" spans="3:26" x14ac:dyDescent="0.25">
      <c r="C52" t="s">
        <v>101</v>
      </c>
      <c r="D52" s="1">
        <f>D51*$D$12</f>
        <v>2452.8000000000006</v>
      </c>
      <c r="E52" s="1">
        <f t="shared" ref="E52:Z52" si="10">E51*$D$12</f>
        <v>2452.8000000000006</v>
      </c>
      <c r="F52" s="1">
        <f t="shared" si="10"/>
        <v>2452.8000000000006</v>
      </c>
      <c r="G52" s="1">
        <f t="shared" si="10"/>
        <v>2452.8000000000006</v>
      </c>
      <c r="H52" s="1">
        <f t="shared" si="10"/>
        <v>2452.8000000000006</v>
      </c>
      <c r="I52" s="1">
        <f t="shared" si="10"/>
        <v>2452.8000000000006</v>
      </c>
      <c r="J52" s="1">
        <f t="shared" si="10"/>
        <v>2452.8000000000006</v>
      </c>
      <c r="K52" s="1">
        <f t="shared" si="10"/>
        <v>2452.8000000000006</v>
      </c>
      <c r="L52" s="1">
        <f t="shared" si="10"/>
        <v>2452.8000000000006</v>
      </c>
      <c r="M52" s="1">
        <f t="shared" si="10"/>
        <v>2452.8000000000006</v>
      </c>
      <c r="N52" s="1">
        <f t="shared" si="10"/>
        <v>2452.8000000000006</v>
      </c>
      <c r="O52" s="1">
        <f t="shared" si="10"/>
        <v>2452.8000000000006</v>
      </c>
      <c r="P52" s="1">
        <f t="shared" si="10"/>
        <v>2452.8000000000006</v>
      </c>
      <c r="Q52" s="1">
        <f t="shared" si="10"/>
        <v>2452.8000000000006</v>
      </c>
      <c r="R52" s="1">
        <f t="shared" si="10"/>
        <v>2452.8000000000006</v>
      </c>
      <c r="S52" s="1">
        <f t="shared" si="10"/>
        <v>2452.8000000000006</v>
      </c>
      <c r="T52" s="1">
        <f t="shared" si="10"/>
        <v>2452.8000000000006</v>
      </c>
      <c r="U52" s="1">
        <f t="shared" si="10"/>
        <v>2452.8000000000006</v>
      </c>
      <c r="V52" s="1">
        <f t="shared" si="10"/>
        <v>2452.8000000000006</v>
      </c>
      <c r="W52" s="1">
        <f t="shared" si="10"/>
        <v>2452.8000000000006</v>
      </c>
      <c r="X52" s="1">
        <f t="shared" si="10"/>
        <v>2452.8000000000006</v>
      </c>
      <c r="Y52" s="1">
        <f t="shared" si="10"/>
        <v>2452.8000000000006</v>
      </c>
      <c r="Z52" s="1">
        <f t="shared" si="10"/>
        <v>2452.8000000000006</v>
      </c>
    </row>
    <row r="53" spans="3:26" x14ac:dyDescent="0.25">
      <c r="C53" t="s">
        <v>100</v>
      </c>
      <c r="D53">
        <f>D52/(1+$D$13)^(D49-2019)</f>
        <v>2452.8000000000006</v>
      </c>
      <c r="E53">
        <f t="shared" ref="E53:Z53" si="11">E52/(1+$D$13)^(E49-2019)</f>
        <v>2381.3592233009713</v>
      </c>
      <c r="F53">
        <f t="shared" si="11"/>
        <v>2311.9992459232735</v>
      </c>
      <c r="G53">
        <f t="shared" si="11"/>
        <v>2244.6594620614305</v>
      </c>
      <c r="H53">
        <f t="shared" si="11"/>
        <v>2179.2810311276025</v>
      </c>
      <c r="I53">
        <f t="shared" si="11"/>
        <v>2115.8068263374785</v>
      </c>
      <c r="J53">
        <f t="shared" si="11"/>
        <v>2054.1813847936683</v>
      </c>
      <c r="K53">
        <f t="shared" si="11"/>
        <v>1994.3508590229785</v>
      </c>
      <c r="L53">
        <f t="shared" si="11"/>
        <v>1936.2629699252223</v>
      </c>
      <c r="M53">
        <f t="shared" si="11"/>
        <v>1879.8669610924487</v>
      </c>
      <c r="N53">
        <f t="shared" si="11"/>
        <v>1825.113554458688</v>
      </c>
      <c r="O53">
        <f t="shared" si="11"/>
        <v>1771.9549072414445</v>
      </c>
      <c r="P53">
        <f t="shared" si="11"/>
        <v>1720.344570137325</v>
      </c>
      <c r="Q53">
        <f t="shared" si="11"/>
        <v>1670.2374467352672</v>
      </c>
      <c r="R53">
        <f t="shared" si="11"/>
        <v>1621.5897541119098</v>
      </c>
      <c r="S53">
        <f t="shared" si="11"/>
        <v>1574.3589845746696</v>
      </c>
      <c r="T53">
        <f t="shared" si="11"/>
        <v>1528.5038685190968</v>
      </c>
      <c r="U53">
        <f t="shared" si="11"/>
        <v>1483.9843383680552</v>
      </c>
      <c r="V53">
        <f t="shared" si="11"/>
        <v>1440.7614935612187</v>
      </c>
      <c r="W53">
        <f t="shared" si="11"/>
        <v>1398.79756656429</v>
      </c>
      <c r="X53">
        <f t="shared" si="11"/>
        <v>1358.0558898682427</v>
      </c>
      <c r="Y53">
        <f t="shared" si="11"/>
        <v>1318.5008639497505</v>
      </c>
      <c r="Z53">
        <f t="shared" si="11"/>
        <v>1280.097926164806</v>
      </c>
    </row>
    <row r="54" spans="3:26" x14ac:dyDescent="0.25">
      <c r="C54" t="s">
        <v>102</v>
      </c>
      <c r="D54">
        <f>SUM(D53:K53)</f>
        <v>17734.438032567406</v>
      </c>
      <c r="E54">
        <f>SUM(E53:L53)</f>
        <v>17217.901002492625</v>
      </c>
      <c r="F54">
        <f t="shared" ref="F54:O54" si="12">SUM(F53:M53)</f>
        <v>16716.408740284103</v>
      </c>
      <c r="G54">
        <f t="shared" si="12"/>
        <v>16229.523048819519</v>
      </c>
      <c r="H54">
        <f t="shared" si="12"/>
        <v>15756.818493999534</v>
      </c>
      <c r="I54">
        <f t="shared" si="12"/>
        <v>15297.882033009255</v>
      </c>
      <c r="J54">
        <f t="shared" si="12"/>
        <v>14852.312653407043</v>
      </c>
      <c r="K54">
        <f t="shared" si="12"/>
        <v>14419.721022725285</v>
      </c>
      <c r="L54">
        <f t="shared" si="12"/>
        <v>13999.729148276976</v>
      </c>
      <c r="M54">
        <f t="shared" si="12"/>
        <v>13591.970046870851</v>
      </c>
      <c r="N54">
        <f t="shared" si="12"/>
        <v>13196.087424146457</v>
      </c>
      <c r="O54">
        <f t="shared" si="12"/>
        <v>12811.735363248987</v>
      </c>
    </row>
    <row r="56" spans="3:26" x14ac:dyDescent="0.25">
      <c r="C56" t="s">
        <v>103</v>
      </c>
      <c r="D56">
        <f>27*300+27*100</f>
        <v>10800</v>
      </c>
    </row>
    <row r="60" spans="3:26" x14ac:dyDescent="0.25">
      <c r="C60" t="s">
        <v>104</v>
      </c>
      <c r="D60">
        <v>4300</v>
      </c>
      <c r="E60">
        <v>4300</v>
      </c>
      <c r="F60">
        <v>4300</v>
      </c>
      <c r="G60">
        <v>4300</v>
      </c>
      <c r="H60">
        <v>4300</v>
      </c>
      <c r="I60">
        <v>4300</v>
      </c>
      <c r="J60">
        <v>4300</v>
      </c>
      <c r="K60">
        <v>4300</v>
      </c>
      <c r="L60">
        <v>4300</v>
      </c>
      <c r="M60">
        <v>4300</v>
      </c>
      <c r="N60">
        <v>4300</v>
      </c>
      <c r="O60">
        <v>4300</v>
      </c>
      <c r="P60">
        <v>4300</v>
      </c>
      <c r="Q60">
        <v>4300</v>
      </c>
      <c r="R60">
        <v>4300</v>
      </c>
      <c r="S60">
        <v>4300</v>
      </c>
      <c r="T60">
        <v>4300</v>
      </c>
      <c r="U60">
        <v>4300</v>
      </c>
      <c r="V60">
        <v>4300</v>
      </c>
      <c r="W60">
        <v>4300</v>
      </c>
      <c r="X60">
        <v>4300</v>
      </c>
      <c r="Y60">
        <v>4300</v>
      </c>
      <c r="Z60">
        <v>4300</v>
      </c>
    </row>
    <row r="61" spans="3:26" x14ac:dyDescent="0.25">
      <c r="C61" t="s">
        <v>105</v>
      </c>
      <c r="D61">
        <f>D60/(1+0.03)^(D49-2019)</f>
        <v>4300</v>
      </c>
      <c r="E61">
        <f t="shared" ref="E61:O61" si="13">E60/(1+0.03)^(E49-2019)</f>
        <v>4174.7572815533977</v>
      </c>
      <c r="F61">
        <f t="shared" si="13"/>
        <v>4053.162409275144</v>
      </c>
      <c r="G61">
        <f t="shared" si="13"/>
        <v>3935.1091352185863</v>
      </c>
      <c r="H61">
        <f t="shared" si="13"/>
        <v>3820.4943060374626</v>
      </c>
      <c r="I61">
        <f t="shared" si="13"/>
        <v>3709.2177728519055</v>
      </c>
      <c r="J61">
        <f t="shared" si="13"/>
        <v>3601.1823037397139</v>
      </c>
      <c r="K61">
        <f t="shared" si="13"/>
        <v>3496.2934987764211</v>
      </c>
      <c r="L61">
        <f t="shared" si="13"/>
        <v>3394.4597075499237</v>
      </c>
      <c r="M61">
        <f t="shared" si="13"/>
        <v>3295.5919490775959</v>
      </c>
      <c r="N61">
        <f t="shared" si="13"/>
        <v>3199.6038340559185</v>
      </c>
      <c r="O61">
        <f t="shared" si="13"/>
        <v>3106.4114893746778</v>
      </c>
    </row>
    <row r="62" spans="3:26" x14ac:dyDescent="0.25">
      <c r="C62" t="s">
        <v>106</v>
      </c>
      <c r="D62" s="145">
        <f>SUM(D61:K61)</f>
        <v>31090.216707452633</v>
      </c>
      <c r="E62" s="145">
        <f>SUM(E61:L61)</f>
        <v>30184.676415002552</v>
      </c>
      <c r="F62" s="145">
        <f>SUM(F61:M61)</f>
        <v>29305.511082526751</v>
      </c>
      <c r="G62" s="145">
        <f t="shared" ref="G62:O62" si="14">SUM(G61:N61)</f>
        <v>28451.952507307524</v>
      </c>
      <c r="H62" s="145">
        <f t="shared" si="14"/>
        <v>27623.254861463614</v>
      </c>
      <c r="I62" s="145">
        <f t="shared" si="14"/>
        <v>23802.760555426157</v>
      </c>
      <c r="J62" s="145">
        <f t="shared" si="14"/>
        <v>20093.542782574252</v>
      </c>
      <c r="K62" s="145">
        <f t="shared" si="14"/>
        <v>16492.360478834536</v>
      </c>
      <c r="L62" s="145">
        <f t="shared" si="14"/>
        <v>12996.066980058116</v>
      </c>
      <c r="M62" s="145">
        <f t="shared" si="14"/>
        <v>9601.6072725081922</v>
      </c>
      <c r="N62" s="145">
        <f t="shared" si="14"/>
        <v>6306.0153234305963</v>
      </c>
      <c r="O62" s="145">
        <f t="shared" si="14"/>
        <v>3106.4114893746778</v>
      </c>
    </row>
    <row r="65" spans="3:26" x14ac:dyDescent="0.25">
      <c r="C65" t="s">
        <v>98</v>
      </c>
      <c r="D65">
        <f>D50</f>
        <v>21900</v>
      </c>
      <c r="E65">
        <f t="shared" ref="E65:Z65" si="15">E50</f>
        <v>21900</v>
      </c>
      <c r="F65">
        <f t="shared" si="15"/>
        <v>21900</v>
      </c>
      <c r="G65">
        <f t="shared" si="15"/>
        <v>21900</v>
      </c>
      <c r="H65">
        <f t="shared" si="15"/>
        <v>21900</v>
      </c>
      <c r="I65">
        <f t="shared" si="15"/>
        <v>21900</v>
      </c>
      <c r="J65">
        <f t="shared" si="15"/>
        <v>21900</v>
      </c>
      <c r="K65">
        <f t="shared" si="15"/>
        <v>21900</v>
      </c>
      <c r="L65">
        <f t="shared" si="15"/>
        <v>21900</v>
      </c>
      <c r="M65">
        <f t="shared" si="15"/>
        <v>21900</v>
      </c>
      <c r="N65">
        <f t="shared" si="15"/>
        <v>21900</v>
      </c>
      <c r="O65">
        <f t="shared" si="15"/>
        <v>21900</v>
      </c>
      <c r="P65">
        <f t="shared" si="15"/>
        <v>21900</v>
      </c>
      <c r="Q65">
        <f t="shared" si="15"/>
        <v>21900</v>
      </c>
      <c r="R65">
        <f t="shared" si="15"/>
        <v>21900</v>
      </c>
      <c r="S65">
        <f t="shared" si="15"/>
        <v>21900</v>
      </c>
      <c r="T65">
        <f t="shared" si="15"/>
        <v>21900</v>
      </c>
      <c r="U65">
        <f t="shared" si="15"/>
        <v>21900</v>
      </c>
      <c r="V65">
        <f t="shared" si="15"/>
        <v>21900</v>
      </c>
      <c r="W65">
        <f t="shared" si="15"/>
        <v>21900</v>
      </c>
      <c r="X65">
        <f t="shared" si="15"/>
        <v>21900</v>
      </c>
      <c r="Y65">
        <f t="shared" si="15"/>
        <v>21900</v>
      </c>
      <c r="Z65">
        <f t="shared" si="15"/>
        <v>21900</v>
      </c>
    </row>
    <row r="66" spans="3:26" x14ac:dyDescent="0.25">
      <c r="C66" t="s">
        <v>107</v>
      </c>
      <c r="D66" s="30">
        <f>($D$29/100)*D65</f>
        <v>1314</v>
      </c>
      <c r="E66" s="30">
        <f t="shared" ref="E66:Z66" si="16">($D$29/100)*E65</f>
        <v>1314</v>
      </c>
      <c r="F66" s="30">
        <f t="shared" si="16"/>
        <v>1314</v>
      </c>
      <c r="G66" s="30">
        <f t="shared" si="16"/>
        <v>1314</v>
      </c>
      <c r="H66" s="30">
        <f t="shared" si="16"/>
        <v>1314</v>
      </c>
      <c r="I66" s="30">
        <f t="shared" si="16"/>
        <v>1314</v>
      </c>
      <c r="J66" s="30">
        <f t="shared" si="16"/>
        <v>1314</v>
      </c>
      <c r="K66" s="30">
        <f t="shared" si="16"/>
        <v>1314</v>
      </c>
      <c r="L66" s="30">
        <f t="shared" si="16"/>
        <v>1314</v>
      </c>
      <c r="M66" s="30">
        <f t="shared" si="16"/>
        <v>1314</v>
      </c>
      <c r="N66" s="30">
        <f t="shared" si="16"/>
        <v>1314</v>
      </c>
      <c r="O66" s="30">
        <f t="shared" si="16"/>
        <v>1314</v>
      </c>
      <c r="P66" s="30">
        <f t="shared" si="16"/>
        <v>1314</v>
      </c>
      <c r="Q66" s="30">
        <f t="shared" si="16"/>
        <v>1314</v>
      </c>
      <c r="R66" s="30">
        <f t="shared" si="16"/>
        <v>1314</v>
      </c>
      <c r="S66" s="30">
        <f t="shared" si="16"/>
        <v>1314</v>
      </c>
      <c r="T66" s="30">
        <f t="shared" si="16"/>
        <v>1314</v>
      </c>
      <c r="U66" s="30">
        <f t="shared" si="16"/>
        <v>1314</v>
      </c>
      <c r="V66" s="30">
        <f t="shared" si="16"/>
        <v>1314</v>
      </c>
      <c r="W66" s="30">
        <f t="shared" si="16"/>
        <v>1314</v>
      </c>
      <c r="X66" s="30">
        <f t="shared" si="16"/>
        <v>1314</v>
      </c>
      <c r="Y66" s="30">
        <f t="shared" si="16"/>
        <v>1314</v>
      </c>
      <c r="Z66" s="30">
        <f t="shared" si="16"/>
        <v>1314</v>
      </c>
    </row>
    <row r="67" spans="3:26" x14ac:dyDescent="0.25">
      <c r="C67" t="s">
        <v>108</v>
      </c>
      <c r="D67">
        <f>D66*$D$30</f>
        <v>9198</v>
      </c>
      <c r="E67">
        <f t="shared" ref="E67:Z67" si="17">E66*$D$30</f>
        <v>9198</v>
      </c>
      <c r="F67">
        <f t="shared" si="17"/>
        <v>9198</v>
      </c>
      <c r="G67">
        <f t="shared" si="17"/>
        <v>9198</v>
      </c>
      <c r="H67">
        <f t="shared" si="17"/>
        <v>9198</v>
      </c>
      <c r="I67">
        <f t="shared" si="17"/>
        <v>9198</v>
      </c>
      <c r="J67">
        <f t="shared" si="17"/>
        <v>9198</v>
      </c>
      <c r="K67">
        <f t="shared" si="17"/>
        <v>9198</v>
      </c>
      <c r="L67">
        <f t="shared" si="17"/>
        <v>9198</v>
      </c>
      <c r="M67">
        <f t="shared" si="17"/>
        <v>9198</v>
      </c>
      <c r="N67">
        <f t="shared" si="17"/>
        <v>9198</v>
      </c>
      <c r="O67">
        <f t="shared" si="17"/>
        <v>9198</v>
      </c>
      <c r="P67">
        <f t="shared" si="17"/>
        <v>9198</v>
      </c>
      <c r="Q67">
        <f t="shared" si="17"/>
        <v>9198</v>
      </c>
      <c r="R67">
        <f t="shared" si="17"/>
        <v>9198</v>
      </c>
      <c r="S67">
        <f t="shared" si="17"/>
        <v>9198</v>
      </c>
      <c r="T67">
        <f t="shared" si="17"/>
        <v>9198</v>
      </c>
      <c r="U67">
        <f t="shared" si="17"/>
        <v>9198</v>
      </c>
      <c r="V67">
        <f t="shared" si="17"/>
        <v>9198</v>
      </c>
      <c r="W67">
        <f t="shared" si="17"/>
        <v>9198</v>
      </c>
      <c r="X67">
        <f t="shared" si="17"/>
        <v>9198</v>
      </c>
      <c r="Y67">
        <f t="shared" si="17"/>
        <v>9198</v>
      </c>
      <c r="Z67">
        <f t="shared" si="17"/>
        <v>9198</v>
      </c>
    </row>
    <row r="68" spans="3:26" x14ac:dyDescent="0.25">
      <c r="C68" t="s">
        <v>109</v>
      </c>
      <c r="D68">
        <f>D67/(1+$D$31)^(D49-2019)</f>
        <v>9198</v>
      </c>
      <c r="E68">
        <f t="shared" ref="E68:Z68" si="18">E67/(1+$D$31)^(E49-2019)</f>
        <v>8930.0970873786409</v>
      </c>
      <c r="F68">
        <f t="shared" si="18"/>
        <v>8669.9971722122737</v>
      </c>
      <c r="G68">
        <f t="shared" si="18"/>
        <v>8417.4729827303618</v>
      </c>
      <c r="H68">
        <f t="shared" si="18"/>
        <v>8172.3038667285073</v>
      </c>
      <c r="I68">
        <f t="shared" si="18"/>
        <v>7934.275598765541</v>
      </c>
      <c r="J68">
        <f t="shared" si="18"/>
        <v>7703.1801929762532</v>
      </c>
      <c r="K68">
        <f t="shared" si="18"/>
        <v>7478.8157213361683</v>
      </c>
      <c r="L68">
        <f t="shared" si="18"/>
        <v>7260.986137219581</v>
      </c>
      <c r="M68">
        <f t="shared" si="18"/>
        <v>7049.501104096681</v>
      </c>
      <c r="N68">
        <f t="shared" si="18"/>
        <v>6844.1758292200784</v>
      </c>
      <c r="O68">
        <f t="shared" si="18"/>
        <v>6644.830902155416</v>
      </c>
      <c r="P68">
        <f t="shared" si="18"/>
        <v>6451.2921380149673</v>
      </c>
      <c r="Q68">
        <f t="shared" si="18"/>
        <v>6263.3904252572502</v>
      </c>
      <c r="R68">
        <f t="shared" si="18"/>
        <v>6080.9615779196602</v>
      </c>
      <c r="S68">
        <f t="shared" si="18"/>
        <v>5903.8461921550088</v>
      </c>
      <c r="T68">
        <f t="shared" si="18"/>
        <v>5731.8895069466116</v>
      </c>
      <c r="U68">
        <f t="shared" si="18"/>
        <v>5564.9412688802058</v>
      </c>
      <c r="V68">
        <f t="shared" si="18"/>
        <v>5402.8556008545684</v>
      </c>
      <c r="W68">
        <f t="shared" si="18"/>
        <v>5245.4908746160863</v>
      </c>
      <c r="X68">
        <f t="shared" si="18"/>
        <v>5092.7095870059093</v>
      </c>
      <c r="Y68">
        <f t="shared" si="18"/>
        <v>4944.3782398115627</v>
      </c>
      <c r="Z68">
        <f t="shared" si="18"/>
        <v>4800.3672231180217</v>
      </c>
    </row>
    <row r="69" spans="3:26" x14ac:dyDescent="0.25">
      <c r="C69" t="s">
        <v>110</v>
      </c>
      <c r="D69" s="1">
        <f>SUM(D68:K68)</f>
        <v>66504.142622127736</v>
      </c>
      <c r="E69" s="1">
        <f t="shared" ref="E69:O69" si="19">SUM(E68:L68)</f>
        <v>64567.128759347324</v>
      </c>
      <c r="F69" s="1">
        <f t="shared" si="19"/>
        <v>62686.532776065367</v>
      </c>
      <c r="G69" s="1">
        <f t="shared" si="19"/>
        <v>60860.711433073164</v>
      </c>
      <c r="H69" s="1">
        <f t="shared" si="19"/>
        <v>59088.06935249822</v>
      </c>
      <c r="I69" s="1">
        <f t="shared" si="19"/>
        <v>57367.057623784684</v>
      </c>
      <c r="J69" s="1">
        <f t="shared" si="19"/>
        <v>55696.172450276397</v>
      </c>
      <c r="K69" s="1">
        <f t="shared" si="19"/>
        <v>54073.9538352198</v>
      </c>
      <c r="L69" s="1">
        <f t="shared" si="19"/>
        <v>52498.984306038656</v>
      </c>
      <c r="M69" s="1">
        <f t="shared" si="19"/>
        <v>50969.887675765676</v>
      </c>
      <c r="N69" s="1">
        <f t="shared" si="19"/>
        <v>49485.327840549195</v>
      </c>
      <c r="O69" s="1">
        <f t="shared" si="19"/>
        <v>48044.00761218369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1"/>
  <sheetViews>
    <sheetView topLeftCell="A7" zoomScaleNormal="10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372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103">
        <v>93964.144423876074</v>
      </c>
    </row>
    <row r="7" spans="3:15" x14ac:dyDescent="0.25">
      <c r="C7" s="102" t="s">
        <v>46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104">
        <v>9396.4144423876078</v>
      </c>
    </row>
    <row r="8" spans="3:15" x14ac:dyDescent="0.25">
      <c r="C8" s="102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5">
        <v>103360.55886626369</v>
      </c>
    </row>
    <row r="9" spans="3:15" x14ac:dyDescent="0.25">
      <c r="C9" s="102" t="s">
        <v>84</v>
      </c>
      <c r="D9" s="79">
        <v>80</v>
      </c>
      <c r="E9" s="79">
        <v>80</v>
      </c>
      <c r="F9" s="79">
        <v>80</v>
      </c>
      <c r="G9" s="79">
        <v>80</v>
      </c>
      <c r="H9" s="79">
        <v>80</v>
      </c>
      <c r="I9" s="79">
        <v>80</v>
      </c>
      <c r="J9" s="79">
        <v>80</v>
      </c>
      <c r="K9" s="79">
        <v>80</v>
      </c>
      <c r="L9" s="79">
        <v>80</v>
      </c>
      <c r="M9" s="79">
        <v>80</v>
      </c>
      <c r="N9" s="79">
        <v>80</v>
      </c>
      <c r="O9" s="79">
        <v>80</v>
      </c>
    </row>
    <row r="10" spans="3:15" x14ac:dyDescent="0.25">
      <c r="C10" s="102" t="s">
        <v>94</v>
      </c>
      <c r="D10" s="79">
        <v>8</v>
      </c>
      <c r="E10" s="80">
        <v>8</v>
      </c>
      <c r="F10" s="80">
        <v>8</v>
      </c>
      <c r="G10" s="9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5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23645.917376756537</v>
      </c>
      <c r="E14" s="90">
        <v>22957.201336656832</v>
      </c>
      <c r="F14" s="90">
        <v>22288.544987045469</v>
      </c>
      <c r="G14" s="90">
        <v>21639.364065092686</v>
      </c>
      <c r="H14" s="94">
        <v>21009.091325332705</v>
      </c>
      <c r="I14" s="94">
        <v>20397.176044012336</v>
      </c>
      <c r="J14" s="94">
        <v>19803.083537876053</v>
      </c>
      <c r="K14" s="95">
        <v>19226.294696967041</v>
      </c>
      <c r="L14" s="95">
        <v>18666.305531035963</v>
      </c>
      <c r="M14" s="95">
        <v>18122.626729161133</v>
      </c>
      <c r="N14" s="95">
        <v>17594.783232195274</v>
      </c>
      <c r="O14" s="95">
        <v>17082.313817665316</v>
      </c>
    </row>
    <row r="15" spans="3:15" x14ac:dyDescent="0.25">
      <c r="C15" s="102" t="s">
        <v>89</v>
      </c>
      <c r="D15" s="79">
        <f>4500</f>
        <v>4500</v>
      </c>
      <c r="E15" s="90">
        <f>D15*(1-$D$13)</f>
        <v>4365</v>
      </c>
      <c r="F15" s="90">
        <f t="shared" ref="F15:O15" si="0">E15*(1-$D$13)</f>
        <v>4234.05</v>
      </c>
      <c r="G15" s="90">
        <f t="shared" si="0"/>
        <v>4107.0285000000003</v>
      </c>
      <c r="H15" s="94">
        <f t="shared" si="0"/>
        <v>3983.8176450000001</v>
      </c>
      <c r="I15" s="94">
        <f t="shared" si="0"/>
        <v>3864.3031156500001</v>
      </c>
      <c r="J15" s="94">
        <f t="shared" si="0"/>
        <v>3748.3740221805001</v>
      </c>
      <c r="K15" s="95">
        <f t="shared" si="0"/>
        <v>3635.9228015150852</v>
      </c>
      <c r="L15" s="95">
        <f t="shared" si="0"/>
        <v>3526.8451174696324</v>
      </c>
      <c r="M15" s="95">
        <f t="shared" si="0"/>
        <v>3421.0397639455432</v>
      </c>
      <c r="N15" s="95">
        <f t="shared" si="0"/>
        <v>3318.408571027177</v>
      </c>
      <c r="O15" s="95">
        <f t="shared" si="0"/>
        <v>3218.8563138963618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95">
        <f t="shared" si="1"/>
        <v>14094.621663581411</v>
      </c>
    </row>
    <row r="19" spans="3:15" x14ac:dyDescent="0.25">
      <c r="C19" s="109" t="s">
        <v>93</v>
      </c>
      <c r="D19" s="70">
        <f>D8+D14+D15+D16+D17-D18</f>
        <v>195358.91186198697</v>
      </c>
      <c r="E19" s="90">
        <f t="shared" ref="E19:O19" si="2">E8+E14+E15+E16+E17-E18</f>
        <v>185534.25552943716</v>
      </c>
      <c r="F19" s="90">
        <f t="shared" si="2"/>
        <v>190755.50829179445</v>
      </c>
      <c r="G19" s="90">
        <f t="shared" si="2"/>
        <v>181760.92929462245</v>
      </c>
      <c r="H19" s="94">
        <f t="shared" si="2"/>
        <v>173531.41185401857</v>
      </c>
      <c r="I19" s="94">
        <f t="shared" si="2"/>
        <v>162977.88515731072</v>
      </c>
      <c r="J19" s="94">
        <f t="shared" si="2"/>
        <v>153138.20346285307</v>
      </c>
      <c r="K19" s="95">
        <f t="shared" si="2"/>
        <v>143950.38300773891</v>
      </c>
      <c r="L19" s="95">
        <f t="shared" si="2"/>
        <v>135358.36437816598</v>
      </c>
      <c r="M19" s="95">
        <f t="shared" si="2"/>
        <v>127311.42806247913</v>
      </c>
      <c r="N19" s="95">
        <f t="shared" si="2"/>
        <v>119763.66821605311</v>
      </c>
      <c r="O19" s="95">
        <f t="shared" si="2"/>
        <v>112673.51882361864</v>
      </c>
    </row>
    <row r="22" spans="3:15" x14ac:dyDescent="0.25">
      <c r="C22" s="131" t="s">
        <v>361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140427.77777777778</v>
      </c>
      <c r="E24" s="87">
        <v>140887.77777777778</v>
      </c>
      <c r="F24" s="87">
        <v>141356.97777777779</v>
      </c>
      <c r="G24" s="87">
        <v>141835.5617777778</v>
      </c>
      <c r="H24" s="88">
        <v>142323.71745777782</v>
      </c>
      <c r="I24" s="88">
        <v>142821.63625137781</v>
      </c>
      <c r="J24" s="88">
        <v>143329.51342084981</v>
      </c>
      <c r="K24" s="89">
        <v>143847.54813371127</v>
      </c>
      <c r="L24" s="89">
        <v>144375.94354082993</v>
      </c>
      <c r="M24" s="89">
        <v>144914.90685609097</v>
      </c>
      <c r="N24" s="89">
        <v>145464.64943765724</v>
      </c>
      <c r="O24" s="107">
        <v>146025.38687085483</v>
      </c>
    </row>
    <row r="25" spans="3:15" x14ac:dyDescent="0.25">
      <c r="C25" s="102" t="s">
        <v>46</v>
      </c>
      <c r="D25" s="117">
        <v>14042.777777777779</v>
      </c>
      <c r="E25" s="76">
        <v>14088.777777777779</v>
      </c>
      <c r="F25" s="76">
        <v>14135.697777777779</v>
      </c>
      <c r="G25" s="76">
        <v>14183.55617777778</v>
      </c>
      <c r="H25" s="77">
        <v>14232.371745777782</v>
      </c>
      <c r="I25" s="77">
        <v>14282.163625137782</v>
      </c>
      <c r="J25" s="77">
        <v>14332.951342084982</v>
      </c>
      <c r="K25" s="78">
        <v>14384.754813371128</v>
      </c>
      <c r="L25" s="78">
        <v>14437.594354082994</v>
      </c>
      <c r="M25" s="78">
        <v>14491.490685609097</v>
      </c>
      <c r="N25" s="78">
        <v>14546.464943765724</v>
      </c>
      <c r="O25" s="104">
        <v>14602.538687085484</v>
      </c>
    </row>
    <row r="26" spans="3:15" x14ac:dyDescent="0.25">
      <c r="C26" s="102" t="s">
        <v>56</v>
      </c>
      <c r="D26" s="93">
        <v>154470.55555555556</v>
      </c>
      <c r="E26" s="71">
        <v>154976.55555555556</v>
      </c>
      <c r="F26" s="71">
        <v>155492.67555555556</v>
      </c>
      <c r="G26" s="80">
        <v>156019.11795555559</v>
      </c>
      <c r="H26" s="72">
        <v>156556.0892035556</v>
      </c>
      <c r="I26" s="72">
        <v>157103.79987651561</v>
      </c>
      <c r="J26" s="72">
        <v>157662.46476293477</v>
      </c>
      <c r="K26" s="73">
        <v>158232.30294708241</v>
      </c>
      <c r="L26" s="73">
        <v>158813.53789491294</v>
      </c>
      <c r="M26" s="73">
        <v>159406.39754170005</v>
      </c>
      <c r="N26" s="73">
        <v>160011.11438142296</v>
      </c>
      <c r="O26" s="103">
        <v>160627.9255579403</v>
      </c>
    </row>
    <row r="27" spans="3:15" x14ac:dyDescent="0.25">
      <c r="C27" s="102" t="s">
        <v>84</v>
      </c>
      <c r="D27" s="79">
        <v>80</v>
      </c>
      <c r="E27" s="79">
        <v>80</v>
      </c>
      <c r="F27" s="79">
        <v>80</v>
      </c>
      <c r="G27" s="79">
        <v>80</v>
      </c>
      <c r="H27" s="79">
        <v>80</v>
      </c>
      <c r="I27" s="79">
        <v>80</v>
      </c>
      <c r="J27" s="79">
        <v>80</v>
      </c>
      <c r="K27" s="79">
        <v>80</v>
      </c>
      <c r="L27" s="79">
        <v>80</v>
      </c>
      <c r="M27" s="79">
        <v>80</v>
      </c>
      <c r="N27" s="79">
        <v>80</v>
      </c>
      <c r="O27" s="79">
        <v>80</v>
      </c>
    </row>
    <row r="28" spans="3:15" x14ac:dyDescent="0.25">
      <c r="C28" s="102" t="s">
        <v>94</v>
      </c>
      <c r="D28" s="79">
        <v>8</v>
      </c>
      <c r="E28" s="71">
        <v>8</v>
      </c>
      <c r="F28" s="71">
        <v>8</v>
      </c>
      <c r="G28" s="80">
        <v>8</v>
      </c>
      <c r="H28" s="72">
        <v>8</v>
      </c>
      <c r="I28" s="72">
        <v>8</v>
      </c>
      <c r="J28" s="72">
        <v>8</v>
      </c>
      <c r="K28" s="73">
        <v>8</v>
      </c>
      <c r="L28" s="73">
        <v>8</v>
      </c>
      <c r="M28" s="73">
        <v>8</v>
      </c>
      <c r="N28" s="73">
        <v>8</v>
      </c>
      <c r="O28" s="103">
        <v>8</v>
      </c>
    </row>
    <row r="29" spans="3:15" x14ac:dyDescent="0.25">
      <c r="C29" s="102" t="s">
        <v>95</v>
      </c>
      <c r="D29" s="83">
        <v>6</v>
      </c>
      <c r="E29" s="76">
        <v>6</v>
      </c>
      <c r="F29" s="76">
        <v>6</v>
      </c>
      <c r="G29" s="76">
        <v>6</v>
      </c>
      <c r="H29" s="77">
        <v>6</v>
      </c>
      <c r="I29" s="77">
        <v>6</v>
      </c>
      <c r="J29" s="77">
        <v>6</v>
      </c>
      <c r="K29" s="78">
        <v>6</v>
      </c>
      <c r="L29" s="78">
        <v>6</v>
      </c>
      <c r="M29" s="78">
        <v>6</v>
      </c>
      <c r="N29" s="78">
        <v>6</v>
      </c>
      <c r="O29" s="104">
        <v>6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97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88672.190162837011</v>
      </c>
      <c r="E32" s="71">
        <v>86089.505012463109</v>
      </c>
      <c r="F32" s="71">
        <v>83582.04370142048</v>
      </c>
      <c r="G32" s="80">
        <v>81147.615244097571</v>
      </c>
      <c r="H32" s="72">
        <v>78784.092469997631</v>
      </c>
      <c r="I32" s="72">
        <v>76489.41016504624</v>
      </c>
      <c r="J32" s="72">
        <v>74261.563267035192</v>
      </c>
      <c r="K32" s="73">
        <v>72098.6051136264</v>
      </c>
      <c r="L32" s="73">
        <v>69998.645741384855</v>
      </c>
      <c r="M32" s="73">
        <v>67959.850234354235</v>
      </c>
      <c r="N32" s="73">
        <v>65980.437120732269</v>
      </c>
      <c r="O32" s="103">
        <v>64058.676816244915</v>
      </c>
    </row>
    <row r="33" spans="3:15" x14ac:dyDescent="0.25">
      <c r="C33" s="102" t="s">
        <v>89</v>
      </c>
      <c r="D33" s="70">
        <f>23*600+23*1200</f>
        <v>41400</v>
      </c>
      <c r="E33" s="71">
        <f>D33*(1-$D$31)</f>
        <v>40158</v>
      </c>
      <c r="F33" s="71">
        <f t="shared" ref="F33:O33" si="3">E33*(1-$D$31)</f>
        <v>38953.26</v>
      </c>
      <c r="G33" s="80">
        <f t="shared" si="3"/>
        <v>37784.662199999999</v>
      </c>
      <c r="H33" s="72">
        <f t="shared" si="3"/>
        <v>36651.122334</v>
      </c>
      <c r="I33" s="72">
        <f t="shared" si="3"/>
        <v>35551.588663980001</v>
      </c>
      <c r="J33" s="72">
        <f t="shared" si="3"/>
        <v>34485.0410040606</v>
      </c>
      <c r="K33" s="73">
        <f t="shared" si="3"/>
        <v>33450.489773938782</v>
      </c>
      <c r="L33" s="73">
        <f t="shared" si="3"/>
        <v>32446.975080720618</v>
      </c>
      <c r="M33" s="73">
        <f t="shared" si="3"/>
        <v>31473.565828298997</v>
      </c>
      <c r="N33" s="73">
        <f t="shared" si="3"/>
        <v>30529.358853450027</v>
      </c>
      <c r="O33" s="103">
        <f t="shared" si="3"/>
        <v>29613.478087846524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49149.722222222219</v>
      </c>
      <c r="E36" s="71">
        <f t="shared" ref="E36:O36" si="5">0.35*E24</f>
        <v>49310.722222222219</v>
      </c>
      <c r="F36" s="71">
        <f t="shared" si="5"/>
        <v>49474.942222222227</v>
      </c>
      <c r="G36" s="80">
        <f t="shared" si="5"/>
        <v>49642.446622222225</v>
      </c>
      <c r="H36" s="72">
        <f t="shared" si="5"/>
        <v>49813.301110222237</v>
      </c>
      <c r="I36" s="72">
        <f t="shared" si="5"/>
        <v>49987.572687982232</v>
      </c>
      <c r="J36" s="72">
        <f t="shared" si="5"/>
        <v>50165.329697297428</v>
      </c>
      <c r="K36" s="73">
        <f t="shared" si="5"/>
        <v>50346.641846798942</v>
      </c>
      <c r="L36" s="73">
        <f t="shared" si="5"/>
        <v>50531.580239290473</v>
      </c>
      <c r="M36" s="73">
        <f t="shared" si="5"/>
        <v>50720.217399631838</v>
      </c>
      <c r="N36" s="73">
        <f t="shared" si="5"/>
        <v>50912.62730318003</v>
      </c>
      <c r="O36" s="103">
        <f t="shared" si="5"/>
        <v>51108.885404799184</v>
      </c>
    </row>
    <row r="37" spans="3:15" x14ac:dyDescent="0.25">
      <c r="C37" s="109" t="s">
        <v>93</v>
      </c>
      <c r="D37" s="79">
        <f>D26+D32+D33+D34-D36</f>
        <v>264314.15531705646</v>
      </c>
      <c r="E37" s="71">
        <f t="shared" ref="E37:O37" si="6">E26+E32+E33+E34-E36</f>
        <v>259992.10710393838</v>
      </c>
      <c r="F37" s="71">
        <f t="shared" si="6"/>
        <v>255813.97757663915</v>
      </c>
      <c r="G37" s="80">
        <f t="shared" si="6"/>
        <v>251775.88134236817</v>
      </c>
      <c r="H37" s="72">
        <f t="shared" si="6"/>
        <v>247874.05393125064</v>
      </c>
      <c r="I37" s="72">
        <f t="shared" si="6"/>
        <v>241299.32885981654</v>
      </c>
      <c r="J37" s="72">
        <f t="shared" si="6"/>
        <v>234935.40704145335</v>
      </c>
      <c r="K37" s="73">
        <f t="shared" si="6"/>
        <v>228776.48666583421</v>
      </c>
      <c r="L37" s="73">
        <f t="shared" si="6"/>
        <v>222816.9431103401</v>
      </c>
      <c r="M37" s="73">
        <f t="shared" si="6"/>
        <v>217051.32390007793</v>
      </c>
      <c r="N37" s="73">
        <f t="shared" si="6"/>
        <v>211474.34381840719</v>
      </c>
      <c r="O37" s="103">
        <f t="shared" si="6"/>
        <v>206080.88016362762</v>
      </c>
    </row>
    <row r="39" spans="3:15" x14ac:dyDescent="0.25">
      <c r="D39">
        <v>2019</v>
      </c>
      <c r="E39">
        <v>2020</v>
      </c>
      <c r="F39">
        <v>2021</v>
      </c>
      <c r="G39">
        <v>2022</v>
      </c>
      <c r="H39">
        <v>2023</v>
      </c>
      <c r="I39">
        <v>2024</v>
      </c>
      <c r="J39">
        <v>2025</v>
      </c>
      <c r="K39">
        <v>2026</v>
      </c>
      <c r="L39">
        <v>2027</v>
      </c>
      <c r="M39">
        <v>2028</v>
      </c>
      <c r="N39">
        <v>2029</v>
      </c>
      <c r="O39">
        <v>2030</v>
      </c>
    </row>
    <row r="40" spans="3:15" x14ac:dyDescent="0.25">
      <c r="C40" t="s">
        <v>311</v>
      </c>
      <c r="D40" s="30">
        <f>D19-D37</f>
        <v>-68955.243455069489</v>
      </c>
      <c r="E40" s="30">
        <f t="shared" ref="E40:O40" si="7">E19-E37</f>
        <v>-74457.851574501226</v>
      </c>
      <c r="F40" s="30">
        <f t="shared" si="7"/>
        <v>-65058.469284844701</v>
      </c>
      <c r="G40" s="30">
        <f t="shared" si="7"/>
        <v>-70014.952047745726</v>
      </c>
      <c r="H40" s="30">
        <f t="shared" si="7"/>
        <v>-74342.642077232071</v>
      </c>
      <c r="I40" s="30">
        <f t="shared" si="7"/>
        <v>-78321.443702505814</v>
      </c>
      <c r="J40" s="30">
        <f t="shared" si="7"/>
        <v>-81797.203578600282</v>
      </c>
      <c r="K40" s="30">
        <f t="shared" si="7"/>
        <v>-84826.103658095293</v>
      </c>
      <c r="L40" s="30">
        <f t="shared" si="7"/>
        <v>-87458.578732174123</v>
      </c>
      <c r="M40" s="30">
        <f t="shared" si="7"/>
        <v>-89739.8958375988</v>
      </c>
      <c r="N40" s="30">
        <f t="shared" si="7"/>
        <v>-91710.67560235408</v>
      </c>
      <c r="O40" s="30">
        <f t="shared" si="7"/>
        <v>-93407.361340008982</v>
      </c>
    </row>
    <row r="61" spans="3:26" x14ac:dyDescent="0.25">
      <c r="D61">
        <v>2019</v>
      </c>
      <c r="E61">
        <v>2020</v>
      </c>
      <c r="F61">
        <v>2021</v>
      </c>
      <c r="G61">
        <v>2022</v>
      </c>
      <c r="H61">
        <v>2023</v>
      </c>
      <c r="I61">
        <v>2024</v>
      </c>
      <c r="J61">
        <v>2025</v>
      </c>
      <c r="K61">
        <v>2026</v>
      </c>
      <c r="L61">
        <v>2027</v>
      </c>
      <c r="M61">
        <v>2028</v>
      </c>
      <c r="N61">
        <v>2029</v>
      </c>
      <c r="O61">
        <v>2030</v>
      </c>
      <c r="P61">
        <v>2031</v>
      </c>
      <c r="Q61">
        <v>2032</v>
      </c>
      <c r="R61">
        <v>2033</v>
      </c>
      <c r="S61">
        <v>2034</v>
      </c>
      <c r="T61">
        <v>2035</v>
      </c>
      <c r="U61">
        <v>2036</v>
      </c>
      <c r="V61">
        <v>2037</v>
      </c>
      <c r="W61">
        <v>2038</v>
      </c>
      <c r="X61">
        <v>2039</v>
      </c>
      <c r="Y61">
        <v>2040</v>
      </c>
      <c r="Z61">
        <v>2041</v>
      </c>
    </row>
    <row r="62" spans="3:26" x14ac:dyDescent="0.25">
      <c r="C62" t="s">
        <v>98</v>
      </c>
      <c r="D62">
        <f>80*365</f>
        <v>29200</v>
      </c>
      <c r="E62">
        <f t="shared" ref="E62:Z62" si="8">80*365</f>
        <v>29200</v>
      </c>
      <c r="F62">
        <f t="shared" si="8"/>
        <v>29200</v>
      </c>
      <c r="G62">
        <f t="shared" si="8"/>
        <v>29200</v>
      </c>
      <c r="H62">
        <f t="shared" si="8"/>
        <v>29200</v>
      </c>
      <c r="I62">
        <f t="shared" si="8"/>
        <v>29200</v>
      </c>
      <c r="J62">
        <f t="shared" si="8"/>
        <v>29200</v>
      </c>
      <c r="K62">
        <f t="shared" si="8"/>
        <v>29200</v>
      </c>
      <c r="L62">
        <f t="shared" si="8"/>
        <v>29200</v>
      </c>
      <c r="M62">
        <f t="shared" si="8"/>
        <v>29200</v>
      </c>
      <c r="N62">
        <f t="shared" si="8"/>
        <v>29200</v>
      </c>
      <c r="O62">
        <f t="shared" si="8"/>
        <v>29200</v>
      </c>
      <c r="P62">
        <f t="shared" si="8"/>
        <v>29200</v>
      </c>
      <c r="Q62">
        <f t="shared" si="8"/>
        <v>29200</v>
      </c>
      <c r="R62">
        <f t="shared" si="8"/>
        <v>29200</v>
      </c>
      <c r="S62">
        <f t="shared" si="8"/>
        <v>29200</v>
      </c>
      <c r="T62">
        <f t="shared" si="8"/>
        <v>29200</v>
      </c>
      <c r="U62">
        <f t="shared" si="8"/>
        <v>29200</v>
      </c>
      <c r="V62">
        <f t="shared" si="8"/>
        <v>29200</v>
      </c>
      <c r="W62">
        <f t="shared" si="8"/>
        <v>29200</v>
      </c>
      <c r="X62">
        <f t="shared" si="8"/>
        <v>29200</v>
      </c>
      <c r="Y62">
        <f t="shared" si="8"/>
        <v>29200</v>
      </c>
      <c r="Z62">
        <f t="shared" si="8"/>
        <v>29200</v>
      </c>
    </row>
    <row r="63" spans="3:26" x14ac:dyDescent="0.25">
      <c r="C63" t="s">
        <v>99</v>
      </c>
      <c r="D63" s="30">
        <f>($D$11/100)*D62</f>
        <v>4088.0000000000005</v>
      </c>
      <c r="E63" s="30">
        <f t="shared" ref="E63:Z63" si="9">($D$11/100)*E62</f>
        <v>4088.0000000000005</v>
      </c>
      <c r="F63" s="30">
        <f t="shared" si="9"/>
        <v>4088.0000000000005</v>
      </c>
      <c r="G63" s="30">
        <f t="shared" si="9"/>
        <v>4088.0000000000005</v>
      </c>
      <c r="H63" s="30">
        <f t="shared" si="9"/>
        <v>4088.0000000000005</v>
      </c>
      <c r="I63" s="30">
        <f t="shared" si="9"/>
        <v>4088.0000000000005</v>
      </c>
      <c r="J63" s="30">
        <f t="shared" si="9"/>
        <v>4088.0000000000005</v>
      </c>
      <c r="K63" s="30">
        <f t="shared" si="9"/>
        <v>4088.0000000000005</v>
      </c>
      <c r="L63" s="30">
        <f t="shared" si="9"/>
        <v>4088.0000000000005</v>
      </c>
      <c r="M63" s="30">
        <f t="shared" si="9"/>
        <v>4088.0000000000005</v>
      </c>
      <c r="N63" s="30">
        <f t="shared" si="9"/>
        <v>4088.0000000000005</v>
      </c>
      <c r="O63" s="30">
        <f t="shared" si="9"/>
        <v>4088.0000000000005</v>
      </c>
      <c r="P63" s="30">
        <f t="shared" si="9"/>
        <v>4088.0000000000005</v>
      </c>
      <c r="Q63" s="30">
        <f t="shared" si="9"/>
        <v>4088.0000000000005</v>
      </c>
      <c r="R63" s="30">
        <f t="shared" si="9"/>
        <v>4088.0000000000005</v>
      </c>
      <c r="S63" s="30">
        <f t="shared" si="9"/>
        <v>4088.0000000000005</v>
      </c>
      <c r="T63" s="30">
        <f t="shared" si="9"/>
        <v>4088.0000000000005</v>
      </c>
      <c r="U63" s="30">
        <f t="shared" si="9"/>
        <v>4088.0000000000005</v>
      </c>
      <c r="V63" s="30">
        <f t="shared" si="9"/>
        <v>4088.0000000000005</v>
      </c>
      <c r="W63" s="30">
        <f t="shared" si="9"/>
        <v>4088.0000000000005</v>
      </c>
      <c r="X63" s="30">
        <f t="shared" si="9"/>
        <v>4088.0000000000005</v>
      </c>
      <c r="Y63" s="30">
        <f t="shared" si="9"/>
        <v>4088.0000000000005</v>
      </c>
      <c r="Z63" s="30">
        <f t="shared" si="9"/>
        <v>4088.0000000000005</v>
      </c>
    </row>
    <row r="64" spans="3:26" x14ac:dyDescent="0.25">
      <c r="C64" t="s">
        <v>101</v>
      </c>
      <c r="D64" s="1">
        <f>D63*$D$12</f>
        <v>3270.4000000000005</v>
      </c>
      <c r="E64" s="1">
        <f t="shared" ref="E64:Z64" si="10">E63*$D$12</f>
        <v>3270.4000000000005</v>
      </c>
      <c r="F64" s="1">
        <f t="shared" si="10"/>
        <v>3270.4000000000005</v>
      </c>
      <c r="G64" s="1">
        <f t="shared" si="10"/>
        <v>3270.4000000000005</v>
      </c>
      <c r="H64" s="1">
        <f t="shared" si="10"/>
        <v>3270.4000000000005</v>
      </c>
      <c r="I64" s="1">
        <f t="shared" si="10"/>
        <v>3270.4000000000005</v>
      </c>
      <c r="J64" s="1">
        <f t="shared" si="10"/>
        <v>3270.4000000000005</v>
      </c>
      <c r="K64" s="1">
        <f t="shared" si="10"/>
        <v>3270.4000000000005</v>
      </c>
      <c r="L64" s="1">
        <f t="shared" si="10"/>
        <v>3270.4000000000005</v>
      </c>
      <c r="M64" s="1">
        <f t="shared" si="10"/>
        <v>3270.4000000000005</v>
      </c>
      <c r="N64" s="1">
        <f t="shared" si="10"/>
        <v>3270.4000000000005</v>
      </c>
      <c r="O64" s="1">
        <f t="shared" si="10"/>
        <v>3270.4000000000005</v>
      </c>
      <c r="P64" s="1">
        <f t="shared" si="10"/>
        <v>3270.4000000000005</v>
      </c>
      <c r="Q64" s="1">
        <f t="shared" si="10"/>
        <v>3270.4000000000005</v>
      </c>
      <c r="R64" s="1">
        <f t="shared" si="10"/>
        <v>3270.4000000000005</v>
      </c>
      <c r="S64" s="1">
        <f t="shared" si="10"/>
        <v>3270.4000000000005</v>
      </c>
      <c r="T64" s="1">
        <f t="shared" si="10"/>
        <v>3270.4000000000005</v>
      </c>
      <c r="U64" s="1">
        <f t="shared" si="10"/>
        <v>3270.4000000000005</v>
      </c>
      <c r="V64" s="1">
        <f t="shared" si="10"/>
        <v>3270.4000000000005</v>
      </c>
      <c r="W64" s="1">
        <f t="shared" si="10"/>
        <v>3270.4000000000005</v>
      </c>
      <c r="X64" s="1">
        <f t="shared" si="10"/>
        <v>3270.4000000000005</v>
      </c>
      <c r="Y64" s="1">
        <f t="shared" si="10"/>
        <v>3270.4000000000005</v>
      </c>
      <c r="Z64" s="1">
        <f t="shared" si="10"/>
        <v>3270.4000000000005</v>
      </c>
    </row>
    <row r="65" spans="3:26" x14ac:dyDescent="0.25">
      <c r="C65" t="s">
        <v>100</v>
      </c>
      <c r="D65">
        <f>D64/(1+$D$13)^(D61-2019)</f>
        <v>3270.4000000000005</v>
      </c>
      <c r="E65">
        <f t="shared" ref="E65:Z65" si="11">E64/(1+$D$13)^(E61-2019)</f>
        <v>3175.1456310679614</v>
      </c>
      <c r="F65">
        <f t="shared" si="11"/>
        <v>3082.6656612310308</v>
      </c>
      <c r="G65">
        <f t="shared" si="11"/>
        <v>2992.8792827485736</v>
      </c>
      <c r="H65">
        <f t="shared" si="11"/>
        <v>2905.7080415034698</v>
      </c>
      <c r="I65">
        <f t="shared" si="11"/>
        <v>2821.0757684499708</v>
      </c>
      <c r="J65">
        <f t="shared" si="11"/>
        <v>2738.9085130582239</v>
      </c>
      <c r="K65">
        <f t="shared" si="11"/>
        <v>2659.1344786973045</v>
      </c>
      <c r="L65">
        <f t="shared" si="11"/>
        <v>2581.683959900296</v>
      </c>
      <c r="M65">
        <f t="shared" si="11"/>
        <v>2506.4892814565978</v>
      </c>
      <c r="N65">
        <f t="shared" si="11"/>
        <v>2433.4847392782503</v>
      </c>
      <c r="O65">
        <f t="shared" si="11"/>
        <v>2362.6065429885925</v>
      </c>
      <c r="P65">
        <f t="shared" si="11"/>
        <v>2293.7927601830997</v>
      </c>
      <c r="Q65">
        <f t="shared" si="11"/>
        <v>2226.9832623136895</v>
      </c>
      <c r="R65">
        <f t="shared" si="11"/>
        <v>2162.1196721492129</v>
      </c>
      <c r="S65">
        <f t="shared" si="11"/>
        <v>2099.1453127662257</v>
      </c>
      <c r="T65">
        <f t="shared" si="11"/>
        <v>2038.0051580254624</v>
      </c>
      <c r="U65">
        <f t="shared" si="11"/>
        <v>1978.6457844907402</v>
      </c>
      <c r="V65">
        <f t="shared" si="11"/>
        <v>1921.0153247482913</v>
      </c>
      <c r="W65">
        <f t="shared" si="11"/>
        <v>1865.0634220857198</v>
      </c>
      <c r="X65">
        <f t="shared" si="11"/>
        <v>1810.7411864909902</v>
      </c>
      <c r="Y65">
        <f t="shared" si="11"/>
        <v>1758.0011519330003</v>
      </c>
      <c r="Z65">
        <f t="shared" si="11"/>
        <v>1706.797234886408</v>
      </c>
    </row>
    <row r="66" spans="3:26" x14ac:dyDescent="0.25">
      <c r="C66" t="s">
        <v>102</v>
      </c>
      <c r="D66">
        <f>SUM(D65:K65)</f>
        <v>23645.917376756537</v>
      </c>
      <c r="E66">
        <f>SUM(E65:L65)</f>
        <v>22957.201336656832</v>
      </c>
      <c r="F66">
        <f t="shared" ref="F66:O66" si="12">SUM(F65:M65)</f>
        <v>22288.544987045469</v>
      </c>
      <c r="G66">
        <f t="shared" si="12"/>
        <v>21639.364065092686</v>
      </c>
      <c r="H66">
        <f t="shared" si="12"/>
        <v>21009.091325332705</v>
      </c>
      <c r="I66">
        <f t="shared" si="12"/>
        <v>20397.176044012336</v>
      </c>
      <c r="J66">
        <f t="shared" si="12"/>
        <v>19803.083537876053</v>
      </c>
      <c r="K66">
        <f t="shared" si="12"/>
        <v>19226.294696967041</v>
      </c>
      <c r="L66">
        <f t="shared" si="12"/>
        <v>18666.305531035963</v>
      </c>
      <c r="M66">
        <f t="shared" si="12"/>
        <v>18122.626729161133</v>
      </c>
      <c r="N66">
        <f t="shared" si="12"/>
        <v>17594.783232195274</v>
      </c>
      <c r="O66">
        <f t="shared" si="12"/>
        <v>17082.313817665316</v>
      </c>
    </row>
    <row r="68" spans="3:26" x14ac:dyDescent="0.25">
      <c r="C68" t="s">
        <v>103</v>
      </c>
      <c r="D68">
        <f>11*300+12*100</f>
        <v>4500</v>
      </c>
    </row>
    <row r="72" spans="3:26" x14ac:dyDescent="0.25">
      <c r="C72" t="s">
        <v>104</v>
      </c>
      <c r="D72">
        <v>4300</v>
      </c>
      <c r="E72">
        <v>4300</v>
      </c>
      <c r="F72">
        <v>4300</v>
      </c>
      <c r="G72">
        <v>4300</v>
      </c>
      <c r="H72">
        <v>4300</v>
      </c>
      <c r="I72">
        <v>4300</v>
      </c>
      <c r="J72">
        <v>4300</v>
      </c>
      <c r="K72">
        <v>4300</v>
      </c>
      <c r="L72">
        <v>4300</v>
      </c>
      <c r="M72">
        <v>4300</v>
      </c>
      <c r="N72">
        <v>4300</v>
      </c>
      <c r="O72">
        <v>4300</v>
      </c>
      <c r="P72">
        <v>4300</v>
      </c>
      <c r="Q72">
        <v>4300</v>
      </c>
      <c r="R72">
        <v>4300</v>
      </c>
      <c r="S72">
        <v>4300</v>
      </c>
      <c r="T72">
        <v>4300</v>
      </c>
      <c r="U72">
        <v>4300</v>
      </c>
      <c r="V72">
        <v>4300</v>
      </c>
      <c r="W72">
        <v>4300</v>
      </c>
      <c r="X72">
        <v>4300</v>
      </c>
      <c r="Y72">
        <v>4300</v>
      </c>
      <c r="Z72">
        <v>4300</v>
      </c>
    </row>
    <row r="73" spans="3:26" x14ac:dyDescent="0.25">
      <c r="C73" t="s">
        <v>105</v>
      </c>
      <c r="D73">
        <f>D72/(1+0.03)^(D61-2019)</f>
        <v>4300</v>
      </c>
      <c r="E73">
        <f t="shared" ref="E73:O73" si="13">E72/(1+0.03)^(E61-2019)</f>
        <v>4174.7572815533977</v>
      </c>
      <c r="F73">
        <f t="shared" si="13"/>
        <v>4053.162409275144</v>
      </c>
      <c r="G73">
        <f t="shared" si="13"/>
        <v>3935.1091352185863</v>
      </c>
      <c r="H73">
        <f t="shared" si="13"/>
        <v>3820.4943060374626</v>
      </c>
      <c r="I73">
        <f t="shared" si="13"/>
        <v>3709.2177728519055</v>
      </c>
      <c r="J73">
        <f t="shared" si="13"/>
        <v>3601.1823037397139</v>
      </c>
      <c r="K73">
        <f t="shared" si="13"/>
        <v>3496.2934987764211</v>
      </c>
      <c r="L73">
        <f t="shared" si="13"/>
        <v>3394.4597075499237</v>
      </c>
      <c r="M73">
        <f t="shared" si="13"/>
        <v>3295.5919490775959</v>
      </c>
      <c r="N73">
        <f t="shared" si="13"/>
        <v>3199.6038340559185</v>
      </c>
      <c r="O73">
        <f t="shared" si="13"/>
        <v>3106.4114893746778</v>
      </c>
    </row>
    <row r="74" spans="3:26" x14ac:dyDescent="0.25">
      <c r="C74" t="s">
        <v>106</v>
      </c>
      <c r="D74" s="145">
        <f>SUM(D73:K73)</f>
        <v>31090.216707452633</v>
      </c>
      <c r="E74" s="145">
        <f>SUM(E73:L73)</f>
        <v>30184.676415002552</v>
      </c>
      <c r="F74" s="145">
        <f>SUM(F73:M73)</f>
        <v>29305.511082526751</v>
      </c>
      <c r="G74" s="145">
        <f t="shared" ref="G74:O74" si="14">SUM(G73:N73)</f>
        <v>28451.952507307524</v>
      </c>
      <c r="H74" s="145">
        <f t="shared" si="14"/>
        <v>27623.254861463614</v>
      </c>
      <c r="I74" s="145">
        <f t="shared" si="14"/>
        <v>23802.760555426157</v>
      </c>
      <c r="J74" s="145">
        <f t="shared" si="14"/>
        <v>20093.542782574252</v>
      </c>
      <c r="K74" s="145">
        <f t="shared" si="14"/>
        <v>16492.360478834536</v>
      </c>
      <c r="L74" s="145">
        <f t="shared" si="14"/>
        <v>12996.066980058116</v>
      </c>
      <c r="M74" s="145">
        <f t="shared" si="14"/>
        <v>9601.6072725081922</v>
      </c>
      <c r="N74" s="145">
        <f t="shared" si="14"/>
        <v>6306.0153234305963</v>
      </c>
      <c r="O74" s="145">
        <f t="shared" si="14"/>
        <v>3106.4114893746778</v>
      </c>
    </row>
    <row r="77" spans="3:26" x14ac:dyDescent="0.25">
      <c r="C77" t="s">
        <v>98</v>
      </c>
      <c r="D77">
        <f>29200</f>
        <v>29200</v>
      </c>
      <c r="E77">
        <f>29200</f>
        <v>29200</v>
      </c>
      <c r="F77">
        <f>29200</f>
        <v>29200</v>
      </c>
      <c r="G77">
        <f>29200</f>
        <v>29200</v>
      </c>
      <c r="H77">
        <f>29200</f>
        <v>29200</v>
      </c>
      <c r="I77">
        <f>29200</f>
        <v>29200</v>
      </c>
      <c r="J77">
        <f>29200</f>
        <v>29200</v>
      </c>
      <c r="K77">
        <f>29200</f>
        <v>29200</v>
      </c>
      <c r="L77">
        <f>29200</f>
        <v>29200</v>
      </c>
      <c r="M77">
        <f>29200</f>
        <v>29200</v>
      </c>
      <c r="N77">
        <f>29200</f>
        <v>29200</v>
      </c>
      <c r="O77">
        <f>29200</f>
        <v>29200</v>
      </c>
      <c r="P77">
        <f>29200</f>
        <v>29200</v>
      </c>
      <c r="Q77">
        <f>29200</f>
        <v>29200</v>
      </c>
      <c r="R77">
        <f>29200</f>
        <v>29200</v>
      </c>
      <c r="S77">
        <f>29200</f>
        <v>29200</v>
      </c>
      <c r="T77">
        <f>29200</f>
        <v>29200</v>
      </c>
      <c r="U77">
        <f>29200</f>
        <v>29200</v>
      </c>
      <c r="V77">
        <f>29200</f>
        <v>29200</v>
      </c>
      <c r="W77">
        <f>29200</f>
        <v>29200</v>
      </c>
      <c r="X77">
        <f>29200</f>
        <v>29200</v>
      </c>
      <c r="Y77">
        <f>29200</f>
        <v>29200</v>
      </c>
      <c r="Z77">
        <f>29200</f>
        <v>29200</v>
      </c>
    </row>
    <row r="78" spans="3:26" x14ac:dyDescent="0.25">
      <c r="C78" t="s">
        <v>107</v>
      </c>
      <c r="D78" s="30">
        <f>($D$29/100)*D77</f>
        <v>1752</v>
      </c>
      <c r="E78" s="30">
        <f t="shared" ref="E78:Z78" si="15">($D$29/100)*E77</f>
        <v>1752</v>
      </c>
      <c r="F78" s="30">
        <f t="shared" si="15"/>
        <v>1752</v>
      </c>
      <c r="G78" s="30">
        <f t="shared" si="15"/>
        <v>1752</v>
      </c>
      <c r="H78" s="30">
        <f t="shared" si="15"/>
        <v>1752</v>
      </c>
      <c r="I78" s="30">
        <f t="shared" si="15"/>
        <v>1752</v>
      </c>
      <c r="J78" s="30">
        <f t="shared" si="15"/>
        <v>1752</v>
      </c>
      <c r="K78" s="30">
        <f t="shared" si="15"/>
        <v>1752</v>
      </c>
      <c r="L78" s="30">
        <f t="shared" si="15"/>
        <v>1752</v>
      </c>
      <c r="M78" s="30">
        <f t="shared" si="15"/>
        <v>1752</v>
      </c>
      <c r="N78" s="30">
        <f t="shared" si="15"/>
        <v>1752</v>
      </c>
      <c r="O78" s="30">
        <f t="shared" si="15"/>
        <v>1752</v>
      </c>
      <c r="P78" s="30">
        <f t="shared" si="15"/>
        <v>1752</v>
      </c>
      <c r="Q78" s="30">
        <f t="shared" si="15"/>
        <v>1752</v>
      </c>
      <c r="R78" s="30">
        <f t="shared" si="15"/>
        <v>1752</v>
      </c>
      <c r="S78" s="30">
        <f t="shared" si="15"/>
        <v>1752</v>
      </c>
      <c r="T78" s="30">
        <f t="shared" si="15"/>
        <v>1752</v>
      </c>
      <c r="U78" s="30">
        <f t="shared" si="15"/>
        <v>1752</v>
      </c>
      <c r="V78" s="30">
        <f t="shared" si="15"/>
        <v>1752</v>
      </c>
      <c r="W78" s="30">
        <f t="shared" si="15"/>
        <v>1752</v>
      </c>
      <c r="X78" s="30">
        <f t="shared" si="15"/>
        <v>1752</v>
      </c>
      <c r="Y78" s="30">
        <f t="shared" si="15"/>
        <v>1752</v>
      </c>
      <c r="Z78" s="30">
        <f t="shared" si="15"/>
        <v>1752</v>
      </c>
    </row>
    <row r="79" spans="3:26" x14ac:dyDescent="0.25">
      <c r="C79" t="s">
        <v>108</v>
      </c>
      <c r="D79">
        <f>D78*$D$30</f>
        <v>12264</v>
      </c>
      <c r="E79">
        <f t="shared" ref="E79:Z79" si="16">E78*$D$30</f>
        <v>12264</v>
      </c>
      <c r="F79">
        <f t="shared" si="16"/>
        <v>12264</v>
      </c>
      <c r="G79">
        <f t="shared" si="16"/>
        <v>12264</v>
      </c>
      <c r="H79">
        <f t="shared" si="16"/>
        <v>12264</v>
      </c>
      <c r="I79">
        <f t="shared" si="16"/>
        <v>12264</v>
      </c>
      <c r="J79">
        <f t="shared" si="16"/>
        <v>12264</v>
      </c>
      <c r="K79">
        <f t="shared" si="16"/>
        <v>12264</v>
      </c>
      <c r="L79">
        <f t="shared" si="16"/>
        <v>12264</v>
      </c>
      <c r="M79">
        <f t="shared" si="16"/>
        <v>12264</v>
      </c>
      <c r="N79">
        <f t="shared" si="16"/>
        <v>12264</v>
      </c>
      <c r="O79">
        <f t="shared" si="16"/>
        <v>12264</v>
      </c>
      <c r="P79">
        <f t="shared" si="16"/>
        <v>12264</v>
      </c>
      <c r="Q79">
        <f t="shared" si="16"/>
        <v>12264</v>
      </c>
      <c r="R79">
        <f t="shared" si="16"/>
        <v>12264</v>
      </c>
      <c r="S79">
        <f t="shared" si="16"/>
        <v>12264</v>
      </c>
      <c r="T79">
        <f t="shared" si="16"/>
        <v>12264</v>
      </c>
      <c r="U79">
        <f t="shared" si="16"/>
        <v>12264</v>
      </c>
      <c r="V79">
        <f t="shared" si="16"/>
        <v>12264</v>
      </c>
      <c r="W79">
        <f t="shared" si="16"/>
        <v>12264</v>
      </c>
      <c r="X79">
        <f t="shared" si="16"/>
        <v>12264</v>
      </c>
      <c r="Y79">
        <f t="shared" si="16"/>
        <v>12264</v>
      </c>
      <c r="Z79">
        <f t="shared" si="16"/>
        <v>12264</v>
      </c>
    </row>
    <row r="80" spans="3:26" x14ac:dyDescent="0.25">
      <c r="C80" t="s">
        <v>109</v>
      </c>
      <c r="D80">
        <f>D79/(1+$D$31)^(D61-2019)</f>
        <v>12264</v>
      </c>
      <c r="E80">
        <f t="shared" ref="E80:Z80" si="17">E79/(1+$D$31)^(E61-2019)</f>
        <v>11906.796116504855</v>
      </c>
      <c r="F80">
        <f t="shared" si="17"/>
        <v>11559.996229616365</v>
      </c>
      <c r="G80">
        <f t="shared" si="17"/>
        <v>11223.297310307149</v>
      </c>
      <c r="H80">
        <f t="shared" si="17"/>
        <v>10896.405155638009</v>
      </c>
      <c r="I80">
        <f t="shared" si="17"/>
        <v>10579.034131687389</v>
      </c>
      <c r="J80">
        <f t="shared" si="17"/>
        <v>10270.906923968338</v>
      </c>
      <c r="K80">
        <f t="shared" si="17"/>
        <v>9971.7542951148898</v>
      </c>
      <c r="L80">
        <f t="shared" si="17"/>
        <v>9681.3148496261092</v>
      </c>
      <c r="M80">
        <f t="shared" si="17"/>
        <v>9399.3348054622402</v>
      </c>
      <c r="N80">
        <f t="shared" si="17"/>
        <v>9125.5677722934379</v>
      </c>
      <c r="O80">
        <f t="shared" si="17"/>
        <v>8859.7745362072201</v>
      </c>
      <c r="P80">
        <f t="shared" si="17"/>
        <v>8601.7228506866231</v>
      </c>
      <c r="Q80">
        <f t="shared" si="17"/>
        <v>8351.1872336763336</v>
      </c>
      <c r="R80">
        <f t="shared" si="17"/>
        <v>8107.9487705595466</v>
      </c>
      <c r="S80">
        <f t="shared" si="17"/>
        <v>7871.794922873346</v>
      </c>
      <c r="T80">
        <f t="shared" si="17"/>
        <v>7642.5193425954822</v>
      </c>
      <c r="U80">
        <f t="shared" si="17"/>
        <v>7419.9216918402744</v>
      </c>
      <c r="V80">
        <f t="shared" si="17"/>
        <v>7203.8074678060912</v>
      </c>
      <c r="W80">
        <f t="shared" si="17"/>
        <v>6993.9878328214481</v>
      </c>
      <c r="X80">
        <f t="shared" si="17"/>
        <v>6790.2794493412121</v>
      </c>
      <c r="Y80">
        <f t="shared" si="17"/>
        <v>6592.5043197487503</v>
      </c>
      <c r="Z80">
        <f t="shared" si="17"/>
        <v>6400.4896308240286</v>
      </c>
    </row>
    <row r="81" spans="3:15" x14ac:dyDescent="0.25">
      <c r="C81" t="s">
        <v>110</v>
      </c>
      <c r="D81" s="1">
        <f>SUM(D80:K80)</f>
        <v>88672.190162837011</v>
      </c>
      <c r="E81" s="1">
        <f t="shared" ref="E81:O81" si="18">SUM(E80:L80)</f>
        <v>86089.505012463109</v>
      </c>
      <c r="F81" s="1">
        <f t="shared" si="18"/>
        <v>83582.04370142048</v>
      </c>
      <c r="G81" s="1">
        <f t="shared" si="18"/>
        <v>81147.615244097571</v>
      </c>
      <c r="H81" s="1">
        <f t="shared" si="18"/>
        <v>78784.092469997631</v>
      </c>
      <c r="I81" s="1">
        <f t="shared" si="18"/>
        <v>76489.41016504624</v>
      </c>
      <c r="J81" s="1">
        <f t="shared" si="18"/>
        <v>74261.563267035192</v>
      </c>
      <c r="K81" s="1">
        <f t="shared" si="18"/>
        <v>72098.6051136264</v>
      </c>
      <c r="L81" s="1">
        <f t="shared" si="18"/>
        <v>69998.645741384855</v>
      </c>
      <c r="M81" s="1">
        <f t="shared" si="18"/>
        <v>67959.850234354235</v>
      </c>
      <c r="N81" s="1">
        <f t="shared" si="18"/>
        <v>65980.437120732269</v>
      </c>
      <c r="O81" s="1">
        <f t="shared" si="18"/>
        <v>64058.676816244915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111"/>
  <sheetViews>
    <sheetView topLeftCell="A4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9" width="15" bestFit="1" customWidth="1"/>
    <col min="10" max="10" width="12.77734375" customWidth="1"/>
    <col min="11" max="15" width="15" bestFit="1" customWidth="1"/>
    <col min="16" max="16" width="10.5546875" bestFit="1" customWidth="1"/>
  </cols>
  <sheetData>
    <row r="4" spans="3:15" x14ac:dyDescent="0.25">
      <c r="C4" s="131" t="s">
        <v>363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160144.44444444444</v>
      </c>
      <c r="E6" s="71">
        <v>150620.44444444444</v>
      </c>
      <c r="F6" s="71">
        <v>142028.84444444446</v>
      </c>
      <c r="G6" s="71">
        <v>134276.40444444446</v>
      </c>
      <c r="H6" s="72">
        <v>127279.20844444446</v>
      </c>
      <c r="I6" s="72">
        <v>120961.73204444446</v>
      </c>
      <c r="J6" s="72">
        <v>115256.00328444446</v>
      </c>
      <c r="K6" s="73">
        <v>110100.84740044447</v>
      </c>
      <c r="L6" s="73">
        <v>105441.20710484448</v>
      </c>
      <c r="M6" s="73">
        <v>101227.53083880448</v>
      </c>
      <c r="N6" s="73">
        <v>97415.22219936848</v>
      </c>
      <c r="O6" s="103">
        <v>93964.144423876074</v>
      </c>
    </row>
    <row r="7" spans="3:15" x14ac:dyDescent="0.25">
      <c r="C7" s="102" t="s">
        <v>46</v>
      </c>
      <c r="D7" s="74">
        <v>0</v>
      </c>
      <c r="E7" s="75">
        <v>0</v>
      </c>
      <c r="F7" s="76">
        <v>14202.884444444448</v>
      </c>
      <c r="G7" s="76">
        <v>13427.640444444447</v>
      </c>
      <c r="H7" s="77">
        <v>12727.920844444447</v>
      </c>
      <c r="I7" s="77">
        <v>12096.173204444447</v>
      </c>
      <c r="J7" s="77">
        <v>11525.600328444447</v>
      </c>
      <c r="K7" s="78">
        <v>11010.084740044447</v>
      </c>
      <c r="L7" s="78">
        <v>10544.120710484449</v>
      </c>
      <c r="M7" s="78">
        <v>10122.753083880449</v>
      </c>
      <c r="N7" s="78">
        <v>9741.5222199368491</v>
      </c>
      <c r="O7" s="99">
        <v>9396.4144423876078</v>
      </c>
    </row>
    <row r="8" spans="3:15" x14ac:dyDescent="0.25">
      <c r="C8" s="102" t="s">
        <v>48</v>
      </c>
      <c r="D8" s="79">
        <v>160144.44444444444</v>
      </c>
      <c r="E8" s="80">
        <v>150620.44444444444</v>
      </c>
      <c r="F8" s="80">
        <v>156231.7288888889</v>
      </c>
      <c r="G8" s="90">
        <v>147704.04488888889</v>
      </c>
      <c r="H8" s="81">
        <v>140007.12928888891</v>
      </c>
      <c r="I8" s="81">
        <v>133057.90524888891</v>
      </c>
      <c r="J8" s="81">
        <v>126781.60361288891</v>
      </c>
      <c r="K8" s="82">
        <v>121110.93214048892</v>
      </c>
      <c r="L8" s="82">
        <v>115985.32781532893</v>
      </c>
      <c r="M8" s="82">
        <v>111350.28392268493</v>
      </c>
      <c r="N8" s="82">
        <v>107156.74441930532</v>
      </c>
      <c r="O8" s="100">
        <v>103360.55886626369</v>
      </c>
    </row>
    <row r="9" spans="3:15" x14ac:dyDescent="0.25">
      <c r="C9" s="102" t="s">
        <v>84</v>
      </c>
      <c r="D9" s="79">
        <v>300</v>
      </c>
      <c r="E9" s="90">
        <v>300</v>
      </c>
      <c r="F9" s="90">
        <v>300</v>
      </c>
      <c r="G9" s="90">
        <v>300</v>
      </c>
      <c r="H9" s="94">
        <v>300</v>
      </c>
      <c r="I9" s="94">
        <v>300</v>
      </c>
      <c r="J9" s="94">
        <v>300</v>
      </c>
      <c r="K9" s="95">
        <v>300</v>
      </c>
      <c r="L9" s="95">
        <v>300</v>
      </c>
      <c r="M9" s="95">
        <v>300</v>
      </c>
      <c r="N9" s="95">
        <v>300</v>
      </c>
      <c r="O9" s="101">
        <v>300</v>
      </c>
    </row>
    <row r="10" spans="3:15" x14ac:dyDescent="0.25">
      <c r="C10" s="102" t="s">
        <v>94</v>
      </c>
      <c r="D10" s="79">
        <v>5</v>
      </c>
      <c r="E10" s="147">
        <v>5</v>
      </c>
      <c r="F10" s="147">
        <v>5</v>
      </c>
      <c r="G10" s="147">
        <v>5</v>
      </c>
      <c r="H10" s="148">
        <v>5</v>
      </c>
      <c r="I10" s="148">
        <v>5</v>
      </c>
      <c r="J10" s="148">
        <v>5</v>
      </c>
      <c r="K10" s="149">
        <v>5</v>
      </c>
      <c r="L10" s="149">
        <v>5</v>
      </c>
      <c r="M10" s="149">
        <v>5</v>
      </c>
      <c r="N10" s="149">
        <v>5</v>
      </c>
      <c r="O10" s="169">
        <v>5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57850.494812066376</v>
      </c>
      <c r="E14" s="90">
        <v>56165.528943753765</v>
      </c>
      <c r="F14" s="90">
        <v>54529.639751217255</v>
      </c>
      <c r="G14" s="90">
        <v>52941.397816715784</v>
      </c>
      <c r="H14" s="94">
        <v>51399.415356034748</v>
      </c>
      <c r="I14" s="94">
        <v>49902.345005858973</v>
      </c>
      <c r="J14" s="94">
        <v>48448.878646465026</v>
      </c>
      <c r="K14" s="95">
        <v>47037.746258703904</v>
      </c>
      <c r="L14" s="95">
        <v>45667.714814275641</v>
      </c>
      <c r="M14" s="95">
        <v>44337.587198325862</v>
      </c>
      <c r="N14" s="95">
        <v>43046.201163423168</v>
      </c>
      <c r="O14" s="101">
        <v>41792.428314003075</v>
      </c>
    </row>
    <row r="15" spans="3:15" x14ac:dyDescent="0.25">
      <c r="C15" s="102" t="s">
        <v>89</v>
      </c>
      <c r="D15" s="79">
        <v>10800</v>
      </c>
      <c r="E15" s="90">
        <f>D15*(1-$D$13)</f>
        <v>10476</v>
      </c>
      <c r="F15" s="90">
        <f t="shared" ref="F15:O15" si="0">E15*(1-$D$13)</f>
        <v>10161.719999999999</v>
      </c>
      <c r="G15" s="90">
        <f t="shared" si="0"/>
        <v>9856.8683999999994</v>
      </c>
      <c r="H15" s="94">
        <f t="shared" si="0"/>
        <v>9561.1623479999998</v>
      </c>
      <c r="I15" s="94">
        <f t="shared" si="0"/>
        <v>9274.3274775600003</v>
      </c>
      <c r="J15" s="94">
        <f t="shared" si="0"/>
        <v>8996.0976532332006</v>
      </c>
      <c r="K15" s="95">
        <f t="shared" si="0"/>
        <v>8726.2147236362052</v>
      </c>
      <c r="L15" s="95">
        <f t="shared" si="0"/>
        <v>8464.4282819271193</v>
      </c>
      <c r="M15" s="95">
        <f t="shared" si="0"/>
        <v>8210.4954334693048</v>
      </c>
      <c r="N15" s="95">
        <f t="shared" si="0"/>
        <v>7964.1805704652252</v>
      </c>
      <c r="O15" s="101">
        <f t="shared" si="0"/>
        <v>7725.2551533512678</v>
      </c>
    </row>
    <row r="16" spans="3:15" x14ac:dyDescent="0.25">
      <c r="C16" s="102" t="s">
        <v>90</v>
      </c>
      <c r="D16" s="79">
        <v>23585.492014051848</v>
      </c>
      <c r="E16" s="90">
        <v>22898.535935972668</v>
      </c>
      <c r="F16" s="90">
        <v>22231.588287352108</v>
      </c>
      <c r="G16" s="90">
        <v>21584.066298400106</v>
      </c>
      <c r="H16" s="94">
        <v>20955.404173203988</v>
      </c>
      <c r="I16" s="94">
        <v>20345.052595343674</v>
      </c>
      <c r="J16" s="94">
        <v>19752.478247906478</v>
      </c>
      <c r="K16" s="95">
        <v>19177.163347482019</v>
      </c>
      <c r="L16" s="95">
        <v>15111.705790765252</v>
      </c>
      <c r="M16" s="95">
        <v>11164.659619195572</v>
      </c>
      <c r="N16" s="95">
        <v>7332.5759574774374</v>
      </c>
      <c r="O16" s="101">
        <v>3612.1063829938116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24021.666666666664</v>
      </c>
      <c r="E18" s="90">
        <f t="shared" ref="E18:O18" si="1">0.15*E6</f>
        <v>22593.066666666666</v>
      </c>
      <c r="F18" s="90">
        <f t="shared" si="1"/>
        <v>21304.326666666668</v>
      </c>
      <c r="G18" s="90">
        <f t="shared" si="1"/>
        <v>20141.46066666667</v>
      </c>
      <c r="H18" s="94">
        <f t="shared" si="1"/>
        <v>19091.881266666667</v>
      </c>
      <c r="I18" s="94">
        <f t="shared" si="1"/>
        <v>18144.259806666669</v>
      </c>
      <c r="J18" s="94">
        <f t="shared" si="1"/>
        <v>17288.400492666668</v>
      </c>
      <c r="K18" s="95">
        <f t="shared" si="1"/>
        <v>16515.127110066671</v>
      </c>
      <c r="L18" s="95">
        <f t="shared" si="1"/>
        <v>15816.181065726671</v>
      </c>
      <c r="M18" s="95">
        <f t="shared" si="1"/>
        <v>15184.129625820671</v>
      </c>
      <c r="N18" s="95">
        <f t="shared" si="1"/>
        <v>14612.283329905271</v>
      </c>
      <c r="O18" s="101">
        <f t="shared" si="1"/>
        <v>14094.621663581411</v>
      </c>
    </row>
    <row r="19" spans="3:15" x14ac:dyDescent="0.25">
      <c r="C19" s="160" t="s">
        <v>93</v>
      </c>
      <c r="D19" s="161">
        <f>D8+D14+D15+D16+D17-D18</f>
        <v>228358.76460389601</v>
      </c>
      <c r="E19" s="158">
        <f t="shared" ref="E19:O19" si="2">E8+E14+E15+E16+E17-E18</f>
        <v>217567.44265750423</v>
      </c>
      <c r="F19" s="158">
        <f t="shared" si="2"/>
        <v>221850.35026079163</v>
      </c>
      <c r="G19" s="158">
        <f t="shared" si="2"/>
        <v>211944.91673733812</v>
      </c>
      <c r="H19" s="159">
        <f t="shared" si="2"/>
        <v>202831.22989946097</v>
      </c>
      <c r="I19" s="159">
        <f t="shared" si="2"/>
        <v>194435.3705209849</v>
      </c>
      <c r="J19" s="159">
        <f t="shared" si="2"/>
        <v>186690.65766782698</v>
      </c>
      <c r="K19" s="162">
        <f t="shared" si="2"/>
        <v>179536.92936024434</v>
      </c>
      <c r="L19" s="162">
        <f t="shared" si="2"/>
        <v>169412.9956365703</v>
      </c>
      <c r="M19" s="162">
        <f t="shared" si="2"/>
        <v>159878.89654785499</v>
      </c>
      <c r="N19" s="162">
        <f t="shared" si="2"/>
        <v>150887.41878076587</v>
      </c>
      <c r="O19" s="172">
        <f t="shared" si="2"/>
        <v>142395.72705303042</v>
      </c>
    </row>
    <row r="20" spans="3:15" x14ac:dyDescent="0.25">
      <c r="C20" s="131" t="s">
        <v>375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140427.77777777778</v>
      </c>
      <c r="E22" s="87">
        <v>140887.77777777778</v>
      </c>
      <c r="F22" s="87">
        <v>141356.97777777779</v>
      </c>
      <c r="G22" s="87">
        <v>141835.5617777778</v>
      </c>
      <c r="H22" s="88">
        <v>142323.71745777782</v>
      </c>
      <c r="I22" s="88">
        <v>142821.63625137781</v>
      </c>
      <c r="J22" s="88">
        <v>143329.51342084981</v>
      </c>
      <c r="K22" s="89">
        <v>143847.54813371127</v>
      </c>
      <c r="L22" s="89">
        <v>144375.94354082993</v>
      </c>
      <c r="M22" s="89">
        <v>144914.90685609097</v>
      </c>
      <c r="N22" s="89">
        <v>145464.64943765724</v>
      </c>
      <c r="O22" s="107">
        <v>146025.38687085483</v>
      </c>
    </row>
    <row r="23" spans="3:15" x14ac:dyDescent="0.25">
      <c r="C23" s="102" t="s">
        <v>46</v>
      </c>
      <c r="D23" s="117">
        <v>14042.777777777779</v>
      </c>
      <c r="E23" s="76">
        <v>14088.777777777779</v>
      </c>
      <c r="F23" s="76">
        <v>14135.697777777779</v>
      </c>
      <c r="G23" s="76">
        <v>14183.55617777778</v>
      </c>
      <c r="H23" s="77">
        <v>14232.371745777782</v>
      </c>
      <c r="I23" s="77">
        <v>14282.163625137782</v>
      </c>
      <c r="J23" s="77">
        <v>14332.951342084982</v>
      </c>
      <c r="K23" s="78">
        <v>14384.754813371128</v>
      </c>
      <c r="L23" s="78">
        <v>14437.594354082994</v>
      </c>
      <c r="M23" s="78">
        <v>14491.490685609097</v>
      </c>
      <c r="N23" s="78">
        <v>14546.464943765724</v>
      </c>
      <c r="O23" s="104">
        <v>14602.538687085484</v>
      </c>
    </row>
    <row r="24" spans="3:15" x14ac:dyDescent="0.25">
      <c r="C24" s="102" t="s">
        <v>56</v>
      </c>
      <c r="D24" s="93">
        <v>154470.55555555556</v>
      </c>
      <c r="E24" s="71">
        <v>154976.55555555556</v>
      </c>
      <c r="F24" s="71">
        <v>155492.67555555556</v>
      </c>
      <c r="G24" s="80">
        <v>156019.11795555559</v>
      </c>
      <c r="H24" s="72">
        <v>156556.0892035556</v>
      </c>
      <c r="I24" s="72">
        <v>157103.79987651561</v>
      </c>
      <c r="J24" s="72">
        <v>157662.46476293477</v>
      </c>
      <c r="K24" s="73">
        <v>158232.30294708241</v>
      </c>
      <c r="L24" s="73">
        <v>158813.53789491294</v>
      </c>
      <c r="M24" s="73">
        <v>159406.39754170005</v>
      </c>
      <c r="N24" s="73">
        <v>160011.11438142296</v>
      </c>
      <c r="O24" s="103">
        <v>160627.9255579403</v>
      </c>
    </row>
    <row r="25" spans="3:15" x14ac:dyDescent="0.25">
      <c r="C25" s="102" t="s">
        <v>84</v>
      </c>
      <c r="D25" s="79">
        <v>300</v>
      </c>
      <c r="E25" s="71">
        <f>D25</f>
        <v>300</v>
      </c>
      <c r="F25" s="71">
        <f t="shared" ref="F25:O25" si="3">E25</f>
        <v>300</v>
      </c>
      <c r="G25" s="80">
        <f t="shared" si="3"/>
        <v>300</v>
      </c>
      <c r="H25" s="72">
        <f t="shared" si="3"/>
        <v>300</v>
      </c>
      <c r="I25" s="72">
        <f t="shared" si="3"/>
        <v>300</v>
      </c>
      <c r="J25" s="72">
        <f t="shared" si="3"/>
        <v>300</v>
      </c>
      <c r="K25" s="73">
        <f t="shared" si="3"/>
        <v>300</v>
      </c>
      <c r="L25" s="73">
        <f t="shared" si="3"/>
        <v>300</v>
      </c>
      <c r="M25" s="73">
        <f t="shared" si="3"/>
        <v>300</v>
      </c>
      <c r="N25" s="73">
        <f t="shared" si="3"/>
        <v>300</v>
      </c>
      <c r="O25" s="103">
        <f t="shared" si="3"/>
        <v>300</v>
      </c>
    </row>
    <row r="26" spans="3:15" x14ac:dyDescent="0.25">
      <c r="C26" s="102" t="s">
        <v>94</v>
      </c>
      <c r="D26" s="79">
        <v>5</v>
      </c>
      <c r="E26" s="76">
        <v>5</v>
      </c>
      <c r="F26" s="76">
        <v>5</v>
      </c>
      <c r="G26" s="76">
        <v>5</v>
      </c>
      <c r="H26" s="77">
        <v>5</v>
      </c>
      <c r="I26" s="77">
        <v>5</v>
      </c>
      <c r="J26" s="77">
        <v>5</v>
      </c>
      <c r="K26" s="78">
        <v>5</v>
      </c>
      <c r="L26" s="78">
        <v>5</v>
      </c>
      <c r="M26" s="78">
        <v>5</v>
      </c>
      <c r="N26" s="78">
        <v>5</v>
      </c>
      <c r="O26" s="104">
        <v>5</v>
      </c>
    </row>
    <row r="27" spans="3:15" x14ac:dyDescent="0.25">
      <c r="C27" s="102" t="s">
        <v>95</v>
      </c>
      <c r="D27" s="83">
        <v>6</v>
      </c>
      <c r="E27" s="76">
        <v>6</v>
      </c>
      <c r="F27" s="76">
        <v>6</v>
      </c>
      <c r="G27" s="76">
        <v>6</v>
      </c>
      <c r="H27" s="77">
        <v>6</v>
      </c>
      <c r="I27" s="77">
        <v>6</v>
      </c>
      <c r="J27" s="77">
        <v>6</v>
      </c>
      <c r="K27" s="78">
        <v>6</v>
      </c>
      <c r="L27" s="78">
        <v>6</v>
      </c>
      <c r="M27" s="78">
        <v>6</v>
      </c>
      <c r="N27" s="78">
        <v>6</v>
      </c>
      <c r="O27" s="104">
        <v>6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216939.35554524889</v>
      </c>
      <c r="E30" s="71">
        <v>210620.73353907661</v>
      </c>
      <c r="F30" s="71">
        <v>204486.14906706469</v>
      </c>
      <c r="G30" s="80">
        <v>198530.24181268417</v>
      </c>
      <c r="H30" s="72">
        <v>192747.80758513024</v>
      </c>
      <c r="I30" s="72">
        <v>187133.79377197113</v>
      </c>
      <c r="J30" s="72">
        <v>181683.29492424379</v>
      </c>
      <c r="K30" s="73">
        <v>176391.54847013962</v>
      </c>
      <c r="L30" s="73">
        <v>171253.9305535336</v>
      </c>
      <c r="M30" s="73">
        <v>166265.95199372197</v>
      </c>
      <c r="N30" s="73">
        <v>161423.25436283686</v>
      </c>
      <c r="O30" s="103">
        <v>156721.60617751151</v>
      </c>
    </row>
    <row r="31" spans="3:15" x14ac:dyDescent="0.25">
      <c r="C31" s="102" t="s">
        <v>89</v>
      </c>
      <c r="D31" s="70">
        <f>55*600+54*1200</f>
        <v>97800</v>
      </c>
      <c r="E31" s="71">
        <f>D31*(1-$D$29)</f>
        <v>94866</v>
      </c>
      <c r="F31" s="71">
        <f t="shared" ref="F31:O31" si="4">E31*(1-$D$29)</f>
        <v>92020.02</v>
      </c>
      <c r="G31" s="80">
        <f t="shared" si="4"/>
        <v>89259.419399999999</v>
      </c>
      <c r="H31" s="72">
        <f t="shared" si="4"/>
        <v>86581.636817999999</v>
      </c>
      <c r="I31" s="72">
        <f t="shared" si="4"/>
        <v>83984.187713459993</v>
      </c>
      <c r="J31" s="72">
        <f t="shared" si="4"/>
        <v>81464.662082056195</v>
      </c>
      <c r="K31" s="73">
        <f t="shared" si="4"/>
        <v>79020.722219594507</v>
      </c>
      <c r="L31" s="73">
        <f t="shared" si="4"/>
        <v>76650.100553006676</v>
      </c>
      <c r="M31" s="73">
        <f t="shared" si="4"/>
        <v>74350.597536416477</v>
      </c>
      <c r="N31" s="73">
        <f t="shared" si="4"/>
        <v>72120.079610323985</v>
      </c>
      <c r="O31" s="103">
        <f t="shared" si="4"/>
        <v>69956.477222014262</v>
      </c>
    </row>
    <row r="32" spans="3:15" x14ac:dyDescent="0.25">
      <c r="C32" s="102" t="s">
        <v>90</v>
      </c>
      <c r="D32" s="79">
        <v>22170.36249320874</v>
      </c>
      <c r="E32" s="71">
        <v>21524.623779814312</v>
      </c>
      <c r="F32" s="71">
        <v>20897.692990110983</v>
      </c>
      <c r="G32" s="80">
        <v>20289.022320496097</v>
      </c>
      <c r="H32" s="72">
        <v>19698.079922811747</v>
      </c>
      <c r="I32" s="72">
        <v>19124.349439623053</v>
      </c>
      <c r="J32" s="72">
        <v>18567.32955303209</v>
      </c>
      <c r="K32" s="73">
        <v>18026.533546633098</v>
      </c>
      <c r="L32" s="73">
        <v>17501.488880226309</v>
      </c>
      <c r="M32" s="73">
        <v>16991.736776918748</v>
      </c>
      <c r="N32" s="73">
        <v>16496.831822251213</v>
      </c>
      <c r="O32" s="103">
        <v>16016.341575001177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5">E33*(1-$D$29)</f>
        <v>338.72399999999999</v>
      </c>
      <c r="G33" s="80">
        <f t="shared" si="5"/>
        <v>328.56227999999999</v>
      </c>
      <c r="H33" s="72">
        <f t="shared" si="5"/>
        <v>318.70541159999999</v>
      </c>
      <c r="I33" s="72">
        <f t="shared" si="5"/>
        <v>309.14424925200001</v>
      </c>
      <c r="J33" s="72">
        <f t="shared" si="5"/>
        <v>299.86992177444</v>
      </c>
      <c r="K33" s="73">
        <f t="shared" si="5"/>
        <v>290.87382412120678</v>
      </c>
      <c r="L33" s="73">
        <f t="shared" si="5"/>
        <v>282.14760939757059</v>
      </c>
      <c r="M33" s="73">
        <f t="shared" si="5"/>
        <v>273.68318111564349</v>
      </c>
      <c r="N33" s="73">
        <f t="shared" si="5"/>
        <v>265.47268568217419</v>
      </c>
      <c r="O33" s="103">
        <f t="shared" si="5"/>
        <v>257.50850511170893</v>
      </c>
    </row>
    <row r="34" spans="3:15" x14ac:dyDescent="0.25">
      <c r="C34" s="102" t="s">
        <v>87</v>
      </c>
      <c r="D34" s="79">
        <f>0.35*D22</f>
        <v>49149.722222222219</v>
      </c>
      <c r="E34" s="71">
        <f t="shared" ref="E34:O34" si="6">0.35*E22</f>
        <v>49310.722222222219</v>
      </c>
      <c r="F34" s="71">
        <f t="shared" si="6"/>
        <v>49474.942222222227</v>
      </c>
      <c r="G34" s="80">
        <f t="shared" si="6"/>
        <v>49642.446622222225</v>
      </c>
      <c r="H34" s="72">
        <f t="shared" si="6"/>
        <v>49813.301110222237</v>
      </c>
      <c r="I34" s="72">
        <f t="shared" si="6"/>
        <v>49987.572687982232</v>
      </c>
      <c r="J34" s="72">
        <f t="shared" si="6"/>
        <v>50165.329697297428</v>
      </c>
      <c r="K34" s="73">
        <f t="shared" si="6"/>
        <v>50346.641846798942</v>
      </c>
      <c r="L34" s="73">
        <f t="shared" si="6"/>
        <v>50531.580239290473</v>
      </c>
      <c r="M34" s="73">
        <f t="shared" si="6"/>
        <v>50720.217399631838</v>
      </c>
      <c r="N34" s="73">
        <f t="shared" si="6"/>
        <v>50912.62730318003</v>
      </c>
      <c r="O34" s="103">
        <f t="shared" si="6"/>
        <v>51108.885404799184</v>
      </c>
    </row>
    <row r="35" spans="3:15" x14ac:dyDescent="0.25">
      <c r="C35" s="160" t="s">
        <v>93</v>
      </c>
      <c r="D35" s="163">
        <f>D24+D30+D31+D32-D34</f>
        <v>442230.55137179093</v>
      </c>
      <c r="E35" s="164">
        <f t="shared" ref="E35:O35" si="7">E24+E30+E31+E32-E34</f>
        <v>432677.19065222424</v>
      </c>
      <c r="F35" s="164">
        <f t="shared" si="7"/>
        <v>423421.595390509</v>
      </c>
      <c r="G35" s="165">
        <f t="shared" si="7"/>
        <v>414455.35486651363</v>
      </c>
      <c r="H35" s="166">
        <f t="shared" si="7"/>
        <v>405770.31241927535</v>
      </c>
      <c r="I35" s="166">
        <f t="shared" si="7"/>
        <v>397358.55811358761</v>
      </c>
      <c r="J35" s="166">
        <f t="shared" si="7"/>
        <v>389212.42162496934</v>
      </c>
      <c r="K35" s="167">
        <f t="shared" si="7"/>
        <v>381324.46533665073</v>
      </c>
      <c r="L35" s="167">
        <f t="shared" si="7"/>
        <v>373687.47764238907</v>
      </c>
      <c r="M35" s="167">
        <f t="shared" si="7"/>
        <v>366294.46644912544</v>
      </c>
      <c r="N35" s="167">
        <f t="shared" si="7"/>
        <v>359138.65287365497</v>
      </c>
      <c r="O35" s="168">
        <f t="shared" si="7"/>
        <v>352213.46512766805</v>
      </c>
    </row>
    <row r="37" spans="3:15" x14ac:dyDescent="0.25">
      <c r="D37">
        <v>2019</v>
      </c>
      <c r="E37">
        <v>2020</v>
      </c>
      <c r="F37">
        <v>2021</v>
      </c>
      <c r="G37">
        <v>2022</v>
      </c>
      <c r="H37">
        <v>2023</v>
      </c>
      <c r="I37">
        <v>2024</v>
      </c>
      <c r="J37">
        <v>2025</v>
      </c>
      <c r="K37">
        <v>2026</v>
      </c>
      <c r="L37">
        <v>2027</v>
      </c>
      <c r="M37">
        <v>2028</v>
      </c>
      <c r="N37">
        <v>2029</v>
      </c>
      <c r="O37">
        <v>2030</v>
      </c>
    </row>
    <row r="38" spans="3:15" x14ac:dyDescent="0.25">
      <c r="C38" t="s">
        <v>313</v>
      </c>
      <c r="D38" s="30">
        <f>D19-D35</f>
        <v>-213871.78676789493</v>
      </c>
      <c r="E38" s="30">
        <f t="shared" ref="E38:O38" si="8">E19-E35</f>
        <v>-215109.74799472</v>
      </c>
      <c r="F38" s="30">
        <f t="shared" si="8"/>
        <v>-201571.24512971737</v>
      </c>
      <c r="G38" s="30">
        <f t="shared" si="8"/>
        <v>-202510.43812917551</v>
      </c>
      <c r="H38" s="30">
        <f t="shared" si="8"/>
        <v>-202939.08251981437</v>
      </c>
      <c r="I38" s="30">
        <f t="shared" si="8"/>
        <v>-202923.18759260271</v>
      </c>
      <c r="J38" s="30">
        <f t="shared" si="8"/>
        <v>-202521.76395714236</v>
      </c>
      <c r="K38" s="30">
        <f t="shared" si="8"/>
        <v>-201787.53597640639</v>
      </c>
      <c r="L38" s="30">
        <f t="shared" si="8"/>
        <v>-204274.48200581878</v>
      </c>
      <c r="M38" s="30">
        <f t="shared" si="8"/>
        <v>-206415.56990127044</v>
      </c>
      <c r="N38" s="30">
        <f t="shared" si="8"/>
        <v>-208251.23409288909</v>
      </c>
      <c r="O38" s="30">
        <f t="shared" si="8"/>
        <v>-209817.73807463763</v>
      </c>
    </row>
    <row r="40" spans="3:15" x14ac:dyDescent="0.25">
      <c r="D40">
        <v>2019</v>
      </c>
      <c r="E40">
        <v>2020</v>
      </c>
      <c r="F40">
        <v>2021</v>
      </c>
      <c r="G40">
        <v>2022</v>
      </c>
      <c r="H40">
        <v>2023</v>
      </c>
      <c r="I40">
        <v>2024</v>
      </c>
      <c r="J40">
        <v>2025</v>
      </c>
      <c r="K40">
        <v>2026</v>
      </c>
      <c r="L40">
        <v>2027</v>
      </c>
      <c r="M40">
        <v>2028</v>
      </c>
      <c r="N40">
        <v>2029</v>
      </c>
      <c r="O40">
        <v>2030</v>
      </c>
    </row>
    <row r="41" spans="3:15" x14ac:dyDescent="0.25">
      <c r="C41" t="s">
        <v>304</v>
      </c>
      <c r="D41" s="1">
        <v>8014.4611344907898</v>
      </c>
      <c r="E41" s="1">
        <v>245.37618235350237</v>
      </c>
      <c r="F41" s="1">
        <v>7445.0347509365238</v>
      </c>
      <c r="G41" s="1">
        <v>353.61493650788907</v>
      </c>
      <c r="H41" s="1">
        <v>-6046.1339767333702</v>
      </c>
      <c r="I41" s="1">
        <v>-12035.968586990348</v>
      </c>
      <c r="J41" s="1">
        <v>-17463.53324273316</v>
      </c>
      <c r="K41" s="1">
        <v>-22386.754622772947</v>
      </c>
      <c r="L41" s="1">
        <v>-26857.760838269431</v>
      </c>
      <c r="M41" s="1">
        <v>-32324.59090078772</v>
      </c>
      <c r="N41" s="1">
        <v>-37387.522330494234</v>
      </c>
      <c r="O41" s="1">
        <v>-42085.735082734711</v>
      </c>
    </row>
    <row r="42" spans="3:15" x14ac:dyDescent="0.25">
      <c r="C42" t="s">
        <v>342</v>
      </c>
      <c r="D42" s="1">
        <v>-4813.8229637692566</v>
      </c>
      <c r="E42" s="1">
        <v>-12205.161777122237</v>
      </c>
      <c r="F42" s="1">
        <v>-4638.8825883603131</v>
      </c>
      <c r="G42" s="1">
        <v>-11374.47956086768</v>
      </c>
      <c r="H42" s="1">
        <v>-17428.885326816497</v>
      </c>
      <c r="I42" s="1">
        <v>-23083.547772909602</v>
      </c>
      <c r="J42" s="1">
        <v>-28185.811632044381</v>
      </c>
      <c r="K42" s="1">
        <v>-32793.312795326725</v>
      </c>
      <c r="L42" s="1">
        <v>-36957.897153920261</v>
      </c>
      <c r="M42" s="1">
        <v>-40726.201268470832</v>
      </c>
      <c r="N42" s="1">
        <v>-44140.174939987613</v>
      </c>
      <c r="O42" s="1">
        <v>-47237.551493326813</v>
      </c>
    </row>
    <row r="43" spans="3:15" x14ac:dyDescent="0.25">
      <c r="C43" t="s">
        <v>306</v>
      </c>
      <c r="D43" s="1">
        <v>-17842.107062029332</v>
      </c>
      <c r="E43" s="1">
        <v>-24849.699736598035</v>
      </c>
      <c r="F43" s="1">
        <v>-16910.979927657201</v>
      </c>
      <c r="G43" s="1">
        <v>-23285.108658243291</v>
      </c>
      <c r="H43" s="1">
        <v>-28988.695238899614</v>
      </c>
      <c r="I43" s="1">
        <v>-34302.87376396879</v>
      </c>
      <c r="J43" s="1">
        <v>-39074.684422341321</v>
      </c>
      <c r="K43" s="1">
        <v>-43361.467536836659</v>
      </c>
      <c r="L43" s="1">
        <v>-47214.782141458592</v>
      </c>
      <c r="M43" s="1">
        <v>-50680.986394027335</v>
      </c>
      <c r="N43" s="1">
        <v>-53801.759897839933</v>
      </c>
      <c r="O43" s="1">
        <v>-56614.573743280853</v>
      </c>
    </row>
    <row r="44" spans="3:15" x14ac:dyDescent="0.25">
      <c r="C44" t="s">
        <v>308</v>
      </c>
      <c r="D44" s="1">
        <v>-43698.675258549396</v>
      </c>
      <c r="E44" s="1">
        <v>-49944.775655549573</v>
      </c>
      <c r="F44" s="1">
        <v>-41266.994606250926</v>
      </c>
      <c r="G44" s="1">
        <v>-46923.8322529945</v>
      </c>
      <c r="H44" s="1">
        <v>-51931.2565010658</v>
      </c>
      <c r="I44" s="1">
        <v>-56569.778940947232</v>
      </c>
      <c r="J44" s="1">
        <v>-60685.83560194954</v>
      </c>
      <c r="K44" s="1">
        <v>-64336.180450900341</v>
      </c>
      <c r="L44" s="1">
        <v>-67571.803444647667</v>
      </c>
      <c r="M44" s="1">
        <v>-70438.510433409421</v>
      </c>
      <c r="N44" s="1">
        <v>-72977.444988165444</v>
      </c>
      <c r="O44" s="1">
        <v>-75225.557962571344</v>
      </c>
    </row>
    <row r="45" spans="3:15" x14ac:dyDescent="0.25">
      <c r="C45" t="s">
        <v>310</v>
      </c>
      <c r="D45" s="1">
        <v>-68955.243455069489</v>
      </c>
      <c r="E45" s="1">
        <v>-74457.851574501226</v>
      </c>
      <c r="F45" s="1">
        <v>-65058.469284844701</v>
      </c>
      <c r="G45" s="1">
        <v>-70014.952047745726</v>
      </c>
      <c r="H45" s="1">
        <v>-74342.642077232071</v>
      </c>
      <c r="I45" s="1">
        <v>-78321.443702505814</v>
      </c>
      <c r="J45" s="1">
        <v>-81797.203578600282</v>
      </c>
      <c r="K45" s="1">
        <v>-84826.103658095293</v>
      </c>
      <c r="L45" s="1">
        <v>-87458.578732174123</v>
      </c>
      <c r="M45" s="1">
        <v>-89739.8958375988</v>
      </c>
      <c r="N45" s="1">
        <v>-91710.67560235408</v>
      </c>
      <c r="O45" s="1">
        <v>-93407.361340008982</v>
      </c>
    </row>
    <row r="46" spans="3:15" x14ac:dyDescent="0.25">
      <c r="C46" t="s">
        <v>312</v>
      </c>
      <c r="D46" s="1">
        <v>-213871.78676789493</v>
      </c>
      <c r="E46" s="1">
        <v>-215109.74799472</v>
      </c>
      <c r="F46" s="1">
        <v>-201571.24512971737</v>
      </c>
      <c r="G46" s="1">
        <v>-202510.43812917551</v>
      </c>
      <c r="H46" s="1">
        <v>-202939.08251981437</v>
      </c>
      <c r="I46" s="1">
        <v>-202923.18759260271</v>
      </c>
      <c r="J46" s="1">
        <v>-202521.76395714236</v>
      </c>
      <c r="K46" s="1">
        <v>-201787.53597640639</v>
      </c>
      <c r="L46" s="1">
        <v>-204274.48200581878</v>
      </c>
      <c r="M46" s="1">
        <v>-206415.56990127044</v>
      </c>
      <c r="N46" s="1">
        <v>-208251.23409288909</v>
      </c>
      <c r="O46" s="1">
        <v>-209817.73807463763</v>
      </c>
    </row>
    <row r="86" spans="3:26" x14ac:dyDescent="0.25">
      <c r="D86">
        <v>2019</v>
      </c>
      <c r="E86">
        <v>2020</v>
      </c>
      <c r="F86">
        <v>2021</v>
      </c>
      <c r="G86">
        <v>2022</v>
      </c>
      <c r="H86">
        <v>2023</v>
      </c>
      <c r="I86">
        <v>2024</v>
      </c>
      <c r="J86">
        <v>2025</v>
      </c>
      <c r="K86">
        <v>2026</v>
      </c>
      <c r="L86">
        <v>2027</v>
      </c>
      <c r="M86">
        <v>2028</v>
      </c>
      <c r="N86">
        <v>2029</v>
      </c>
      <c r="O86">
        <v>2030</v>
      </c>
      <c r="P86">
        <v>2031</v>
      </c>
      <c r="Q86">
        <v>2032</v>
      </c>
      <c r="R86">
        <v>2033</v>
      </c>
      <c r="S86">
        <v>2034</v>
      </c>
      <c r="T86">
        <v>2035</v>
      </c>
      <c r="U86">
        <v>2036</v>
      </c>
      <c r="V86">
        <v>2037</v>
      </c>
      <c r="W86">
        <v>2038</v>
      </c>
      <c r="X86">
        <v>2039</v>
      </c>
      <c r="Y86">
        <v>2040</v>
      </c>
      <c r="Z86">
        <v>2041</v>
      </c>
    </row>
    <row r="87" spans="3:26" x14ac:dyDescent="0.25">
      <c r="C87" t="s">
        <v>98</v>
      </c>
      <c r="D87">
        <f>300*365</f>
        <v>109500</v>
      </c>
      <c r="E87">
        <f t="shared" ref="E87:Z87" si="9">300*365</f>
        <v>109500</v>
      </c>
      <c r="F87">
        <f t="shared" si="9"/>
        <v>109500</v>
      </c>
      <c r="G87">
        <f t="shared" si="9"/>
        <v>109500</v>
      </c>
      <c r="H87">
        <f t="shared" si="9"/>
        <v>109500</v>
      </c>
      <c r="I87">
        <f t="shared" si="9"/>
        <v>109500</v>
      </c>
      <c r="J87">
        <f t="shared" si="9"/>
        <v>109500</v>
      </c>
      <c r="K87">
        <f t="shared" si="9"/>
        <v>109500</v>
      </c>
      <c r="L87">
        <f t="shared" si="9"/>
        <v>109500</v>
      </c>
      <c r="M87">
        <f t="shared" si="9"/>
        <v>109500</v>
      </c>
      <c r="N87">
        <f t="shared" si="9"/>
        <v>109500</v>
      </c>
      <c r="O87">
        <f t="shared" si="9"/>
        <v>109500</v>
      </c>
      <c r="P87">
        <f t="shared" si="9"/>
        <v>109500</v>
      </c>
      <c r="Q87">
        <f t="shared" si="9"/>
        <v>109500</v>
      </c>
      <c r="R87">
        <f t="shared" si="9"/>
        <v>109500</v>
      </c>
      <c r="S87">
        <f t="shared" si="9"/>
        <v>109500</v>
      </c>
      <c r="T87">
        <f t="shared" si="9"/>
        <v>109500</v>
      </c>
      <c r="U87">
        <f t="shared" si="9"/>
        <v>109500</v>
      </c>
      <c r="V87">
        <f t="shared" si="9"/>
        <v>109500</v>
      </c>
      <c r="W87">
        <f t="shared" si="9"/>
        <v>109500</v>
      </c>
      <c r="X87">
        <f t="shared" si="9"/>
        <v>109500</v>
      </c>
      <c r="Y87">
        <f t="shared" si="9"/>
        <v>109500</v>
      </c>
      <c r="Z87">
        <f t="shared" si="9"/>
        <v>109500</v>
      </c>
    </row>
    <row r="88" spans="3:26" x14ac:dyDescent="0.25">
      <c r="C88" t="s">
        <v>99</v>
      </c>
      <c r="D88" s="30">
        <f>($D$11/100)*D87</f>
        <v>15330.000000000002</v>
      </c>
      <c r="E88" s="30">
        <f t="shared" ref="E88:Z88" si="10">($D$11/100)*E87</f>
        <v>15330.000000000002</v>
      </c>
      <c r="F88" s="30">
        <f t="shared" si="10"/>
        <v>15330.000000000002</v>
      </c>
      <c r="G88" s="30">
        <f t="shared" si="10"/>
        <v>15330.000000000002</v>
      </c>
      <c r="H88" s="30">
        <f t="shared" si="10"/>
        <v>15330.000000000002</v>
      </c>
      <c r="I88" s="30">
        <f t="shared" si="10"/>
        <v>15330.000000000002</v>
      </c>
      <c r="J88" s="30">
        <f t="shared" si="10"/>
        <v>15330.000000000002</v>
      </c>
      <c r="K88" s="30">
        <f t="shared" si="10"/>
        <v>15330.000000000002</v>
      </c>
      <c r="L88" s="30">
        <f t="shared" si="10"/>
        <v>15330.000000000002</v>
      </c>
      <c r="M88" s="30">
        <f t="shared" si="10"/>
        <v>15330.000000000002</v>
      </c>
      <c r="N88" s="30">
        <f t="shared" si="10"/>
        <v>15330.000000000002</v>
      </c>
      <c r="O88" s="30">
        <f t="shared" si="10"/>
        <v>15330.000000000002</v>
      </c>
      <c r="P88" s="30">
        <f t="shared" si="10"/>
        <v>15330.000000000002</v>
      </c>
      <c r="Q88" s="30">
        <f t="shared" si="10"/>
        <v>15330.000000000002</v>
      </c>
      <c r="R88" s="30">
        <f t="shared" si="10"/>
        <v>15330.000000000002</v>
      </c>
      <c r="S88" s="30">
        <f t="shared" si="10"/>
        <v>15330.000000000002</v>
      </c>
      <c r="T88" s="30">
        <f t="shared" si="10"/>
        <v>15330.000000000002</v>
      </c>
      <c r="U88" s="30">
        <f t="shared" si="10"/>
        <v>15330.000000000002</v>
      </c>
      <c r="V88" s="30">
        <f t="shared" si="10"/>
        <v>15330.000000000002</v>
      </c>
      <c r="W88" s="30">
        <f t="shared" si="10"/>
        <v>15330.000000000002</v>
      </c>
      <c r="X88" s="30">
        <f t="shared" si="10"/>
        <v>15330.000000000002</v>
      </c>
      <c r="Y88" s="30">
        <f t="shared" si="10"/>
        <v>15330.000000000002</v>
      </c>
      <c r="Z88" s="30">
        <f t="shared" si="10"/>
        <v>15330.000000000002</v>
      </c>
    </row>
    <row r="89" spans="3:26" x14ac:dyDescent="0.25">
      <c r="C89" t="s">
        <v>101</v>
      </c>
      <c r="D89" s="1">
        <f>D88*$D$12</f>
        <v>12264.000000000002</v>
      </c>
      <c r="E89" s="1">
        <f t="shared" ref="E89:Z89" si="11">E88*$D$12</f>
        <v>12264.000000000002</v>
      </c>
      <c r="F89" s="1">
        <f t="shared" si="11"/>
        <v>12264.000000000002</v>
      </c>
      <c r="G89" s="1">
        <f t="shared" si="11"/>
        <v>12264.000000000002</v>
      </c>
      <c r="H89" s="1">
        <f t="shared" si="11"/>
        <v>12264.000000000002</v>
      </c>
      <c r="I89" s="1">
        <f t="shared" si="11"/>
        <v>12264.000000000002</v>
      </c>
      <c r="J89" s="1">
        <f t="shared" si="11"/>
        <v>12264.000000000002</v>
      </c>
      <c r="K89" s="1">
        <f t="shared" si="11"/>
        <v>12264.000000000002</v>
      </c>
      <c r="L89" s="1">
        <f t="shared" si="11"/>
        <v>12264.000000000002</v>
      </c>
      <c r="M89" s="1">
        <f t="shared" si="11"/>
        <v>12264.000000000002</v>
      </c>
      <c r="N89" s="1">
        <f t="shared" si="11"/>
        <v>12264.000000000002</v>
      </c>
      <c r="O89" s="1">
        <f t="shared" si="11"/>
        <v>12264.000000000002</v>
      </c>
      <c r="P89" s="1">
        <f t="shared" si="11"/>
        <v>12264.000000000002</v>
      </c>
      <c r="Q89" s="1">
        <f t="shared" si="11"/>
        <v>12264.000000000002</v>
      </c>
      <c r="R89" s="1">
        <f t="shared" si="11"/>
        <v>12264.000000000002</v>
      </c>
      <c r="S89" s="1">
        <f t="shared" si="11"/>
        <v>12264.000000000002</v>
      </c>
      <c r="T89" s="1">
        <f t="shared" si="11"/>
        <v>12264.000000000002</v>
      </c>
      <c r="U89" s="1">
        <f t="shared" si="11"/>
        <v>12264.000000000002</v>
      </c>
      <c r="V89" s="1">
        <f t="shared" si="11"/>
        <v>12264.000000000002</v>
      </c>
      <c r="W89" s="1">
        <f t="shared" si="11"/>
        <v>12264.000000000002</v>
      </c>
      <c r="X89" s="1">
        <f t="shared" si="11"/>
        <v>12264.000000000002</v>
      </c>
      <c r="Y89" s="1">
        <f t="shared" si="11"/>
        <v>12264.000000000002</v>
      </c>
      <c r="Z89" s="1">
        <f t="shared" si="11"/>
        <v>12264.000000000002</v>
      </c>
    </row>
    <row r="90" spans="3:26" x14ac:dyDescent="0.25">
      <c r="C90" t="s">
        <v>100</v>
      </c>
      <c r="D90">
        <f>D89/(1+$D$13)^(D86-2019)</f>
        <v>12264.000000000002</v>
      </c>
      <c r="E90">
        <f t="shared" ref="E90:Z90" si="12">E89/(1+$D$13)^(E86-2019)</f>
        <v>11906.796116504856</v>
      </c>
      <c r="F90">
        <f t="shared" si="12"/>
        <v>11559.996229616365</v>
      </c>
      <c r="G90">
        <f t="shared" si="12"/>
        <v>11223.297310307151</v>
      </c>
      <c r="H90">
        <f t="shared" si="12"/>
        <v>10896.405155638011</v>
      </c>
      <c r="I90">
        <f t="shared" si="12"/>
        <v>10579.034131687391</v>
      </c>
      <c r="J90">
        <f t="shared" si="12"/>
        <v>10270.906923968339</v>
      </c>
      <c r="K90">
        <f t="shared" si="12"/>
        <v>9971.7542951148916</v>
      </c>
      <c r="L90">
        <f t="shared" si="12"/>
        <v>9681.3148496261092</v>
      </c>
      <c r="M90">
        <f t="shared" si="12"/>
        <v>9399.334805462242</v>
      </c>
      <c r="N90">
        <f t="shared" si="12"/>
        <v>9125.5677722934397</v>
      </c>
      <c r="O90">
        <f t="shared" si="12"/>
        <v>8859.7745362072219</v>
      </c>
      <c r="P90">
        <f t="shared" si="12"/>
        <v>8601.722850686625</v>
      </c>
      <c r="Q90">
        <f t="shared" si="12"/>
        <v>8351.1872336763354</v>
      </c>
      <c r="R90">
        <f t="shared" si="12"/>
        <v>8107.9487705595475</v>
      </c>
      <c r="S90">
        <f t="shared" si="12"/>
        <v>7871.7949228733469</v>
      </c>
      <c r="T90">
        <f t="shared" si="12"/>
        <v>7642.519342595484</v>
      </c>
      <c r="U90">
        <f t="shared" si="12"/>
        <v>7419.9216918402753</v>
      </c>
      <c r="V90">
        <f t="shared" si="12"/>
        <v>7203.807467806093</v>
      </c>
      <c r="W90">
        <f t="shared" si="12"/>
        <v>6993.987832821449</v>
      </c>
      <c r="X90">
        <f t="shared" si="12"/>
        <v>6790.279449341213</v>
      </c>
      <c r="Y90">
        <f t="shared" si="12"/>
        <v>6592.5043197487512</v>
      </c>
      <c r="Z90">
        <f t="shared" si="12"/>
        <v>6400.4896308240295</v>
      </c>
    </row>
    <row r="91" spans="3:26" x14ac:dyDescent="0.25">
      <c r="C91" t="s">
        <v>102</v>
      </c>
      <c r="D91">
        <f>SUM(D90:H90)</f>
        <v>57850.494812066376</v>
      </c>
      <c r="E91">
        <f t="shared" ref="E91:O91" si="13">SUM(E90:I90)</f>
        <v>56165.528943753765</v>
      </c>
      <c r="F91">
        <f t="shared" si="13"/>
        <v>54529.639751217255</v>
      </c>
      <c r="G91">
        <f t="shared" si="13"/>
        <v>52941.397816715784</v>
      </c>
      <c r="H91">
        <f t="shared" si="13"/>
        <v>51399.415356034748</v>
      </c>
      <c r="I91">
        <f t="shared" si="13"/>
        <v>49902.345005858973</v>
      </c>
      <c r="J91">
        <f>SUM(J90:N90)</f>
        <v>48448.878646465026</v>
      </c>
      <c r="K91">
        <f>SUM(K90:O90)</f>
        <v>47037.746258703904</v>
      </c>
      <c r="L91">
        <f>SUM(L90:P90)</f>
        <v>45667.714814275641</v>
      </c>
      <c r="M91">
        <f>SUM(M90:Q90)</f>
        <v>44337.587198325862</v>
      </c>
      <c r="N91">
        <f t="shared" si="13"/>
        <v>43046.201163423168</v>
      </c>
      <c r="O91">
        <f t="shared" si="13"/>
        <v>41792.428314003075</v>
      </c>
    </row>
    <row r="93" spans="3:26" x14ac:dyDescent="0.25">
      <c r="C93" t="s">
        <v>103</v>
      </c>
      <c r="D93">
        <f>27*300+27*100</f>
        <v>10800</v>
      </c>
    </row>
    <row r="97" spans="3:26" x14ac:dyDescent="0.25">
      <c r="C97" t="s">
        <v>104</v>
      </c>
      <c r="D97">
        <v>5000</v>
      </c>
      <c r="E97">
        <v>5000</v>
      </c>
      <c r="F97">
        <v>5000</v>
      </c>
      <c r="G97">
        <v>5000</v>
      </c>
      <c r="H97">
        <v>5000</v>
      </c>
      <c r="I97">
        <v>5000</v>
      </c>
      <c r="J97">
        <v>5000</v>
      </c>
      <c r="K97">
        <v>5000</v>
      </c>
      <c r="L97">
        <v>5000</v>
      </c>
      <c r="M97">
        <v>5000</v>
      </c>
      <c r="N97">
        <v>5000</v>
      </c>
      <c r="O97">
        <v>5000</v>
      </c>
      <c r="P97">
        <v>5000</v>
      </c>
      <c r="Q97">
        <v>5000</v>
      </c>
      <c r="R97">
        <v>5000</v>
      </c>
      <c r="S97">
        <v>5000</v>
      </c>
      <c r="T97">
        <v>5000</v>
      </c>
      <c r="U97">
        <v>5000</v>
      </c>
      <c r="V97">
        <v>5000</v>
      </c>
      <c r="W97">
        <v>5000</v>
      </c>
      <c r="X97">
        <v>5000</v>
      </c>
      <c r="Y97">
        <v>5000</v>
      </c>
      <c r="Z97">
        <v>5000</v>
      </c>
    </row>
    <row r="98" spans="3:26" x14ac:dyDescent="0.25">
      <c r="C98" t="s">
        <v>105</v>
      </c>
      <c r="D98">
        <f>D97/(1+0.03)^(D86-2019)</f>
        <v>5000</v>
      </c>
      <c r="E98">
        <f t="shared" ref="E98:O98" si="14">E97/(1+0.03)^(E86-2019)</f>
        <v>4854.3689320388348</v>
      </c>
      <c r="F98">
        <f t="shared" si="14"/>
        <v>4712.9795456687716</v>
      </c>
      <c r="G98">
        <f t="shared" si="14"/>
        <v>4575.708296765798</v>
      </c>
      <c r="H98">
        <f t="shared" si="14"/>
        <v>4442.4352395784445</v>
      </c>
      <c r="I98">
        <f t="shared" si="14"/>
        <v>4313.0439219208201</v>
      </c>
      <c r="J98">
        <f t="shared" si="14"/>
        <v>4187.4212834182717</v>
      </c>
      <c r="K98">
        <f t="shared" si="14"/>
        <v>4065.457556716769</v>
      </c>
      <c r="L98">
        <f t="shared" si="14"/>
        <v>3947.0461715696788</v>
      </c>
      <c r="M98">
        <f t="shared" si="14"/>
        <v>3832.0836617181349</v>
      </c>
      <c r="N98">
        <f t="shared" si="14"/>
        <v>3720.4695744836258</v>
      </c>
      <c r="O98">
        <f t="shared" si="14"/>
        <v>3612.1063829938116</v>
      </c>
    </row>
    <row r="99" spans="3:26" x14ac:dyDescent="0.25">
      <c r="C99" t="s">
        <v>106</v>
      </c>
      <c r="D99" s="145">
        <f>SUM(D98:H98)</f>
        <v>23585.492014051848</v>
      </c>
      <c r="E99" s="145">
        <f t="shared" ref="E99:O99" si="15">SUM(E98:I98)</f>
        <v>22898.535935972668</v>
      </c>
      <c r="F99" s="145">
        <f t="shared" si="15"/>
        <v>22231.588287352108</v>
      </c>
      <c r="G99" s="145">
        <f t="shared" si="15"/>
        <v>21584.066298400106</v>
      </c>
      <c r="H99" s="145">
        <f t="shared" si="15"/>
        <v>20955.404173203988</v>
      </c>
      <c r="I99" s="145">
        <f t="shared" si="15"/>
        <v>20345.052595343674</v>
      </c>
      <c r="J99" s="145">
        <f>SUM(J98:N98)</f>
        <v>19752.478247906478</v>
      </c>
      <c r="K99" s="145">
        <f>SUM(K98:O98)</f>
        <v>19177.163347482019</v>
      </c>
      <c r="L99" s="145">
        <f>SUM(L98:P98)</f>
        <v>15111.705790765252</v>
      </c>
      <c r="M99" s="145">
        <f>SUM(M98:Q98)</f>
        <v>11164.659619195572</v>
      </c>
      <c r="N99" s="145">
        <f t="shared" si="15"/>
        <v>7332.5759574774374</v>
      </c>
      <c r="O99" s="145">
        <f t="shared" si="15"/>
        <v>3612.1063829938116</v>
      </c>
    </row>
    <row r="102" spans="3:26" x14ac:dyDescent="0.25">
      <c r="C102" t="s">
        <v>98</v>
      </c>
      <c r="D102">
        <v>109500</v>
      </c>
      <c r="E102">
        <v>109500</v>
      </c>
      <c r="F102">
        <v>109500</v>
      </c>
      <c r="G102">
        <v>109500</v>
      </c>
      <c r="H102">
        <v>109500</v>
      </c>
      <c r="I102">
        <v>109500</v>
      </c>
      <c r="J102">
        <v>109500</v>
      </c>
      <c r="K102">
        <v>109500</v>
      </c>
      <c r="L102">
        <v>109500</v>
      </c>
      <c r="M102">
        <v>109500</v>
      </c>
      <c r="N102">
        <v>109500</v>
      </c>
      <c r="O102">
        <v>109500</v>
      </c>
      <c r="P102">
        <v>109500</v>
      </c>
      <c r="Q102">
        <v>109500</v>
      </c>
      <c r="R102">
        <v>109500</v>
      </c>
      <c r="S102">
        <v>109500</v>
      </c>
      <c r="T102">
        <v>109500</v>
      </c>
      <c r="U102">
        <v>109500</v>
      </c>
      <c r="V102">
        <v>109500</v>
      </c>
      <c r="W102">
        <v>109500</v>
      </c>
      <c r="X102">
        <v>109500</v>
      </c>
      <c r="Y102">
        <v>109500</v>
      </c>
      <c r="Z102">
        <v>109500</v>
      </c>
    </row>
    <row r="103" spans="3:26" x14ac:dyDescent="0.25">
      <c r="C103" t="s">
        <v>107</v>
      </c>
      <c r="D103" s="30">
        <f>($D$27/100)*D102</f>
        <v>6570</v>
      </c>
      <c r="E103" s="30">
        <f t="shared" ref="E103:Z103" si="16">($D$27/100)*E102</f>
        <v>6570</v>
      </c>
      <c r="F103" s="30">
        <f t="shared" si="16"/>
        <v>6570</v>
      </c>
      <c r="G103" s="30">
        <f t="shared" si="16"/>
        <v>6570</v>
      </c>
      <c r="H103" s="30">
        <f t="shared" si="16"/>
        <v>6570</v>
      </c>
      <c r="I103" s="30">
        <f t="shared" si="16"/>
        <v>6570</v>
      </c>
      <c r="J103" s="30">
        <f t="shared" si="16"/>
        <v>6570</v>
      </c>
      <c r="K103" s="30">
        <f t="shared" si="16"/>
        <v>6570</v>
      </c>
      <c r="L103" s="30">
        <f t="shared" si="16"/>
        <v>6570</v>
      </c>
      <c r="M103" s="30">
        <f t="shared" si="16"/>
        <v>6570</v>
      </c>
      <c r="N103" s="30">
        <f t="shared" si="16"/>
        <v>6570</v>
      </c>
      <c r="O103" s="30">
        <f t="shared" si="16"/>
        <v>6570</v>
      </c>
      <c r="P103" s="30">
        <f t="shared" si="16"/>
        <v>6570</v>
      </c>
      <c r="Q103" s="30">
        <f t="shared" si="16"/>
        <v>6570</v>
      </c>
      <c r="R103" s="30">
        <f t="shared" si="16"/>
        <v>6570</v>
      </c>
      <c r="S103" s="30">
        <f t="shared" si="16"/>
        <v>6570</v>
      </c>
      <c r="T103" s="30">
        <f t="shared" si="16"/>
        <v>6570</v>
      </c>
      <c r="U103" s="30">
        <f t="shared" si="16"/>
        <v>6570</v>
      </c>
      <c r="V103" s="30">
        <f t="shared" si="16"/>
        <v>6570</v>
      </c>
      <c r="W103" s="30">
        <f t="shared" si="16"/>
        <v>6570</v>
      </c>
      <c r="X103" s="30">
        <f t="shared" si="16"/>
        <v>6570</v>
      </c>
      <c r="Y103" s="30">
        <f t="shared" si="16"/>
        <v>6570</v>
      </c>
      <c r="Z103" s="30">
        <f t="shared" si="16"/>
        <v>6570</v>
      </c>
    </row>
    <row r="104" spans="3:26" x14ac:dyDescent="0.25">
      <c r="C104" t="s">
        <v>108</v>
      </c>
      <c r="D104">
        <f>D103*$D$28</f>
        <v>45990</v>
      </c>
      <c r="E104">
        <f t="shared" ref="E104:Z104" si="17">E103*$D$28</f>
        <v>45990</v>
      </c>
      <c r="F104">
        <f t="shared" si="17"/>
        <v>45990</v>
      </c>
      <c r="G104">
        <f t="shared" si="17"/>
        <v>45990</v>
      </c>
      <c r="H104">
        <f t="shared" si="17"/>
        <v>45990</v>
      </c>
      <c r="I104">
        <f t="shared" si="17"/>
        <v>45990</v>
      </c>
      <c r="J104">
        <f t="shared" si="17"/>
        <v>45990</v>
      </c>
      <c r="K104">
        <f t="shared" si="17"/>
        <v>45990</v>
      </c>
      <c r="L104">
        <f t="shared" si="17"/>
        <v>45990</v>
      </c>
      <c r="M104">
        <f t="shared" si="17"/>
        <v>45990</v>
      </c>
      <c r="N104">
        <f t="shared" si="17"/>
        <v>45990</v>
      </c>
      <c r="O104">
        <f t="shared" si="17"/>
        <v>45990</v>
      </c>
      <c r="P104">
        <f t="shared" si="17"/>
        <v>45990</v>
      </c>
      <c r="Q104">
        <f t="shared" si="17"/>
        <v>45990</v>
      </c>
      <c r="R104">
        <f t="shared" si="17"/>
        <v>45990</v>
      </c>
      <c r="S104">
        <f t="shared" si="17"/>
        <v>45990</v>
      </c>
      <c r="T104">
        <f t="shared" si="17"/>
        <v>45990</v>
      </c>
      <c r="U104">
        <f t="shared" si="17"/>
        <v>45990</v>
      </c>
      <c r="V104">
        <f t="shared" si="17"/>
        <v>45990</v>
      </c>
      <c r="W104">
        <f t="shared" si="17"/>
        <v>45990</v>
      </c>
      <c r="X104">
        <f t="shared" si="17"/>
        <v>45990</v>
      </c>
      <c r="Y104">
        <f t="shared" si="17"/>
        <v>45990</v>
      </c>
      <c r="Z104">
        <f t="shared" si="17"/>
        <v>45990</v>
      </c>
    </row>
    <row r="105" spans="3:26" x14ac:dyDescent="0.25">
      <c r="C105" t="s">
        <v>109</v>
      </c>
      <c r="D105">
        <f>D104/(1+$D$29)^(D86-2019)</f>
        <v>45990</v>
      </c>
      <c r="E105">
        <f t="shared" ref="E105:Z105" si="18">E104/(1+$D$29)^(E86-2019)</f>
        <v>44650.485436893199</v>
      </c>
      <c r="F105">
        <f t="shared" si="18"/>
        <v>43349.985861061366</v>
      </c>
      <c r="G105">
        <f t="shared" si="18"/>
        <v>42087.364913651807</v>
      </c>
      <c r="H105">
        <f t="shared" si="18"/>
        <v>40861.519333642536</v>
      </c>
      <c r="I105">
        <f t="shared" si="18"/>
        <v>39671.377993827708</v>
      </c>
      <c r="J105">
        <f t="shared" si="18"/>
        <v>38515.900964881264</v>
      </c>
      <c r="K105">
        <f t="shared" si="18"/>
        <v>37394.078606680836</v>
      </c>
      <c r="L105">
        <f t="shared" si="18"/>
        <v>36304.930686097905</v>
      </c>
      <c r="M105">
        <f t="shared" si="18"/>
        <v>35247.505520483406</v>
      </c>
      <c r="N105">
        <f t="shared" si="18"/>
        <v>34220.879146100393</v>
      </c>
      <c r="O105">
        <f t="shared" si="18"/>
        <v>33224.15451077708</v>
      </c>
      <c r="P105">
        <f t="shared" si="18"/>
        <v>32256.460690074837</v>
      </c>
      <c r="Q105">
        <f t="shared" si="18"/>
        <v>31316.952126286251</v>
      </c>
      <c r="R105">
        <f t="shared" si="18"/>
        <v>30404.807889598298</v>
      </c>
      <c r="S105">
        <f t="shared" si="18"/>
        <v>29519.230960775047</v>
      </c>
      <c r="T105">
        <f t="shared" si="18"/>
        <v>28659.447534733059</v>
      </c>
      <c r="U105">
        <f t="shared" si="18"/>
        <v>27824.706344401027</v>
      </c>
      <c r="V105">
        <f t="shared" si="18"/>
        <v>27014.278004272845</v>
      </c>
      <c r="W105">
        <f t="shared" si="18"/>
        <v>26227.454373080433</v>
      </c>
      <c r="X105">
        <f t="shared" si="18"/>
        <v>25463.547935029546</v>
      </c>
      <c r="Y105">
        <f t="shared" si="18"/>
        <v>24721.891199057813</v>
      </c>
      <c r="Z105">
        <f t="shared" si="18"/>
        <v>24001.836115590108</v>
      </c>
    </row>
    <row r="106" spans="3:26" x14ac:dyDescent="0.25">
      <c r="C106" t="s">
        <v>110</v>
      </c>
      <c r="D106" s="1">
        <f>SUM(D105:H105)</f>
        <v>216939.35554524889</v>
      </c>
      <c r="E106" s="1">
        <f t="shared" ref="E106:O106" si="19">SUM(E105:I105)</f>
        <v>210620.73353907661</v>
      </c>
      <c r="F106" s="1">
        <f t="shared" si="19"/>
        <v>204486.14906706469</v>
      </c>
      <c r="G106" s="1">
        <f t="shared" si="19"/>
        <v>198530.24181268417</v>
      </c>
      <c r="H106" s="1">
        <f t="shared" si="19"/>
        <v>192747.80758513024</v>
      </c>
      <c r="I106" s="1">
        <f t="shared" si="19"/>
        <v>187133.79377197113</v>
      </c>
      <c r="J106" s="1">
        <f>SUM(J105:N105)</f>
        <v>181683.29492424379</v>
      </c>
      <c r="K106" s="1">
        <f>SUM(K105:O105)</f>
        <v>176391.54847013962</v>
      </c>
      <c r="L106" s="1">
        <f>SUM(L105:P105)</f>
        <v>171253.9305535336</v>
      </c>
      <c r="M106" s="1">
        <f>SUM(M105:Q105)</f>
        <v>166265.95199372197</v>
      </c>
      <c r="N106" s="1">
        <f t="shared" si="19"/>
        <v>161423.25436283686</v>
      </c>
      <c r="O106" s="1">
        <f t="shared" si="19"/>
        <v>156721.60617751151</v>
      </c>
    </row>
    <row r="109" spans="3:26" x14ac:dyDescent="0.25">
      <c r="D109">
        <v>4700</v>
      </c>
      <c r="E109">
        <v>4700</v>
      </c>
      <c r="F109">
        <v>4700</v>
      </c>
      <c r="G109">
        <v>4700</v>
      </c>
      <c r="H109">
        <v>4700</v>
      </c>
      <c r="I109">
        <v>4700</v>
      </c>
      <c r="J109">
        <v>4700</v>
      </c>
      <c r="K109">
        <v>4700</v>
      </c>
      <c r="L109">
        <v>4700</v>
      </c>
      <c r="M109">
        <v>4700</v>
      </c>
      <c r="N109">
        <v>4700</v>
      </c>
      <c r="O109">
        <v>4700</v>
      </c>
      <c r="P109">
        <v>4700</v>
      </c>
      <c r="Q109">
        <v>4700</v>
      </c>
      <c r="R109">
        <v>4700</v>
      </c>
      <c r="S109">
        <v>4700</v>
      </c>
      <c r="T109">
        <v>4700</v>
      </c>
      <c r="U109">
        <v>4700</v>
      </c>
      <c r="V109">
        <v>4700</v>
      </c>
      <c r="W109">
        <v>4700</v>
      </c>
      <c r="X109">
        <v>4700</v>
      </c>
      <c r="Y109">
        <v>4700</v>
      </c>
      <c r="Z109">
        <v>4700</v>
      </c>
    </row>
    <row r="110" spans="3:26" x14ac:dyDescent="0.25">
      <c r="D110">
        <f>D109/1.03^(D86-2019)</f>
        <v>4700</v>
      </c>
      <c r="E110">
        <f t="shared" ref="E110:O110" si="20">E109/1.03^(E86-2019)</f>
        <v>4563.1067961165045</v>
      </c>
      <c r="F110">
        <f t="shared" si="20"/>
        <v>4430.2007729286461</v>
      </c>
      <c r="G110">
        <f t="shared" si="20"/>
        <v>4301.1657989598498</v>
      </c>
      <c r="H110">
        <f t="shared" si="20"/>
        <v>4175.8891252037383</v>
      </c>
      <c r="I110">
        <f t="shared" si="20"/>
        <v>4054.2612866055711</v>
      </c>
      <c r="J110">
        <f t="shared" si="20"/>
        <v>3936.1760064131759</v>
      </c>
      <c r="K110">
        <f t="shared" si="20"/>
        <v>3821.5301033137625</v>
      </c>
      <c r="L110">
        <f t="shared" si="20"/>
        <v>3710.223401275498</v>
      </c>
      <c r="M110">
        <f t="shared" si="20"/>
        <v>3602.1586420150466</v>
      </c>
      <c r="N110">
        <f t="shared" si="20"/>
        <v>3497.2414000146082</v>
      </c>
      <c r="O110">
        <f t="shared" si="20"/>
        <v>3395.3800000141828</v>
      </c>
      <c r="P110">
        <f t="shared" ref="P110:Z110" si="21">P109/1.03^(P86-2019)</f>
        <v>3296.485436906974</v>
      </c>
      <c r="Q110">
        <f t="shared" si="21"/>
        <v>3200.4712979679362</v>
      </c>
      <c r="R110">
        <f t="shared" si="21"/>
        <v>3107.2536873475105</v>
      </c>
      <c r="S110">
        <f t="shared" si="21"/>
        <v>3016.7511527645729</v>
      </c>
      <c r="T110">
        <f t="shared" si="21"/>
        <v>2928.8846143345377</v>
      </c>
      <c r="U110">
        <f t="shared" si="21"/>
        <v>2843.5772954704248</v>
      </c>
      <c r="V110">
        <f t="shared" si="21"/>
        <v>2760.7546557965288</v>
      </c>
      <c r="W110">
        <f t="shared" si="21"/>
        <v>2680.3443260160475</v>
      </c>
      <c r="X110">
        <f t="shared" si="21"/>
        <v>2602.2760446757743</v>
      </c>
      <c r="Y110">
        <f t="shared" si="21"/>
        <v>2526.4815967725967</v>
      </c>
      <c r="Z110">
        <f t="shared" si="21"/>
        <v>2452.8947541481521</v>
      </c>
    </row>
    <row r="111" spans="3:26" x14ac:dyDescent="0.25">
      <c r="D111">
        <f>SUM(D110:H110)</f>
        <v>22170.36249320874</v>
      </c>
      <c r="E111">
        <f t="shared" ref="E111:O111" si="22">SUM(E110:I110)</f>
        <v>21524.623779814312</v>
      </c>
      <c r="F111">
        <f t="shared" si="22"/>
        <v>20897.692990110983</v>
      </c>
      <c r="G111">
        <f t="shared" si="22"/>
        <v>20289.022320496097</v>
      </c>
      <c r="H111">
        <f t="shared" si="22"/>
        <v>19698.079922811747</v>
      </c>
      <c r="I111">
        <f t="shared" si="22"/>
        <v>19124.349439623053</v>
      </c>
      <c r="J111">
        <f>SUM(J110:N110)</f>
        <v>18567.32955303209</v>
      </c>
      <c r="K111">
        <f>SUM(K110:O110)</f>
        <v>18026.533546633098</v>
      </c>
      <c r="L111">
        <f>SUM(L110:P110)</f>
        <v>17501.488880226309</v>
      </c>
      <c r="M111">
        <f>SUM(M110:Q110)</f>
        <v>16991.736776918748</v>
      </c>
      <c r="N111">
        <f t="shared" si="22"/>
        <v>16496.831822251213</v>
      </c>
      <c r="O111">
        <f t="shared" si="22"/>
        <v>16016.341575001177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7"/>
  <sheetViews>
    <sheetView topLeftCell="A10" zoomScaleNormal="100" workbookViewId="0">
      <selection activeCell="C4" sqref="C4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377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214091.29758138885</v>
      </c>
      <c r="E6" s="71">
        <f>D6-((D16-E16)+(D17-E17)+(D18-E18))</f>
        <v>202051.29758138885</v>
      </c>
      <c r="F6" s="71">
        <f t="shared" ref="F6:O6" si="0">E6-((E16-F16)+(E17-F17)+(E18-F18))</f>
        <v>191195.29758138885</v>
      </c>
      <c r="G6" s="71">
        <f t="shared" si="0"/>
        <v>181404.89758138885</v>
      </c>
      <c r="H6" s="71">
        <f t="shared" si="0"/>
        <v>172573.53758138884</v>
      </c>
      <c r="I6" s="71">
        <f t="shared" si="0"/>
        <v>164605.31358138885</v>
      </c>
      <c r="J6" s="71">
        <f t="shared" si="0"/>
        <v>157413.91198138884</v>
      </c>
      <c r="K6" s="71">
        <f t="shared" si="0"/>
        <v>150921.65054138884</v>
      </c>
      <c r="L6" s="71">
        <f t="shared" si="0"/>
        <v>145058.61524538885</v>
      </c>
      <c r="M6" s="71">
        <f t="shared" si="0"/>
        <v>139761.88347898886</v>
      </c>
      <c r="N6" s="71">
        <f t="shared" si="0"/>
        <v>134974.82488922885</v>
      </c>
      <c r="O6" s="71">
        <f t="shared" si="0"/>
        <v>130646.47215844486</v>
      </c>
    </row>
    <row r="7" spans="3:15" ht="15" thickBot="1" x14ac:dyDescent="0.3">
      <c r="C7" s="102" t="s">
        <v>24</v>
      </c>
      <c r="D7" s="74">
        <v>0</v>
      </c>
      <c r="E7" s="75">
        <v>0</v>
      </c>
      <c r="F7" s="76">
        <f>F6*0.1</f>
        <v>19119.529758138884</v>
      </c>
      <c r="G7" s="76">
        <f t="shared" ref="G7:O7" si="1">G6*0.1</f>
        <v>18140.489758138887</v>
      </c>
      <c r="H7" s="77">
        <f t="shared" si="1"/>
        <v>17257.353758138885</v>
      </c>
      <c r="I7" s="77">
        <f t="shared" si="1"/>
        <v>16460.531358138887</v>
      </c>
      <c r="J7" s="77">
        <f t="shared" si="1"/>
        <v>15741.391198138885</v>
      </c>
      <c r="K7" s="78">
        <f t="shared" si="1"/>
        <v>15092.165054138884</v>
      </c>
      <c r="L7" s="78">
        <f t="shared" si="1"/>
        <v>14505.861524538886</v>
      </c>
      <c r="M7" s="78">
        <f t="shared" si="1"/>
        <v>13976.188347898888</v>
      </c>
      <c r="N7" s="78">
        <f t="shared" si="1"/>
        <v>13497.482488922886</v>
      </c>
      <c r="O7" s="104">
        <f t="shared" si="1"/>
        <v>13064.647215844487</v>
      </c>
    </row>
    <row r="8" spans="3:15" ht="15" thickBot="1" x14ac:dyDescent="0.3">
      <c r="C8" s="102" t="s">
        <v>48</v>
      </c>
      <c r="D8" s="79">
        <f>D6+D7</f>
        <v>214091.29758138885</v>
      </c>
      <c r="E8" s="80">
        <f t="shared" ref="E8:O8" si="2">E6+E7</f>
        <v>202051.29758138885</v>
      </c>
      <c r="F8" s="80">
        <f t="shared" si="2"/>
        <v>210314.82733952772</v>
      </c>
      <c r="G8" s="80">
        <f t="shared" si="2"/>
        <v>199545.38733952775</v>
      </c>
      <c r="H8" s="81">
        <f t="shared" si="2"/>
        <v>189830.89133952773</v>
      </c>
      <c r="I8" s="81">
        <f t="shared" si="2"/>
        <v>181065.84493952774</v>
      </c>
      <c r="J8" s="133">
        <f t="shared" si="2"/>
        <v>173155.30317952772</v>
      </c>
      <c r="K8" s="82">
        <f t="shared" si="2"/>
        <v>166013.81559552773</v>
      </c>
      <c r="L8" s="82">
        <f t="shared" si="2"/>
        <v>159564.47676992774</v>
      </c>
      <c r="M8" s="82">
        <f t="shared" si="2"/>
        <v>153738.07182688775</v>
      </c>
      <c r="N8" s="82">
        <f t="shared" si="2"/>
        <v>148472.30737815175</v>
      </c>
      <c r="O8" s="105">
        <f t="shared" si="2"/>
        <v>143711.11937428935</v>
      </c>
    </row>
    <row r="9" spans="3:15" x14ac:dyDescent="0.25">
      <c r="C9" s="102" t="s">
        <v>49</v>
      </c>
      <c r="D9" s="79">
        <f>D6*0.05</f>
        <v>10704.564879069443</v>
      </c>
      <c r="E9" s="80">
        <f t="shared" ref="E9:O9" si="3">E6*0.05</f>
        <v>10102.564879069443</v>
      </c>
      <c r="F9" s="80">
        <f t="shared" si="3"/>
        <v>9559.764879069442</v>
      </c>
      <c r="G9" s="80">
        <f t="shared" si="3"/>
        <v>9070.2448790694434</v>
      </c>
      <c r="H9" s="81">
        <f t="shared" si="3"/>
        <v>8628.6768790694423</v>
      </c>
      <c r="I9" s="81">
        <f t="shared" si="3"/>
        <v>8230.2656790694436</v>
      </c>
      <c r="J9" s="81">
        <f t="shared" si="3"/>
        <v>7870.6955990694423</v>
      </c>
      <c r="K9" s="82">
        <f t="shared" si="3"/>
        <v>7546.0825270694422</v>
      </c>
      <c r="L9" s="82">
        <f t="shared" si="3"/>
        <v>7252.9307622694432</v>
      </c>
      <c r="M9" s="82">
        <f t="shared" si="3"/>
        <v>6988.0941739494438</v>
      </c>
      <c r="N9" s="82">
        <f t="shared" si="3"/>
        <v>6748.7412444614429</v>
      </c>
      <c r="O9" s="105">
        <f t="shared" si="3"/>
        <v>6532.3236079222434</v>
      </c>
    </row>
    <row r="10" spans="3:15" x14ac:dyDescent="0.25">
      <c r="C10" s="102" t="s">
        <v>66</v>
      </c>
      <c r="D10" s="79">
        <v>420</v>
      </c>
      <c r="E10" s="80">
        <v>420</v>
      </c>
      <c r="F10" s="80">
        <v>420</v>
      </c>
      <c r="G10" s="80">
        <v>420</v>
      </c>
      <c r="H10" s="81">
        <v>420</v>
      </c>
      <c r="I10" s="81">
        <v>420</v>
      </c>
      <c r="J10" s="81">
        <v>420</v>
      </c>
      <c r="K10" s="82">
        <v>420</v>
      </c>
      <c r="L10" s="82">
        <v>420</v>
      </c>
      <c r="M10" s="82">
        <v>420</v>
      </c>
      <c r="N10" s="82">
        <v>420</v>
      </c>
      <c r="O10" s="105">
        <v>420</v>
      </c>
    </row>
    <row r="11" spans="3:15" x14ac:dyDescent="0.25">
      <c r="C11" s="102" t="s">
        <v>65</v>
      </c>
      <c r="D11" s="83">
        <v>69.5</v>
      </c>
      <c r="E11" s="80">
        <v>69.5</v>
      </c>
      <c r="F11" s="80">
        <v>69.5</v>
      </c>
      <c r="G11" s="80">
        <v>69.5</v>
      </c>
      <c r="H11" s="81">
        <v>69.5</v>
      </c>
      <c r="I11" s="81">
        <v>69.5</v>
      </c>
      <c r="J11" s="81">
        <v>69.5</v>
      </c>
      <c r="K11" s="82">
        <v>69.5</v>
      </c>
      <c r="L11" s="82">
        <v>69.5</v>
      </c>
      <c r="M11" s="82">
        <v>69.5</v>
      </c>
      <c r="N11" s="82">
        <v>69.5</v>
      </c>
      <c r="O11" s="105">
        <v>69.5</v>
      </c>
    </row>
    <row r="12" spans="3:15" x14ac:dyDescent="0.25">
      <c r="C12" s="102" t="s">
        <v>72</v>
      </c>
      <c r="D12" s="83">
        <v>1.2</v>
      </c>
      <c r="E12" s="87">
        <f>D12*0.9</f>
        <v>1.08</v>
      </c>
      <c r="F12" s="87">
        <f t="shared" ref="F12:O12" si="4">E12*0.9</f>
        <v>0.97200000000000009</v>
      </c>
      <c r="G12" s="87">
        <f t="shared" si="4"/>
        <v>0.87480000000000013</v>
      </c>
      <c r="H12" s="87">
        <f t="shared" si="4"/>
        <v>0.78732000000000013</v>
      </c>
      <c r="I12" s="87">
        <f t="shared" si="4"/>
        <v>0.70858800000000011</v>
      </c>
      <c r="J12" s="87">
        <f t="shared" si="4"/>
        <v>0.63772920000000011</v>
      </c>
      <c r="K12" s="87">
        <f t="shared" si="4"/>
        <v>0.5739562800000001</v>
      </c>
      <c r="L12" s="87">
        <f t="shared" si="4"/>
        <v>0.51656065200000012</v>
      </c>
      <c r="M12" s="87">
        <f t="shared" si="4"/>
        <v>0.46490458680000013</v>
      </c>
      <c r="N12" s="87">
        <f t="shared" si="4"/>
        <v>0.41841412812000012</v>
      </c>
      <c r="O12" s="87">
        <f t="shared" si="4"/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238386.73270231939</v>
      </c>
      <c r="E14" s="80">
        <f t="shared" si="5"/>
        <v>226948.73270231939</v>
      </c>
      <c r="F14" s="80">
        <f t="shared" si="5"/>
        <v>181635.53270231941</v>
      </c>
      <c r="G14" s="80">
        <f t="shared" si="5"/>
        <v>172334.65270231941</v>
      </c>
      <c r="H14" s="81">
        <f t="shared" si="5"/>
        <v>163944.86070231939</v>
      </c>
      <c r="I14" s="81">
        <f t="shared" si="5"/>
        <v>156375.04790231941</v>
      </c>
      <c r="J14" s="81">
        <f t="shared" si="5"/>
        <v>149543.2163823194</v>
      </c>
      <c r="K14" s="82">
        <f t="shared" si="5"/>
        <v>143375.5680143194</v>
      </c>
      <c r="L14" s="82">
        <f t="shared" si="5"/>
        <v>137805.6844831194</v>
      </c>
      <c r="M14" s="82">
        <f t="shared" si="5"/>
        <v>132773.78930503942</v>
      </c>
      <c r="N14" s="82">
        <f t="shared" si="5"/>
        <v>128226.08364476741</v>
      </c>
      <c r="O14" s="105">
        <f t="shared" si="5"/>
        <v>124114.14855052262</v>
      </c>
    </row>
    <row r="15" spans="3:15" x14ac:dyDescent="0.25">
      <c r="C15" s="102" t="s">
        <v>68</v>
      </c>
      <c r="D15" s="79">
        <f>D14*0.87</f>
        <v>207396.45745101786</v>
      </c>
      <c r="E15" s="80">
        <f t="shared" ref="E15:O15" si="6">E14*0.87</f>
        <v>197445.39745101787</v>
      </c>
      <c r="F15" s="80">
        <f t="shared" si="6"/>
        <v>158022.9134510179</v>
      </c>
      <c r="G15" s="80">
        <f t="shared" si="6"/>
        <v>149931.14785101789</v>
      </c>
      <c r="H15" s="81">
        <f t="shared" si="6"/>
        <v>142632.02881101787</v>
      </c>
      <c r="I15" s="81">
        <f t="shared" si="6"/>
        <v>136046.29167501788</v>
      </c>
      <c r="J15" s="81">
        <f t="shared" si="6"/>
        <v>130102.59825261787</v>
      </c>
      <c r="K15" s="82">
        <f t="shared" si="6"/>
        <v>124736.74417245788</v>
      </c>
      <c r="L15" s="82">
        <f t="shared" si="6"/>
        <v>119890.94550031389</v>
      </c>
      <c r="M15" s="82">
        <f t="shared" si="6"/>
        <v>115513.19669538429</v>
      </c>
      <c r="N15" s="82">
        <f t="shared" si="6"/>
        <v>111556.69277094764</v>
      </c>
      <c r="O15" s="105">
        <f t="shared" si="6"/>
        <v>107979.30923895468</v>
      </c>
    </row>
    <row r="16" spans="3:15" x14ac:dyDescent="0.25">
      <c r="C16" s="102" t="s">
        <v>52</v>
      </c>
      <c r="D16" s="93">
        <f t="shared" ref="D16:O16" si="7">D12*1000*D11</f>
        <v>83400</v>
      </c>
      <c r="E16" s="71">
        <f t="shared" si="7"/>
        <v>75060</v>
      </c>
      <c r="F16" s="71">
        <f t="shared" si="7"/>
        <v>67554.000000000015</v>
      </c>
      <c r="G16" s="71">
        <f t="shared" si="7"/>
        <v>60798.600000000013</v>
      </c>
      <c r="H16" s="72">
        <f t="shared" si="7"/>
        <v>54718.740000000013</v>
      </c>
      <c r="I16" s="72">
        <f t="shared" si="7"/>
        <v>49246.866000000009</v>
      </c>
      <c r="J16" s="72">
        <f t="shared" si="7"/>
        <v>44322.179400000008</v>
      </c>
      <c r="K16" s="73">
        <f t="shared" si="7"/>
        <v>39889.961460000006</v>
      </c>
      <c r="L16" s="73">
        <f t="shared" si="7"/>
        <v>35900.965314000008</v>
      </c>
      <c r="M16" s="73">
        <f t="shared" si="7"/>
        <v>32310.86878260001</v>
      </c>
      <c r="N16" s="73">
        <f t="shared" si="7"/>
        <v>29079.781904340009</v>
      </c>
      <c r="O16" s="103">
        <f t="shared" si="7"/>
        <v>26171.803713906007</v>
      </c>
    </row>
    <row r="17" spans="3:15" ht="28.8" x14ac:dyDescent="0.25">
      <c r="C17" s="109" t="s">
        <v>53</v>
      </c>
      <c r="D17" s="70">
        <v>15000</v>
      </c>
      <c r="E17" s="90">
        <f>D17-200</f>
        <v>14800</v>
      </c>
      <c r="F17" s="90">
        <f t="shared" ref="F17:O17" si="8">E17-200</f>
        <v>14600</v>
      </c>
      <c r="G17" s="90">
        <f t="shared" si="8"/>
        <v>14400</v>
      </c>
      <c r="H17" s="94">
        <f t="shared" si="8"/>
        <v>14200</v>
      </c>
      <c r="I17" s="94">
        <f t="shared" si="8"/>
        <v>14000</v>
      </c>
      <c r="J17" s="94">
        <f t="shared" si="8"/>
        <v>13800</v>
      </c>
      <c r="K17" s="95">
        <f t="shared" si="8"/>
        <v>13600</v>
      </c>
      <c r="L17" s="95">
        <f t="shared" si="8"/>
        <v>13400</v>
      </c>
      <c r="M17" s="95">
        <f t="shared" si="8"/>
        <v>13200</v>
      </c>
      <c r="N17" s="95">
        <f t="shared" si="8"/>
        <v>13000</v>
      </c>
      <c r="O17" s="110">
        <f t="shared" si="8"/>
        <v>12800</v>
      </c>
    </row>
    <row r="18" spans="3:15" x14ac:dyDescent="0.25">
      <c r="C18" s="102" t="s">
        <v>54</v>
      </c>
      <c r="D18" s="96">
        <v>35000</v>
      </c>
      <c r="E18" s="97">
        <f>D18*0.9</f>
        <v>31500</v>
      </c>
      <c r="F18" s="97">
        <f t="shared" ref="F18:O18" si="9">E18*0.9</f>
        <v>28350</v>
      </c>
      <c r="G18" s="97">
        <f t="shared" si="9"/>
        <v>25515</v>
      </c>
      <c r="H18" s="94">
        <f t="shared" si="9"/>
        <v>22963.5</v>
      </c>
      <c r="I18" s="94">
        <f t="shared" si="9"/>
        <v>20667.150000000001</v>
      </c>
      <c r="J18" s="94">
        <f t="shared" si="9"/>
        <v>18600.435000000001</v>
      </c>
      <c r="K18" s="95">
        <f t="shared" si="9"/>
        <v>16740.391500000002</v>
      </c>
      <c r="L18" s="95">
        <f t="shared" si="9"/>
        <v>15066.352350000001</v>
      </c>
      <c r="M18" s="95">
        <f t="shared" si="9"/>
        <v>13559.717115000001</v>
      </c>
      <c r="N18" s="95">
        <f t="shared" si="9"/>
        <v>12203.745403500001</v>
      </c>
      <c r="O18" s="110">
        <f t="shared" si="9"/>
        <v>10983.370863150001</v>
      </c>
    </row>
    <row r="19" spans="3:15" ht="15" thickBot="1" x14ac:dyDescent="0.3">
      <c r="C19" s="102" t="s">
        <v>71</v>
      </c>
      <c r="D19" s="79">
        <f>D15-D16-D17-D18</f>
        <v>73996.457451017865</v>
      </c>
      <c r="E19" s="80">
        <f t="shared" ref="E19:O19" si="10">E15-E16-E17-E18</f>
        <v>76085.397451017867</v>
      </c>
      <c r="F19" s="80">
        <f t="shared" si="10"/>
        <v>47518.913451017885</v>
      </c>
      <c r="G19" s="80">
        <f t="shared" si="10"/>
        <v>49217.54785101788</v>
      </c>
      <c r="H19" s="81">
        <f t="shared" si="10"/>
        <v>50749.788811017846</v>
      </c>
      <c r="I19" s="81">
        <f t="shared" si="10"/>
        <v>52132.275675017874</v>
      </c>
      <c r="J19" s="81">
        <f t="shared" si="10"/>
        <v>53379.983852617865</v>
      </c>
      <c r="K19" s="82">
        <f t="shared" si="10"/>
        <v>54506.391212457878</v>
      </c>
      <c r="L19" s="82">
        <f t="shared" si="10"/>
        <v>55523.627836313884</v>
      </c>
      <c r="M19" s="82">
        <f t="shared" si="10"/>
        <v>56442.610797784284</v>
      </c>
      <c r="N19" s="82">
        <f t="shared" si="10"/>
        <v>57273.165463107638</v>
      </c>
      <c r="O19" s="105">
        <f t="shared" si="10"/>
        <v>58024.134661898672</v>
      </c>
    </row>
    <row r="20" spans="3:15" ht="15" thickBot="1" x14ac:dyDescent="0.3">
      <c r="C20" s="111" t="s">
        <v>70</v>
      </c>
      <c r="D20" s="138">
        <f>D19/D14</f>
        <v>0.31040509936188204</v>
      </c>
      <c r="E20" s="137">
        <f t="shared" ref="E20:O20" si="11">E19/E14</f>
        <v>0.33525367841915377</v>
      </c>
      <c r="F20" s="113">
        <f t="shared" si="11"/>
        <v>0.26161683644188793</v>
      </c>
      <c r="G20" s="113">
        <f t="shared" si="11"/>
        <v>0.28559286875422168</v>
      </c>
      <c r="H20" s="114">
        <f t="shared" si="11"/>
        <v>0.30955400854660564</v>
      </c>
      <c r="I20" s="114">
        <f t="shared" si="11"/>
        <v>0.33337975830762084</v>
      </c>
      <c r="J20" s="176">
        <f t="shared" si="11"/>
        <v>0.35695356261528838</v>
      </c>
      <c r="K20" s="177">
        <f t="shared" si="11"/>
        <v>0.38016512832238014</v>
      </c>
      <c r="L20" s="177">
        <f t="shared" si="11"/>
        <v>0.40291246362275634</v>
      </c>
      <c r="M20" s="177">
        <f t="shared" si="11"/>
        <v>0.42510356218056666</v>
      </c>
      <c r="N20" s="177">
        <f t="shared" si="11"/>
        <v>0.446657683328885</v>
      </c>
      <c r="O20" s="178">
        <f t="shared" si="11"/>
        <v>0.46750620569482482</v>
      </c>
    </row>
    <row r="21" spans="3:15" x14ac:dyDescent="0.25">
      <c r="C21" s="131" t="s">
        <v>379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73167.624996707527</v>
      </c>
      <c r="E23" s="87">
        <f>D23+(E29-D29)+(E30-D30)</f>
        <v>73767.624996707527</v>
      </c>
      <c r="F23" s="87">
        <f t="shared" ref="F23:O23" si="12">E23+(F29-E29)+(F30-E30)</f>
        <v>74379.624996707527</v>
      </c>
      <c r="G23" s="87">
        <f t="shared" si="12"/>
        <v>75003.864996707533</v>
      </c>
      <c r="H23" s="88">
        <f t="shared" si="12"/>
        <v>75640.589796707529</v>
      </c>
      <c r="I23" s="88">
        <f t="shared" si="12"/>
        <v>76290.04909270753</v>
      </c>
      <c r="J23" s="88">
        <f t="shared" si="12"/>
        <v>76952.49757462753</v>
      </c>
      <c r="K23" s="89">
        <f t="shared" si="12"/>
        <v>77628.195026185931</v>
      </c>
      <c r="L23" s="89">
        <f t="shared" si="12"/>
        <v>78317.406426775502</v>
      </c>
      <c r="M23" s="89">
        <f t="shared" si="12"/>
        <v>79020.40205537685</v>
      </c>
      <c r="N23" s="89">
        <f t="shared" si="12"/>
        <v>79737.45759655023</v>
      </c>
      <c r="O23" s="107">
        <f t="shared" si="12"/>
        <v>80468.854248547097</v>
      </c>
    </row>
    <row r="24" spans="3:15" ht="15" thickBot="1" x14ac:dyDescent="0.3">
      <c r="C24" s="102" t="s">
        <v>24</v>
      </c>
      <c r="D24" s="117">
        <f>D23*0.1</f>
        <v>7316.7624996707527</v>
      </c>
      <c r="E24" s="76">
        <f t="shared" ref="E24:O24" si="13">E23*0.1</f>
        <v>7376.7624996707527</v>
      </c>
      <c r="F24" s="76">
        <f t="shared" si="13"/>
        <v>7437.9624996707535</v>
      </c>
      <c r="G24" s="76">
        <f t="shared" si="13"/>
        <v>7500.3864996707534</v>
      </c>
      <c r="H24" s="77">
        <f t="shared" si="13"/>
        <v>7564.0589796707536</v>
      </c>
      <c r="I24" s="77">
        <f t="shared" si="13"/>
        <v>7629.0049092707532</v>
      </c>
      <c r="J24" s="77">
        <f t="shared" si="13"/>
        <v>7695.2497574627532</v>
      </c>
      <c r="K24" s="78">
        <f t="shared" si="13"/>
        <v>7762.8195026185931</v>
      </c>
      <c r="L24" s="78">
        <f t="shared" si="13"/>
        <v>7831.7406426775506</v>
      </c>
      <c r="M24" s="78">
        <f t="shared" si="13"/>
        <v>7902.0402055376853</v>
      </c>
      <c r="N24" s="78">
        <f t="shared" si="13"/>
        <v>7973.745759655023</v>
      </c>
      <c r="O24" s="104">
        <f t="shared" si="13"/>
        <v>8046.8854248547104</v>
      </c>
    </row>
    <row r="25" spans="3:15" ht="15" thickBot="1" x14ac:dyDescent="0.3">
      <c r="C25" s="102" t="s">
        <v>48</v>
      </c>
      <c r="D25" s="93">
        <f>D23+D24</f>
        <v>80484.387496378273</v>
      </c>
      <c r="E25" s="71">
        <f t="shared" ref="E25:O25" si="14">E23+E24</f>
        <v>81144.387496378273</v>
      </c>
      <c r="F25" s="71">
        <f t="shared" si="14"/>
        <v>81817.587496378284</v>
      </c>
      <c r="G25" s="135">
        <f t="shared" si="14"/>
        <v>82504.251496378289</v>
      </c>
      <c r="H25" s="72">
        <f t="shared" si="14"/>
        <v>83204.648776378279</v>
      </c>
      <c r="I25" s="72">
        <f t="shared" si="14"/>
        <v>83919.054001978278</v>
      </c>
      <c r="J25" s="134">
        <f t="shared" si="14"/>
        <v>84647.747332090279</v>
      </c>
      <c r="K25" s="73">
        <f t="shared" si="14"/>
        <v>85391.014528804517</v>
      </c>
      <c r="L25" s="73">
        <f t="shared" si="14"/>
        <v>86149.147069453058</v>
      </c>
      <c r="M25" s="73">
        <f t="shared" si="14"/>
        <v>86922.44226091454</v>
      </c>
      <c r="N25" s="73">
        <f t="shared" si="14"/>
        <v>87711.203356205253</v>
      </c>
      <c r="O25" s="103">
        <f t="shared" si="14"/>
        <v>88515.739673401811</v>
      </c>
    </row>
    <row r="26" spans="3:15" x14ac:dyDescent="0.25">
      <c r="C26" s="102" t="s">
        <v>57</v>
      </c>
      <c r="D26" s="79">
        <f>D23*0.05</f>
        <v>3658.3812498353764</v>
      </c>
      <c r="E26" s="80">
        <f t="shared" ref="E26:O26" si="15">E23*0.05</f>
        <v>3688.3812498353764</v>
      </c>
      <c r="F26" s="80">
        <f t="shared" si="15"/>
        <v>3718.9812498353767</v>
      </c>
      <c r="G26" s="80">
        <f t="shared" si="15"/>
        <v>3750.1932498353767</v>
      </c>
      <c r="H26" s="81">
        <f t="shared" si="15"/>
        <v>3782.0294898353768</v>
      </c>
      <c r="I26" s="81">
        <f t="shared" si="15"/>
        <v>3814.5024546353766</v>
      </c>
      <c r="J26" s="81">
        <f t="shared" si="15"/>
        <v>3847.6248787313766</v>
      </c>
      <c r="K26" s="82">
        <f t="shared" si="15"/>
        <v>3881.4097513092966</v>
      </c>
      <c r="L26" s="82">
        <f t="shared" si="15"/>
        <v>3915.8703213387753</v>
      </c>
      <c r="M26" s="82">
        <f t="shared" si="15"/>
        <v>3951.0201027688427</v>
      </c>
      <c r="N26" s="82">
        <f t="shared" si="15"/>
        <v>3986.8728798275115</v>
      </c>
      <c r="O26" s="105">
        <f t="shared" si="15"/>
        <v>4023.4427124273552</v>
      </c>
    </row>
    <row r="27" spans="3:15" x14ac:dyDescent="0.25">
      <c r="C27" s="102" t="s">
        <v>51</v>
      </c>
      <c r="D27" s="79">
        <f>D23-D26</f>
        <v>69509.243746872147</v>
      </c>
      <c r="E27" s="80">
        <f t="shared" ref="E27:O27" si="16">E23-E26</f>
        <v>70079.243746872147</v>
      </c>
      <c r="F27" s="80">
        <f t="shared" si="16"/>
        <v>70660.643746872156</v>
      </c>
      <c r="G27" s="80">
        <f t="shared" si="16"/>
        <v>71253.671746872162</v>
      </c>
      <c r="H27" s="81">
        <f t="shared" si="16"/>
        <v>71858.560306872154</v>
      </c>
      <c r="I27" s="81">
        <f t="shared" si="16"/>
        <v>72475.546638072148</v>
      </c>
      <c r="J27" s="81">
        <f t="shared" si="16"/>
        <v>73104.872695896149</v>
      </c>
      <c r="K27" s="82">
        <f t="shared" si="16"/>
        <v>73746.785274876631</v>
      </c>
      <c r="L27" s="82">
        <f t="shared" si="16"/>
        <v>74401.536105436724</v>
      </c>
      <c r="M27" s="82">
        <f t="shared" si="16"/>
        <v>75069.381952608004</v>
      </c>
      <c r="N27" s="82">
        <f t="shared" si="16"/>
        <v>75750.584716722718</v>
      </c>
      <c r="O27" s="105">
        <f t="shared" si="16"/>
        <v>76445.411536119747</v>
      </c>
    </row>
    <row r="28" spans="3:15" x14ac:dyDescent="0.25">
      <c r="C28" s="102" t="s">
        <v>68</v>
      </c>
      <c r="D28" s="79">
        <f>D27*0.87</f>
        <v>60473.042059778767</v>
      </c>
      <c r="E28" s="80">
        <f t="shared" ref="E28:O28" si="17">E27*0.87</f>
        <v>60968.942059778768</v>
      </c>
      <c r="F28" s="80">
        <f t="shared" si="17"/>
        <v>61474.760059778775</v>
      </c>
      <c r="G28" s="80">
        <f t="shared" si="17"/>
        <v>61990.694419778782</v>
      </c>
      <c r="H28" s="81">
        <f t="shared" si="17"/>
        <v>62516.947466978774</v>
      </c>
      <c r="I28" s="81">
        <f t="shared" si="17"/>
        <v>63053.725575122771</v>
      </c>
      <c r="J28" s="81">
        <f t="shared" si="17"/>
        <v>63601.23924542965</v>
      </c>
      <c r="K28" s="82">
        <f t="shared" si="17"/>
        <v>64159.703189142667</v>
      </c>
      <c r="L28" s="82">
        <f t="shared" si="17"/>
        <v>64729.33641172995</v>
      </c>
      <c r="M28" s="82">
        <f t="shared" si="17"/>
        <v>65310.362298768967</v>
      </c>
      <c r="N28" s="82">
        <f t="shared" si="17"/>
        <v>65903.008703548767</v>
      </c>
      <c r="O28" s="105">
        <f t="shared" si="17"/>
        <v>66507.508036424173</v>
      </c>
    </row>
    <row r="29" spans="3:15" x14ac:dyDescent="0.25">
      <c r="C29" s="102" t="s">
        <v>59</v>
      </c>
      <c r="D29" s="70">
        <v>20000</v>
      </c>
      <c r="E29" s="80">
        <f>D29*1.02</f>
        <v>20400</v>
      </c>
      <c r="F29" s="80">
        <f t="shared" ref="F29:O30" si="18">E29*1.02</f>
        <v>20808</v>
      </c>
      <c r="G29" s="80">
        <f t="shared" si="18"/>
        <v>21224.16</v>
      </c>
      <c r="H29" s="81">
        <f t="shared" si="18"/>
        <v>21648.643199999999</v>
      </c>
      <c r="I29" s="81">
        <f t="shared" si="18"/>
        <v>22081.616063999998</v>
      </c>
      <c r="J29" s="81">
        <f t="shared" si="18"/>
        <v>22523.24838528</v>
      </c>
      <c r="K29" s="82">
        <f t="shared" si="18"/>
        <v>22973.7133529856</v>
      </c>
      <c r="L29" s="82">
        <f t="shared" si="18"/>
        <v>23433.187620045312</v>
      </c>
      <c r="M29" s="82">
        <f t="shared" si="18"/>
        <v>23901.851372446217</v>
      </c>
      <c r="N29" s="82">
        <f t="shared" si="18"/>
        <v>24379.888399895142</v>
      </c>
      <c r="O29" s="105">
        <f t="shared" si="18"/>
        <v>24867.486167893047</v>
      </c>
    </row>
    <row r="30" spans="3:15" x14ac:dyDescent="0.25">
      <c r="C30" s="102" t="s">
        <v>60</v>
      </c>
      <c r="D30" s="70">
        <v>10000</v>
      </c>
      <c r="E30" s="80">
        <f>D30*1.02</f>
        <v>10200</v>
      </c>
      <c r="F30" s="80">
        <f t="shared" si="18"/>
        <v>10404</v>
      </c>
      <c r="G30" s="80">
        <f t="shared" si="18"/>
        <v>10612.08</v>
      </c>
      <c r="H30" s="81">
        <f t="shared" si="18"/>
        <v>10824.321599999999</v>
      </c>
      <c r="I30" s="81">
        <f t="shared" si="18"/>
        <v>11040.808031999999</v>
      </c>
      <c r="J30" s="81">
        <f t="shared" si="18"/>
        <v>11261.62419264</v>
      </c>
      <c r="K30" s="82">
        <f t="shared" si="18"/>
        <v>11486.8566764928</v>
      </c>
      <c r="L30" s="82">
        <f t="shared" si="18"/>
        <v>11716.593810022656</v>
      </c>
      <c r="M30" s="82">
        <f t="shared" si="18"/>
        <v>11950.925686223109</v>
      </c>
      <c r="N30" s="82">
        <f t="shared" si="18"/>
        <v>12189.944199947571</v>
      </c>
      <c r="O30" s="105">
        <f t="shared" si="18"/>
        <v>12433.743083946523</v>
      </c>
    </row>
    <row r="31" spans="3:15" x14ac:dyDescent="0.25">
      <c r="C31" s="102" t="s">
        <v>61</v>
      </c>
      <c r="D31" s="118">
        <v>4000</v>
      </c>
      <c r="E31" s="80">
        <v>4000</v>
      </c>
      <c r="F31" s="80">
        <v>4000</v>
      </c>
      <c r="G31" s="80">
        <v>4000</v>
      </c>
      <c r="H31" s="81">
        <v>4000</v>
      </c>
      <c r="I31" s="81">
        <v>4000</v>
      </c>
      <c r="J31" s="81">
        <v>4000</v>
      </c>
      <c r="K31" s="82">
        <v>4000</v>
      </c>
      <c r="L31" s="82">
        <v>4000</v>
      </c>
      <c r="M31" s="82">
        <v>4000</v>
      </c>
      <c r="N31" s="82">
        <v>4000</v>
      </c>
      <c r="O31" s="105">
        <v>4000</v>
      </c>
    </row>
    <row r="32" spans="3:15" x14ac:dyDescent="0.25">
      <c r="C32" s="102" t="s">
        <v>67</v>
      </c>
      <c r="D32" s="70">
        <v>40000</v>
      </c>
      <c r="E32" s="80">
        <v>40000</v>
      </c>
      <c r="F32" s="80">
        <v>40000</v>
      </c>
      <c r="G32" s="80">
        <v>40000</v>
      </c>
      <c r="H32" s="81">
        <v>40000</v>
      </c>
      <c r="I32" s="81">
        <v>40000</v>
      </c>
      <c r="J32" s="81">
        <v>40000</v>
      </c>
      <c r="K32" s="82">
        <v>40000</v>
      </c>
      <c r="L32" s="82">
        <v>40000</v>
      </c>
      <c r="M32" s="82">
        <v>40000</v>
      </c>
      <c r="N32" s="82">
        <v>40000</v>
      </c>
      <c r="O32" s="105">
        <v>40000</v>
      </c>
    </row>
    <row r="33" spans="3:15" ht="15" thickBot="1" x14ac:dyDescent="0.3">
      <c r="C33" s="102" t="s">
        <v>69</v>
      </c>
      <c r="D33" s="79">
        <f>D28-D29-D30-D31-D32</f>
        <v>-13526.957940221233</v>
      </c>
      <c r="E33" s="80">
        <f t="shared" ref="E33:O33" si="19">E28-E29-E30-E31-E32</f>
        <v>-13631.057940221232</v>
      </c>
      <c r="F33" s="80">
        <f t="shared" si="19"/>
        <v>-13737.239940221225</v>
      </c>
      <c r="G33" s="80">
        <f t="shared" si="19"/>
        <v>-13845.545580221224</v>
      </c>
      <c r="H33" s="81">
        <f t="shared" si="19"/>
        <v>-13956.017333021224</v>
      </c>
      <c r="I33" s="81">
        <f t="shared" si="19"/>
        <v>-14068.698520877224</v>
      </c>
      <c r="J33" s="81">
        <f t="shared" si="19"/>
        <v>-14183.63333249035</v>
      </c>
      <c r="K33" s="82">
        <f t="shared" si="19"/>
        <v>-14300.866840335733</v>
      </c>
      <c r="L33" s="82">
        <f t="shared" si="19"/>
        <v>-14420.445018338018</v>
      </c>
      <c r="M33" s="82">
        <f t="shared" si="19"/>
        <v>-14542.414759900359</v>
      </c>
      <c r="N33" s="82">
        <f t="shared" si="19"/>
        <v>-14666.823896293947</v>
      </c>
      <c r="O33" s="105">
        <f t="shared" si="19"/>
        <v>-14793.721215415397</v>
      </c>
    </row>
    <row r="34" spans="3:15" ht="15" thickBot="1" x14ac:dyDescent="0.3">
      <c r="C34" s="111" t="s">
        <v>70</v>
      </c>
      <c r="D34" s="138">
        <f>D33/D27</f>
        <v>-0.1946066049787793</v>
      </c>
      <c r="E34" s="137">
        <f t="shared" ref="E34:O34" si="20">E33/E27</f>
        <v>-0.19450920431528812</v>
      </c>
      <c r="F34" s="113">
        <f t="shared" si="20"/>
        <v>-0.19441147450385793</v>
      </c>
      <c r="G34" s="113">
        <f t="shared" si="20"/>
        <v>-0.19431343312955665</v>
      </c>
      <c r="H34" s="114">
        <f t="shared" si="20"/>
        <v>-0.19421509801228995</v>
      </c>
      <c r="I34" s="114">
        <f t="shared" si="20"/>
        <v>-0.19411648719441038</v>
      </c>
      <c r="J34" s="176">
        <f t="shared" si="20"/>
        <v>-0.1940176189279729</v>
      </c>
      <c r="K34" s="177">
        <f t="shared" si="20"/>
        <v>-0.19391851166165502</v>
      </c>
      <c r="L34" s="177">
        <f t="shared" si="20"/>
        <v>-0.19381918402736145</v>
      </c>
      <c r="M34" s="177">
        <f t="shared" si="20"/>
        <v>-0.19371965482653261</v>
      </c>
      <c r="N34" s="177">
        <f t="shared" si="20"/>
        <v>-0.19361994301617708</v>
      </c>
      <c r="O34" s="178">
        <f t="shared" si="20"/>
        <v>-0.19352006769465163</v>
      </c>
    </row>
    <row r="37" spans="3:15" x14ac:dyDescent="0.25"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8"/>
  <sheetViews>
    <sheetView topLeftCell="B1" zoomScaleNormal="100" workbookViewId="0">
      <selection activeCell="D6" sqref="D6:O8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75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214091.29758138885</v>
      </c>
      <c r="E6" s="71">
        <v>202051.29758138885</v>
      </c>
      <c r="F6" s="71">
        <v>191195.29758138885</v>
      </c>
      <c r="G6" s="71">
        <v>181404.89758138885</v>
      </c>
      <c r="H6" s="72">
        <v>172573.53758138884</v>
      </c>
      <c r="I6" s="72">
        <v>164605.31358138885</v>
      </c>
      <c r="J6" s="72">
        <v>157413.91198138884</v>
      </c>
      <c r="K6" s="73">
        <v>150921.65054138884</v>
      </c>
      <c r="L6" s="73">
        <v>145058.61524538885</v>
      </c>
      <c r="M6" s="73">
        <v>139761.88347898886</v>
      </c>
      <c r="N6" s="73">
        <v>134974.82488922885</v>
      </c>
      <c r="O6" s="103">
        <v>130646.47215844486</v>
      </c>
    </row>
    <row r="7" spans="3:15" x14ac:dyDescent="0.25">
      <c r="C7" s="102" t="s">
        <v>24</v>
      </c>
      <c r="D7" s="74">
        <v>0</v>
      </c>
      <c r="E7" s="75">
        <v>0</v>
      </c>
      <c r="F7" s="76">
        <v>19119.529758138884</v>
      </c>
      <c r="G7" s="76">
        <v>18140.489758138887</v>
      </c>
      <c r="H7" s="77">
        <v>17257.353758138885</v>
      </c>
      <c r="I7" s="77">
        <v>16460.531358138887</v>
      </c>
      <c r="J7" s="77">
        <v>15741.391198138885</v>
      </c>
      <c r="K7" s="78">
        <v>15092.165054138884</v>
      </c>
      <c r="L7" s="78">
        <v>14505.861524538886</v>
      </c>
      <c r="M7" s="78">
        <v>13976.188347898888</v>
      </c>
      <c r="N7" s="78">
        <v>13497.482488922886</v>
      </c>
      <c r="O7" s="104">
        <v>13064.647215844487</v>
      </c>
    </row>
    <row r="8" spans="3:15" x14ac:dyDescent="0.25">
      <c r="C8" s="102" t="s">
        <v>48</v>
      </c>
      <c r="D8" s="79">
        <v>214091.29758138885</v>
      </c>
      <c r="E8" s="80">
        <v>202051.29758138885</v>
      </c>
      <c r="F8" s="80">
        <v>210314.82733952772</v>
      </c>
      <c r="G8" s="80">
        <v>199545.38733952775</v>
      </c>
      <c r="H8" s="81">
        <v>189830.89133952773</v>
      </c>
      <c r="I8" s="81">
        <v>181065.84493952774</v>
      </c>
      <c r="J8" s="81">
        <v>173155.30317952772</v>
      </c>
      <c r="K8" s="82">
        <v>166013.81559552773</v>
      </c>
      <c r="L8" s="82">
        <v>159564.47676992774</v>
      </c>
      <c r="M8" s="82">
        <v>153738.07182688775</v>
      </c>
      <c r="N8" s="82">
        <v>148472.30737815175</v>
      </c>
      <c r="O8" s="100">
        <v>143711.11937428935</v>
      </c>
    </row>
    <row r="9" spans="3:15" x14ac:dyDescent="0.25">
      <c r="C9" s="102" t="s">
        <v>84</v>
      </c>
      <c r="D9" s="83">
        <v>300</v>
      </c>
      <c r="E9" s="147">
        <v>300</v>
      </c>
      <c r="F9" s="147">
        <v>300</v>
      </c>
      <c r="G9" s="147">
        <v>300</v>
      </c>
      <c r="H9" s="148">
        <v>300</v>
      </c>
      <c r="I9" s="148">
        <v>300</v>
      </c>
      <c r="J9" s="148">
        <v>300</v>
      </c>
      <c r="K9" s="149">
        <v>300</v>
      </c>
      <c r="L9" s="149">
        <v>300</v>
      </c>
      <c r="M9" s="149">
        <v>300</v>
      </c>
      <c r="N9" s="149">
        <v>300</v>
      </c>
      <c r="O9" s="169">
        <v>300</v>
      </c>
    </row>
    <row r="10" spans="3:15" x14ac:dyDescent="0.25">
      <c r="C10" s="102" t="s">
        <v>94</v>
      </c>
      <c r="D10" s="83">
        <v>5</v>
      </c>
      <c r="E10" s="147">
        <v>5</v>
      </c>
      <c r="F10" s="147">
        <v>5</v>
      </c>
      <c r="G10" s="147">
        <v>5</v>
      </c>
      <c r="H10" s="148">
        <v>5</v>
      </c>
      <c r="I10" s="148">
        <v>5</v>
      </c>
      <c r="J10" s="148">
        <v>5</v>
      </c>
      <c r="K10" s="149">
        <v>5</v>
      </c>
      <c r="L10" s="149">
        <v>5</v>
      </c>
      <c r="M10" s="149">
        <v>5</v>
      </c>
      <c r="N10" s="149">
        <v>5</v>
      </c>
      <c r="O10" s="169">
        <v>5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57850.494812066376</v>
      </c>
      <c r="E14" s="90">
        <v>56165.528943753765</v>
      </c>
      <c r="F14" s="90">
        <v>54529.639751217255</v>
      </c>
      <c r="G14" s="90">
        <v>52941.397816715784</v>
      </c>
      <c r="H14" s="94">
        <v>51399.415356034748</v>
      </c>
      <c r="I14" s="94">
        <v>49902.345005858973</v>
      </c>
      <c r="J14" s="94">
        <v>48448.878646465026</v>
      </c>
      <c r="K14" s="95">
        <v>47037.746258703904</v>
      </c>
      <c r="L14" s="95">
        <v>45667.714814275641</v>
      </c>
      <c r="M14" s="95">
        <v>44337.587198325862</v>
      </c>
      <c r="N14" s="95">
        <v>43046.201163423168</v>
      </c>
      <c r="O14" s="101">
        <v>41792.428314003075</v>
      </c>
    </row>
    <row r="15" spans="3:15" x14ac:dyDescent="0.25">
      <c r="C15" s="102" t="s">
        <v>89</v>
      </c>
      <c r="D15" s="79">
        <f>27*300+27*100</f>
        <v>10800</v>
      </c>
      <c r="E15" s="90">
        <f>D15*(1-$D$13)</f>
        <v>10476</v>
      </c>
      <c r="F15" s="90">
        <f t="shared" ref="F15:O15" si="0">E15*(1-$D$13)</f>
        <v>10161.719999999999</v>
      </c>
      <c r="G15" s="90">
        <f t="shared" si="0"/>
        <v>9856.8683999999994</v>
      </c>
      <c r="H15" s="94">
        <f t="shared" si="0"/>
        <v>9561.1623479999998</v>
      </c>
      <c r="I15" s="94">
        <f t="shared" si="0"/>
        <v>9274.3274775600003</v>
      </c>
      <c r="J15" s="94">
        <f t="shared" si="0"/>
        <v>8996.0976532332006</v>
      </c>
      <c r="K15" s="95">
        <f t="shared" si="0"/>
        <v>8726.2147236362052</v>
      </c>
      <c r="L15" s="95">
        <f t="shared" si="0"/>
        <v>8464.4282819271193</v>
      </c>
      <c r="M15" s="95">
        <f t="shared" si="0"/>
        <v>8210.4954334693048</v>
      </c>
      <c r="N15" s="95">
        <f t="shared" si="0"/>
        <v>7964.1805704652252</v>
      </c>
      <c r="O15" s="101">
        <f t="shared" si="0"/>
        <v>7725.2551533512678</v>
      </c>
    </row>
    <row r="16" spans="3:15" x14ac:dyDescent="0.25">
      <c r="C16" s="102" t="s">
        <v>90</v>
      </c>
      <c r="D16" s="79">
        <v>20283.523132084592</v>
      </c>
      <c r="E16" s="90">
        <v>19692.740904936494</v>
      </c>
      <c r="F16" s="90">
        <v>19119.165927122813</v>
      </c>
      <c r="G16" s="90">
        <v>18562.297016624088</v>
      </c>
      <c r="H16" s="94">
        <v>18021.647588955424</v>
      </c>
      <c r="I16" s="94">
        <v>17496.745231995563</v>
      </c>
      <c r="J16" s="94">
        <v>16987.131293199574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32113.694637208326</v>
      </c>
      <c r="E18" s="90">
        <f t="shared" ref="E18:O18" si="1">0.15*E6</f>
        <v>30307.694637208326</v>
      </c>
      <c r="F18" s="90">
        <f t="shared" si="1"/>
        <v>28679.294637208328</v>
      </c>
      <c r="G18" s="90">
        <f t="shared" si="1"/>
        <v>27210.734637208327</v>
      </c>
      <c r="H18" s="94">
        <f t="shared" si="1"/>
        <v>25886.030637208325</v>
      </c>
      <c r="I18" s="94">
        <f t="shared" si="1"/>
        <v>24690.797037208325</v>
      </c>
      <c r="J18" s="94">
        <f t="shared" si="1"/>
        <v>23612.086797208325</v>
      </c>
      <c r="K18" s="95">
        <f t="shared" si="1"/>
        <v>22638.247581208325</v>
      </c>
      <c r="L18" s="95">
        <f t="shared" si="1"/>
        <v>21758.792286808326</v>
      </c>
      <c r="M18" s="95">
        <f t="shared" si="1"/>
        <v>20964.28252184833</v>
      </c>
      <c r="N18" s="95">
        <f t="shared" si="1"/>
        <v>20246.223733384326</v>
      </c>
      <c r="O18" s="101">
        <f t="shared" si="1"/>
        <v>19596.970823766729</v>
      </c>
    </row>
    <row r="19" spans="3:15" x14ac:dyDescent="0.25">
      <c r="C19" s="160" t="s">
        <v>93</v>
      </c>
      <c r="D19" s="161">
        <f>D8+D14+D15+D16+D17-D18</f>
        <v>270911.6208883315</v>
      </c>
      <c r="E19" s="158">
        <f t="shared" ref="E19:O19" si="2">E8+E14+E15+E16+E17-E18</f>
        <v>258077.87279287082</v>
      </c>
      <c r="F19" s="158">
        <f t="shared" si="2"/>
        <v>265446.05838065944</v>
      </c>
      <c r="G19" s="158">
        <f t="shared" si="2"/>
        <v>253695.21593565925</v>
      </c>
      <c r="H19" s="159">
        <f t="shared" si="2"/>
        <v>242927.08599530964</v>
      </c>
      <c r="I19" s="159">
        <f t="shared" si="2"/>
        <v>233048.46561773395</v>
      </c>
      <c r="J19" s="159">
        <f t="shared" si="2"/>
        <v>223975.32397521721</v>
      </c>
      <c r="K19" s="162">
        <f t="shared" si="2"/>
        <v>215631.88947549404</v>
      </c>
      <c r="L19" s="162">
        <f t="shared" si="2"/>
        <v>204933.89455938031</v>
      </c>
      <c r="M19" s="162">
        <f t="shared" si="2"/>
        <v>194923.4792093428</v>
      </c>
      <c r="N19" s="162">
        <f t="shared" si="2"/>
        <v>185542.48070208638</v>
      </c>
      <c r="O19" s="172">
        <f t="shared" si="2"/>
        <v>176738.24350725164</v>
      </c>
    </row>
    <row r="20" spans="3:15" x14ac:dyDescent="0.25">
      <c r="C20" s="131" t="s">
        <v>76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73167.624996707527</v>
      </c>
      <c r="E22" s="87">
        <v>73767.624996707527</v>
      </c>
      <c r="F22" s="87">
        <v>74379.624996707527</v>
      </c>
      <c r="G22" s="87">
        <v>75003.864996707533</v>
      </c>
      <c r="H22" s="88">
        <v>75640.589796707529</v>
      </c>
      <c r="I22" s="88">
        <v>76290.04909270753</v>
      </c>
      <c r="J22" s="88">
        <v>76952.49757462753</v>
      </c>
      <c r="K22" s="89">
        <v>77628.195026185931</v>
      </c>
      <c r="L22" s="89">
        <v>78317.406426775502</v>
      </c>
      <c r="M22" s="89">
        <v>79020.40205537685</v>
      </c>
      <c r="N22" s="89">
        <v>79737.45759655023</v>
      </c>
      <c r="O22" s="107">
        <v>80468.854248547097</v>
      </c>
    </row>
    <row r="23" spans="3:15" x14ac:dyDescent="0.25">
      <c r="C23" s="102" t="s">
        <v>24</v>
      </c>
      <c r="D23" s="117">
        <v>7316.7624996707527</v>
      </c>
      <c r="E23" s="76">
        <v>7376.7624996707527</v>
      </c>
      <c r="F23" s="76">
        <v>7437.9624996707535</v>
      </c>
      <c r="G23" s="76">
        <v>7500.3864996707534</v>
      </c>
      <c r="H23" s="77">
        <v>7564.0589796707536</v>
      </c>
      <c r="I23" s="77">
        <v>7629.0049092707532</v>
      </c>
      <c r="J23" s="77">
        <v>7695.2497574627532</v>
      </c>
      <c r="K23" s="78">
        <v>7762.8195026185931</v>
      </c>
      <c r="L23" s="78">
        <v>7831.7406426775506</v>
      </c>
      <c r="M23" s="78">
        <v>7902.0402055376853</v>
      </c>
      <c r="N23" s="78">
        <v>7973.745759655023</v>
      </c>
      <c r="O23" s="104">
        <v>8046.8854248547104</v>
      </c>
    </row>
    <row r="24" spans="3:15" x14ac:dyDescent="0.25">
      <c r="C24" s="102" t="s">
        <v>48</v>
      </c>
      <c r="D24" s="93">
        <v>80484.387496378273</v>
      </c>
      <c r="E24" s="71">
        <v>81144.387496378273</v>
      </c>
      <c r="F24" s="71">
        <v>81817.587496378284</v>
      </c>
      <c r="G24" s="135">
        <v>82504.251496378289</v>
      </c>
      <c r="H24" s="72">
        <v>83204.648776378279</v>
      </c>
      <c r="I24" s="72">
        <v>83919.054001978278</v>
      </c>
      <c r="J24" s="72">
        <v>84647.747332090279</v>
      </c>
      <c r="K24" s="73">
        <v>85391.014528804517</v>
      </c>
      <c r="L24" s="73">
        <v>86149.147069453058</v>
      </c>
      <c r="M24" s="73">
        <v>86922.44226091454</v>
      </c>
      <c r="N24" s="73">
        <v>87711.203356205253</v>
      </c>
      <c r="O24" s="103">
        <v>88515.739673401811</v>
      </c>
    </row>
    <row r="25" spans="3:15" x14ac:dyDescent="0.25">
      <c r="C25" s="102" t="s">
        <v>84</v>
      </c>
      <c r="D25" s="79">
        <v>300</v>
      </c>
      <c r="E25" s="71">
        <v>300</v>
      </c>
      <c r="F25" s="71">
        <v>300</v>
      </c>
      <c r="G25" s="80">
        <v>300</v>
      </c>
      <c r="H25" s="72">
        <v>300</v>
      </c>
      <c r="I25" s="72">
        <v>300</v>
      </c>
      <c r="J25" s="72">
        <v>300</v>
      </c>
      <c r="K25" s="73">
        <v>300</v>
      </c>
      <c r="L25" s="73">
        <v>300</v>
      </c>
      <c r="M25" s="73">
        <v>300</v>
      </c>
      <c r="N25" s="73">
        <v>300</v>
      </c>
      <c r="O25" s="103">
        <v>300</v>
      </c>
    </row>
    <row r="26" spans="3:15" x14ac:dyDescent="0.25">
      <c r="C26" s="102" t="s">
        <v>94</v>
      </c>
      <c r="D26" s="79">
        <v>5</v>
      </c>
      <c r="E26" s="71">
        <v>5</v>
      </c>
      <c r="F26" s="71">
        <v>5</v>
      </c>
      <c r="G26" s="80">
        <v>5</v>
      </c>
      <c r="H26" s="72">
        <v>5</v>
      </c>
      <c r="I26" s="72">
        <v>5</v>
      </c>
      <c r="J26" s="72">
        <v>5</v>
      </c>
      <c r="K26" s="73">
        <v>5</v>
      </c>
      <c r="L26" s="73">
        <v>5</v>
      </c>
      <c r="M26" s="73">
        <v>5</v>
      </c>
      <c r="N26" s="73">
        <v>5</v>
      </c>
      <c r="O26" s="103">
        <v>5</v>
      </c>
    </row>
    <row r="27" spans="3:15" x14ac:dyDescent="0.25">
      <c r="C27" s="102" t="s">
        <v>95</v>
      </c>
      <c r="D27" s="83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253095.91480279044</v>
      </c>
      <c r="E30" s="71">
        <v>245724.18912892276</v>
      </c>
      <c r="F30" s="71">
        <v>238567.17391157549</v>
      </c>
      <c r="G30" s="80">
        <v>231618.61544813155</v>
      </c>
      <c r="H30" s="72">
        <v>224872.44218265201</v>
      </c>
      <c r="I30" s="72">
        <v>218322.75940063305</v>
      </c>
      <c r="J30" s="72">
        <v>211963.84407828446</v>
      </c>
      <c r="K30" s="73">
        <v>205790.13988182956</v>
      </c>
      <c r="L30" s="73">
        <v>199796.25231245588</v>
      </c>
      <c r="M30" s="73">
        <v>193976.94399267563</v>
      </c>
      <c r="N30" s="73">
        <v>188327.13008997636</v>
      </c>
      <c r="O30" s="103">
        <v>182841.87387376346</v>
      </c>
    </row>
    <row r="31" spans="3:15" x14ac:dyDescent="0.25">
      <c r="C31" s="102" t="s">
        <v>89</v>
      </c>
      <c r="D31" s="70">
        <f>54*1200+55*600</f>
        <v>97800</v>
      </c>
      <c r="E31" s="71">
        <f>D31*(1-$D$29)</f>
        <v>94866</v>
      </c>
      <c r="F31" s="71">
        <f t="shared" ref="F31:O31" si="3">E31*(1-$D$29)</f>
        <v>92020.02</v>
      </c>
      <c r="G31" s="80">
        <f t="shared" si="3"/>
        <v>89259.419399999999</v>
      </c>
      <c r="H31" s="72">
        <f t="shared" si="3"/>
        <v>86581.636817999999</v>
      </c>
      <c r="I31" s="72">
        <f t="shared" si="3"/>
        <v>83984.187713459993</v>
      </c>
      <c r="J31" s="72">
        <f t="shared" si="3"/>
        <v>81464.662082056195</v>
      </c>
      <c r="K31" s="73">
        <f t="shared" si="3"/>
        <v>79020.722219594507</v>
      </c>
      <c r="L31" s="73">
        <f t="shared" si="3"/>
        <v>76650.100553006676</v>
      </c>
      <c r="M31" s="73">
        <f t="shared" si="3"/>
        <v>74350.597536416477</v>
      </c>
      <c r="N31" s="73">
        <f t="shared" si="3"/>
        <v>72120.079610323985</v>
      </c>
      <c r="O31" s="103">
        <f t="shared" si="3"/>
        <v>69956.477222014262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26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26" x14ac:dyDescent="0.25">
      <c r="C34" s="102" t="s">
        <v>87</v>
      </c>
      <c r="D34" s="79">
        <f>0.35*D22</f>
        <v>25608.668748847635</v>
      </c>
      <c r="E34" s="71">
        <f t="shared" ref="E34:O34" si="5">0.35*E22</f>
        <v>25818.668748847635</v>
      </c>
      <c r="F34" s="71">
        <f t="shared" si="5"/>
        <v>26032.868748847632</v>
      </c>
      <c r="G34" s="80">
        <f t="shared" si="5"/>
        <v>26251.352748847636</v>
      </c>
      <c r="H34" s="72">
        <f t="shared" si="5"/>
        <v>26474.206428847632</v>
      </c>
      <c r="I34" s="72">
        <f t="shared" si="5"/>
        <v>26701.517182447635</v>
      </c>
      <c r="J34" s="72">
        <f t="shared" si="5"/>
        <v>26933.374151119635</v>
      </c>
      <c r="K34" s="73">
        <f t="shared" si="5"/>
        <v>27169.868259165076</v>
      </c>
      <c r="L34" s="73">
        <f t="shared" si="5"/>
        <v>27411.092249371424</v>
      </c>
      <c r="M34" s="73">
        <f t="shared" si="5"/>
        <v>27657.140719381896</v>
      </c>
      <c r="N34" s="73">
        <f t="shared" si="5"/>
        <v>27908.11015879258</v>
      </c>
      <c r="O34" s="103">
        <f t="shared" si="5"/>
        <v>28164.098986991481</v>
      </c>
    </row>
    <row r="35" spans="3:26" x14ac:dyDescent="0.25">
      <c r="C35" s="160" t="s">
        <v>93</v>
      </c>
      <c r="D35" s="163">
        <f>D24+D30+D31+D32-D34</f>
        <v>434692.76537120726</v>
      </c>
      <c r="E35" s="164">
        <f t="shared" ref="E35:O35" si="6">E24+E30+E31+E32-E34</f>
        <v>423994.67663459532</v>
      </c>
      <c r="F35" s="164">
        <f t="shared" si="6"/>
        <v>413632.85320099152</v>
      </c>
      <c r="G35" s="165">
        <f t="shared" si="6"/>
        <v>403597.86616059946</v>
      </c>
      <c r="H35" s="166">
        <f t="shared" si="6"/>
        <v>393880.57238210231</v>
      </c>
      <c r="I35" s="166">
        <f t="shared" si="6"/>
        <v>381666.58677588054</v>
      </c>
      <c r="J35" s="166">
        <f t="shared" si="6"/>
        <v>369834.54704603151</v>
      </c>
      <c r="K35" s="167">
        <f t="shared" si="6"/>
        <v>358373.73904904909</v>
      </c>
      <c r="L35" s="167">
        <f t="shared" si="6"/>
        <v>347273.77231815644</v>
      </c>
      <c r="M35" s="167">
        <f t="shared" si="6"/>
        <v>336524.57076598122</v>
      </c>
      <c r="N35" s="167">
        <f t="shared" si="6"/>
        <v>326116.363663695</v>
      </c>
      <c r="O35" s="168">
        <f t="shared" si="6"/>
        <v>316039.67688858311</v>
      </c>
    </row>
    <row r="37" spans="3:26" x14ac:dyDescent="0.25">
      <c r="C37" t="s">
        <v>315</v>
      </c>
      <c r="D37" s="30">
        <f>D19-D35</f>
        <v>-163781.14448287577</v>
      </c>
      <c r="E37" s="30">
        <f t="shared" ref="E37:O37" si="7">E19-E35</f>
        <v>-165916.8038417245</v>
      </c>
      <c r="F37" s="30">
        <f t="shared" si="7"/>
        <v>-148186.79482033208</v>
      </c>
      <c r="G37" s="30">
        <f t="shared" si="7"/>
        <v>-149902.65022494021</v>
      </c>
      <c r="H37" s="30">
        <f t="shared" si="7"/>
        <v>-150953.48638679268</v>
      </c>
      <c r="I37" s="30">
        <f t="shared" si="7"/>
        <v>-148618.12115814659</v>
      </c>
      <c r="J37" s="30">
        <f t="shared" si="7"/>
        <v>-145859.2230708143</v>
      </c>
      <c r="K37" s="30">
        <f t="shared" si="7"/>
        <v>-142741.84957355505</v>
      </c>
      <c r="L37" s="30">
        <f t="shared" si="7"/>
        <v>-142339.87775877613</v>
      </c>
      <c r="M37" s="30">
        <f t="shared" si="7"/>
        <v>-141601.09155663842</v>
      </c>
      <c r="N37" s="30">
        <f t="shared" si="7"/>
        <v>-140573.88296160862</v>
      </c>
      <c r="O37" s="30">
        <f t="shared" si="7"/>
        <v>-139301.43338133147</v>
      </c>
    </row>
    <row r="48" spans="3:26" x14ac:dyDescent="0.25">
      <c r="D48">
        <v>2019</v>
      </c>
      <c r="E48">
        <v>2020</v>
      </c>
      <c r="F48">
        <v>2021</v>
      </c>
      <c r="G48">
        <v>2022</v>
      </c>
      <c r="H48">
        <v>2023</v>
      </c>
      <c r="I48">
        <v>2024</v>
      </c>
      <c r="J48">
        <v>2025</v>
      </c>
      <c r="K48">
        <v>2026</v>
      </c>
      <c r="L48">
        <v>2027</v>
      </c>
      <c r="M48">
        <v>2028</v>
      </c>
      <c r="N48">
        <v>2029</v>
      </c>
      <c r="O48">
        <v>2030</v>
      </c>
      <c r="P48">
        <v>2031</v>
      </c>
      <c r="Q48">
        <v>2032</v>
      </c>
      <c r="R48">
        <v>2033</v>
      </c>
      <c r="S48">
        <v>2034</v>
      </c>
      <c r="T48">
        <v>2035</v>
      </c>
      <c r="U48">
        <v>2036</v>
      </c>
      <c r="V48">
        <v>2037</v>
      </c>
      <c r="W48">
        <v>2038</v>
      </c>
      <c r="X48">
        <v>2039</v>
      </c>
      <c r="Y48">
        <v>2040</v>
      </c>
      <c r="Z48">
        <v>2041</v>
      </c>
    </row>
    <row r="49" spans="3:26" x14ac:dyDescent="0.25">
      <c r="C49" t="s">
        <v>98</v>
      </c>
      <c r="D49">
        <f>300*365</f>
        <v>109500</v>
      </c>
      <c r="E49">
        <f t="shared" ref="E49:Z49" si="8">300*365</f>
        <v>109500</v>
      </c>
      <c r="F49">
        <f t="shared" si="8"/>
        <v>109500</v>
      </c>
      <c r="G49">
        <f t="shared" si="8"/>
        <v>109500</v>
      </c>
      <c r="H49">
        <f t="shared" si="8"/>
        <v>109500</v>
      </c>
      <c r="I49">
        <f t="shared" si="8"/>
        <v>109500</v>
      </c>
      <c r="J49">
        <f t="shared" si="8"/>
        <v>109500</v>
      </c>
      <c r="K49">
        <f t="shared" si="8"/>
        <v>109500</v>
      </c>
      <c r="L49">
        <f t="shared" si="8"/>
        <v>109500</v>
      </c>
      <c r="M49">
        <f t="shared" si="8"/>
        <v>109500</v>
      </c>
      <c r="N49">
        <f t="shared" si="8"/>
        <v>109500</v>
      </c>
      <c r="O49">
        <f t="shared" si="8"/>
        <v>109500</v>
      </c>
      <c r="P49">
        <f t="shared" si="8"/>
        <v>109500</v>
      </c>
      <c r="Q49">
        <f t="shared" si="8"/>
        <v>109500</v>
      </c>
      <c r="R49">
        <f t="shared" si="8"/>
        <v>109500</v>
      </c>
      <c r="S49">
        <f t="shared" si="8"/>
        <v>109500</v>
      </c>
      <c r="T49">
        <f t="shared" si="8"/>
        <v>109500</v>
      </c>
      <c r="U49">
        <f t="shared" si="8"/>
        <v>109500</v>
      </c>
      <c r="V49">
        <f t="shared" si="8"/>
        <v>109500</v>
      </c>
      <c r="W49">
        <f t="shared" si="8"/>
        <v>109500</v>
      </c>
      <c r="X49">
        <f t="shared" si="8"/>
        <v>109500</v>
      </c>
      <c r="Y49">
        <f t="shared" si="8"/>
        <v>109500</v>
      </c>
      <c r="Z49">
        <f t="shared" si="8"/>
        <v>109500</v>
      </c>
    </row>
    <row r="50" spans="3:26" x14ac:dyDescent="0.25">
      <c r="C50" t="s">
        <v>99</v>
      </c>
      <c r="D50" s="30">
        <f>($D$11/100)*D49</f>
        <v>15330.000000000002</v>
      </c>
      <c r="E50" s="30">
        <f t="shared" ref="E50:Z50" si="9">($D$11/100)*E49</f>
        <v>15330.000000000002</v>
      </c>
      <c r="F50" s="30">
        <f t="shared" si="9"/>
        <v>15330.000000000002</v>
      </c>
      <c r="G50" s="30">
        <f t="shared" si="9"/>
        <v>15330.000000000002</v>
      </c>
      <c r="H50" s="30">
        <f t="shared" si="9"/>
        <v>15330.000000000002</v>
      </c>
      <c r="I50" s="30">
        <f t="shared" si="9"/>
        <v>15330.000000000002</v>
      </c>
      <c r="J50" s="30">
        <f t="shared" si="9"/>
        <v>15330.000000000002</v>
      </c>
      <c r="K50" s="30">
        <f t="shared" si="9"/>
        <v>15330.000000000002</v>
      </c>
      <c r="L50" s="30">
        <f t="shared" si="9"/>
        <v>15330.000000000002</v>
      </c>
      <c r="M50" s="30">
        <f t="shared" si="9"/>
        <v>15330.000000000002</v>
      </c>
      <c r="N50" s="30">
        <f t="shared" si="9"/>
        <v>15330.000000000002</v>
      </c>
      <c r="O50" s="30">
        <f t="shared" si="9"/>
        <v>15330.000000000002</v>
      </c>
      <c r="P50" s="30">
        <f t="shared" si="9"/>
        <v>15330.000000000002</v>
      </c>
      <c r="Q50" s="30">
        <f t="shared" si="9"/>
        <v>15330.000000000002</v>
      </c>
      <c r="R50" s="30">
        <f t="shared" si="9"/>
        <v>15330.000000000002</v>
      </c>
      <c r="S50" s="30">
        <f t="shared" si="9"/>
        <v>15330.000000000002</v>
      </c>
      <c r="T50" s="30">
        <f t="shared" si="9"/>
        <v>15330.000000000002</v>
      </c>
      <c r="U50" s="30">
        <f t="shared" si="9"/>
        <v>15330.000000000002</v>
      </c>
      <c r="V50" s="30">
        <f t="shared" si="9"/>
        <v>15330.000000000002</v>
      </c>
      <c r="W50" s="30">
        <f t="shared" si="9"/>
        <v>15330.000000000002</v>
      </c>
      <c r="X50" s="30">
        <f t="shared" si="9"/>
        <v>15330.000000000002</v>
      </c>
      <c r="Y50" s="30">
        <f t="shared" si="9"/>
        <v>15330.000000000002</v>
      </c>
      <c r="Z50" s="30">
        <f t="shared" si="9"/>
        <v>15330.000000000002</v>
      </c>
    </row>
    <row r="51" spans="3:26" x14ac:dyDescent="0.25">
      <c r="C51" t="s">
        <v>101</v>
      </c>
      <c r="D51" s="1">
        <f>D50*$D$12</f>
        <v>12264.000000000002</v>
      </c>
      <c r="E51" s="1">
        <f t="shared" ref="E51:Z51" si="10">E50*$D$12</f>
        <v>12264.000000000002</v>
      </c>
      <c r="F51" s="1">
        <f t="shared" si="10"/>
        <v>12264.000000000002</v>
      </c>
      <c r="G51" s="1">
        <f t="shared" si="10"/>
        <v>12264.000000000002</v>
      </c>
      <c r="H51" s="1">
        <f t="shared" si="10"/>
        <v>12264.000000000002</v>
      </c>
      <c r="I51" s="1">
        <f t="shared" si="10"/>
        <v>12264.000000000002</v>
      </c>
      <c r="J51" s="1">
        <f t="shared" si="10"/>
        <v>12264.000000000002</v>
      </c>
      <c r="K51" s="1">
        <f t="shared" si="10"/>
        <v>12264.000000000002</v>
      </c>
      <c r="L51" s="1">
        <f t="shared" si="10"/>
        <v>12264.000000000002</v>
      </c>
      <c r="M51" s="1">
        <f t="shared" si="10"/>
        <v>12264.000000000002</v>
      </c>
      <c r="N51" s="1">
        <f t="shared" si="10"/>
        <v>12264.000000000002</v>
      </c>
      <c r="O51" s="1">
        <f t="shared" si="10"/>
        <v>12264.000000000002</v>
      </c>
      <c r="P51" s="1">
        <f t="shared" si="10"/>
        <v>12264.000000000002</v>
      </c>
      <c r="Q51" s="1">
        <f t="shared" si="10"/>
        <v>12264.000000000002</v>
      </c>
      <c r="R51" s="1">
        <f t="shared" si="10"/>
        <v>12264.000000000002</v>
      </c>
      <c r="S51" s="1">
        <f t="shared" si="10"/>
        <v>12264.000000000002</v>
      </c>
      <c r="T51" s="1">
        <f t="shared" si="10"/>
        <v>12264.000000000002</v>
      </c>
      <c r="U51" s="1">
        <f t="shared" si="10"/>
        <v>12264.000000000002</v>
      </c>
      <c r="V51" s="1">
        <f t="shared" si="10"/>
        <v>12264.000000000002</v>
      </c>
      <c r="W51" s="1">
        <f t="shared" si="10"/>
        <v>12264.000000000002</v>
      </c>
      <c r="X51" s="1">
        <f t="shared" si="10"/>
        <v>12264.000000000002</v>
      </c>
      <c r="Y51" s="1">
        <f t="shared" si="10"/>
        <v>12264.000000000002</v>
      </c>
      <c r="Z51" s="1">
        <f t="shared" si="10"/>
        <v>12264.000000000002</v>
      </c>
    </row>
    <row r="52" spans="3:26" x14ac:dyDescent="0.25">
      <c r="C52" t="s">
        <v>100</v>
      </c>
      <c r="D52">
        <f>D51/(1+$D$13)^(D48-2019)</f>
        <v>12264.000000000002</v>
      </c>
      <c r="E52">
        <f t="shared" ref="E52:Z52" si="11">E51/(1+$D$13)^(E48-2019)</f>
        <v>11906.796116504856</v>
      </c>
      <c r="F52">
        <f t="shared" si="11"/>
        <v>11559.996229616365</v>
      </c>
      <c r="G52">
        <f t="shared" si="11"/>
        <v>11223.297310307151</v>
      </c>
      <c r="H52">
        <f t="shared" si="11"/>
        <v>10896.405155638011</v>
      </c>
      <c r="I52">
        <f t="shared" si="11"/>
        <v>10579.034131687391</v>
      </c>
      <c r="J52">
        <f t="shared" si="11"/>
        <v>10270.906923968339</v>
      </c>
      <c r="K52">
        <f t="shared" si="11"/>
        <v>9971.7542951148916</v>
      </c>
      <c r="L52">
        <f t="shared" si="11"/>
        <v>9681.3148496261092</v>
      </c>
      <c r="M52">
        <f t="shared" si="11"/>
        <v>9399.334805462242</v>
      </c>
      <c r="N52">
        <f t="shared" si="11"/>
        <v>9125.5677722934397</v>
      </c>
      <c r="O52">
        <f t="shared" si="11"/>
        <v>8859.7745362072219</v>
      </c>
      <c r="P52">
        <f t="shared" si="11"/>
        <v>8601.722850686625</v>
      </c>
      <c r="Q52">
        <f t="shared" si="11"/>
        <v>8351.1872336763354</v>
      </c>
      <c r="R52">
        <f t="shared" si="11"/>
        <v>8107.9487705595475</v>
      </c>
      <c r="S52">
        <f t="shared" si="11"/>
        <v>7871.7949228733469</v>
      </c>
      <c r="T52">
        <f t="shared" si="11"/>
        <v>7642.519342595484</v>
      </c>
      <c r="U52">
        <f t="shared" si="11"/>
        <v>7419.9216918402753</v>
      </c>
      <c r="V52">
        <f t="shared" si="11"/>
        <v>7203.807467806093</v>
      </c>
      <c r="W52">
        <f t="shared" si="11"/>
        <v>6993.987832821449</v>
      </c>
      <c r="X52">
        <f t="shared" si="11"/>
        <v>6790.279449341213</v>
      </c>
      <c r="Y52">
        <f t="shared" si="11"/>
        <v>6592.5043197487512</v>
      </c>
      <c r="Z52">
        <f t="shared" si="11"/>
        <v>6400.4896308240295</v>
      </c>
    </row>
    <row r="53" spans="3:26" x14ac:dyDescent="0.25">
      <c r="C53" t="s">
        <v>102</v>
      </c>
      <c r="D53">
        <f>SUM(D52:H52)</f>
        <v>57850.494812066376</v>
      </c>
      <c r="E53">
        <f t="shared" ref="E53:O53" si="12">SUM(E52:I52)</f>
        <v>56165.528943753765</v>
      </c>
      <c r="F53">
        <f t="shared" si="12"/>
        <v>54529.639751217255</v>
      </c>
      <c r="G53">
        <f t="shared" si="12"/>
        <v>52941.397816715784</v>
      </c>
      <c r="H53">
        <f t="shared" si="12"/>
        <v>51399.415356034748</v>
      </c>
      <c r="I53">
        <f t="shared" si="12"/>
        <v>49902.345005858973</v>
      </c>
      <c r="J53">
        <f t="shared" si="12"/>
        <v>48448.878646465026</v>
      </c>
      <c r="K53">
        <f t="shared" si="12"/>
        <v>47037.746258703904</v>
      </c>
      <c r="L53">
        <f t="shared" si="12"/>
        <v>45667.714814275641</v>
      </c>
      <c r="M53">
        <f t="shared" si="12"/>
        <v>44337.587198325862</v>
      </c>
      <c r="N53">
        <f t="shared" si="12"/>
        <v>43046.201163423168</v>
      </c>
      <c r="O53">
        <f t="shared" si="12"/>
        <v>41792.428314003075</v>
      </c>
    </row>
    <row r="55" spans="3:26" x14ac:dyDescent="0.25">
      <c r="C55" t="s">
        <v>103</v>
      </c>
      <c r="D55">
        <f>27*300+27*100</f>
        <v>10800</v>
      </c>
    </row>
    <row r="59" spans="3:26" x14ac:dyDescent="0.25">
      <c r="C59" t="s">
        <v>104</v>
      </c>
      <c r="D59">
        <v>4300</v>
      </c>
      <c r="E59">
        <v>4300</v>
      </c>
      <c r="F59">
        <v>4300</v>
      </c>
      <c r="G59">
        <v>4300</v>
      </c>
      <c r="H59">
        <v>4300</v>
      </c>
      <c r="I59">
        <v>4300</v>
      </c>
      <c r="J59">
        <v>4300</v>
      </c>
      <c r="K59">
        <v>4300</v>
      </c>
      <c r="L59">
        <v>4300</v>
      </c>
      <c r="M59">
        <v>4300</v>
      </c>
      <c r="N59">
        <v>4300</v>
      </c>
      <c r="O59">
        <v>4300</v>
      </c>
      <c r="P59">
        <v>4300</v>
      </c>
      <c r="Q59">
        <v>4300</v>
      </c>
      <c r="R59">
        <v>4300</v>
      </c>
      <c r="S59">
        <v>4300</v>
      </c>
      <c r="T59">
        <v>4300</v>
      </c>
      <c r="U59">
        <v>4300</v>
      </c>
      <c r="V59">
        <v>4300</v>
      </c>
      <c r="W59">
        <v>4300</v>
      </c>
      <c r="X59">
        <v>4300</v>
      </c>
      <c r="Y59">
        <v>4300</v>
      </c>
      <c r="Z59">
        <v>4300</v>
      </c>
    </row>
    <row r="60" spans="3:26" x14ac:dyDescent="0.25">
      <c r="C60" t="s">
        <v>105</v>
      </c>
      <c r="D60">
        <f>D59/(1+0.03)^(D48-2019)</f>
        <v>4300</v>
      </c>
      <c r="E60">
        <f t="shared" ref="E60:O60" si="13">E59/(1+0.03)^(E48-2019)</f>
        <v>4174.7572815533977</v>
      </c>
      <c r="F60">
        <f t="shared" si="13"/>
        <v>4053.162409275144</v>
      </c>
      <c r="G60">
        <f t="shared" si="13"/>
        <v>3935.1091352185863</v>
      </c>
      <c r="H60">
        <f t="shared" si="13"/>
        <v>3820.4943060374626</v>
      </c>
      <c r="I60">
        <f t="shared" si="13"/>
        <v>3709.2177728519055</v>
      </c>
      <c r="J60">
        <f t="shared" si="13"/>
        <v>3601.1823037397139</v>
      </c>
      <c r="K60">
        <f t="shared" si="13"/>
        <v>3496.2934987764211</v>
      </c>
      <c r="L60">
        <f t="shared" si="13"/>
        <v>3394.4597075499237</v>
      </c>
      <c r="M60">
        <f t="shared" si="13"/>
        <v>3295.5919490775959</v>
      </c>
      <c r="N60">
        <f t="shared" si="13"/>
        <v>3199.6038340559185</v>
      </c>
      <c r="O60">
        <f t="shared" si="13"/>
        <v>3106.4114893746778</v>
      </c>
    </row>
    <row r="61" spans="3:26" x14ac:dyDescent="0.25">
      <c r="C61" t="s">
        <v>106</v>
      </c>
      <c r="D61" s="145">
        <f>SUM(D60:H60)</f>
        <v>20283.523132084592</v>
      </c>
      <c r="E61" s="145">
        <f>SUM(E60:I60)</f>
        <v>19692.740904936494</v>
      </c>
      <c r="F61" s="145">
        <f t="shared" ref="F61:O61" si="14">SUM(F60:J60)</f>
        <v>19119.165927122813</v>
      </c>
      <c r="G61" s="145">
        <f t="shared" si="14"/>
        <v>18562.297016624088</v>
      </c>
      <c r="H61" s="145">
        <f t="shared" si="14"/>
        <v>18021.647588955424</v>
      </c>
      <c r="I61" s="145">
        <f t="shared" si="14"/>
        <v>17496.745231995563</v>
      </c>
      <c r="J61" s="145">
        <f t="shared" si="14"/>
        <v>16987.131293199574</v>
      </c>
      <c r="K61" s="145">
        <f t="shared" si="14"/>
        <v>16492.360478834536</v>
      </c>
      <c r="L61" s="145">
        <f t="shared" si="14"/>
        <v>12996.066980058116</v>
      </c>
      <c r="M61" s="145">
        <f t="shared" si="14"/>
        <v>9601.6072725081922</v>
      </c>
      <c r="N61" s="145">
        <f t="shared" si="14"/>
        <v>6306.0153234305963</v>
      </c>
      <c r="O61" s="145">
        <f t="shared" si="14"/>
        <v>3106.4114893746778</v>
      </c>
    </row>
    <row r="64" spans="3:26" x14ac:dyDescent="0.25">
      <c r="C64" t="s">
        <v>98</v>
      </c>
      <c r="D64">
        <f>D49</f>
        <v>109500</v>
      </c>
      <c r="E64">
        <f t="shared" ref="E64:Z64" si="15">E49</f>
        <v>109500</v>
      </c>
      <c r="F64">
        <f t="shared" si="15"/>
        <v>109500</v>
      </c>
      <c r="G64">
        <f t="shared" si="15"/>
        <v>109500</v>
      </c>
      <c r="H64">
        <f t="shared" si="15"/>
        <v>109500</v>
      </c>
      <c r="I64">
        <f t="shared" si="15"/>
        <v>109500</v>
      </c>
      <c r="J64">
        <f t="shared" si="15"/>
        <v>109500</v>
      </c>
      <c r="K64">
        <f t="shared" si="15"/>
        <v>109500</v>
      </c>
      <c r="L64">
        <f t="shared" si="15"/>
        <v>109500</v>
      </c>
      <c r="M64">
        <f t="shared" si="15"/>
        <v>109500</v>
      </c>
      <c r="N64">
        <f t="shared" si="15"/>
        <v>109500</v>
      </c>
      <c r="O64">
        <f t="shared" si="15"/>
        <v>109500</v>
      </c>
      <c r="P64">
        <f t="shared" si="15"/>
        <v>109500</v>
      </c>
      <c r="Q64">
        <f t="shared" si="15"/>
        <v>109500</v>
      </c>
      <c r="R64">
        <f t="shared" si="15"/>
        <v>109500</v>
      </c>
      <c r="S64">
        <f t="shared" si="15"/>
        <v>109500</v>
      </c>
      <c r="T64">
        <f t="shared" si="15"/>
        <v>109500</v>
      </c>
      <c r="U64">
        <f t="shared" si="15"/>
        <v>109500</v>
      </c>
      <c r="V64">
        <f t="shared" si="15"/>
        <v>109500</v>
      </c>
      <c r="W64">
        <f t="shared" si="15"/>
        <v>109500</v>
      </c>
      <c r="X64">
        <f t="shared" si="15"/>
        <v>109500</v>
      </c>
      <c r="Y64">
        <f t="shared" si="15"/>
        <v>109500</v>
      </c>
      <c r="Z64">
        <f t="shared" si="15"/>
        <v>109500</v>
      </c>
    </row>
    <row r="65" spans="3:26" x14ac:dyDescent="0.25">
      <c r="C65" t="s">
        <v>107</v>
      </c>
      <c r="D65" s="30">
        <f>($D$27/100)*D64</f>
        <v>7665.0000000000009</v>
      </c>
      <c r="E65" s="30">
        <f t="shared" ref="E65:Z65" si="16">($D$27/100)*E64</f>
        <v>7665.0000000000009</v>
      </c>
      <c r="F65" s="30">
        <f t="shared" si="16"/>
        <v>7665.0000000000009</v>
      </c>
      <c r="G65" s="30">
        <f t="shared" si="16"/>
        <v>7665.0000000000009</v>
      </c>
      <c r="H65" s="30">
        <f t="shared" si="16"/>
        <v>7665.0000000000009</v>
      </c>
      <c r="I65" s="30">
        <f t="shared" si="16"/>
        <v>7665.0000000000009</v>
      </c>
      <c r="J65" s="30">
        <f t="shared" si="16"/>
        <v>7665.0000000000009</v>
      </c>
      <c r="K65" s="30">
        <f t="shared" si="16"/>
        <v>7665.0000000000009</v>
      </c>
      <c r="L65" s="30">
        <f t="shared" si="16"/>
        <v>7665.0000000000009</v>
      </c>
      <c r="M65" s="30">
        <f t="shared" si="16"/>
        <v>7665.0000000000009</v>
      </c>
      <c r="N65" s="30">
        <f t="shared" si="16"/>
        <v>7665.0000000000009</v>
      </c>
      <c r="O65" s="30">
        <f t="shared" si="16"/>
        <v>7665.0000000000009</v>
      </c>
      <c r="P65" s="30">
        <f t="shared" si="16"/>
        <v>7665.0000000000009</v>
      </c>
      <c r="Q65" s="30">
        <f t="shared" si="16"/>
        <v>7665.0000000000009</v>
      </c>
      <c r="R65" s="30">
        <f t="shared" si="16"/>
        <v>7665.0000000000009</v>
      </c>
      <c r="S65" s="30">
        <f t="shared" si="16"/>
        <v>7665.0000000000009</v>
      </c>
      <c r="T65" s="30">
        <f t="shared" si="16"/>
        <v>7665.0000000000009</v>
      </c>
      <c r="U65" s="30">
        <f t="shared" si="16"/>
        <v>7665.0000000000009</v>
      </c>
      <c r="V65" s="30">
        <f t="shared" si="16"/>
        <v>7665.0000000000009</v>
      </c>
      <c r="W65" s="30">
        <f t="shared" si="16"/>
        <v>7665.0000000000009</v>
      </c>
      <c r="X65" s="30">
        <f t="shared" si="16"/>
        <v>7665.0000000000009</v>
      </c>
      <c r="Y65" s="30">
        <f t="shared" si="16"/>
        <v>7665.0000000000009</v>
      </c>
      <c r="Z65" s="30">
        <f t="shared" si="16"/>
        <v>7665.0000000000009</v>
      </c>
    </row>
    <row r="66" spans="3:26" x14ac:dyDescent="0.25">
      <c r="C66" t="s">
        <v>108</v>
      </c>
      <c r="D66">
        <f>D65*$D$28</f>
        <v>53655.000000000007</v>
      </c>
      <c r="E66">
        <f t="shared" ref="E66:Z66" si="17">E65*$D$28</f>
        <v>53655.000000000007</v>
      </c>
      <c r="F66">
        <f t="shared" si="17"/>
        <v>53655.000000000007</v>
      </c>
      <c r="G66">
        <f t="shared" si="17"/>
        <v>53655.000000000007</v>
      </c>
      <c r="H66">
        <f t="shared" si="17"/>
        <v>53655.000000000007</v>
      </c>
      <c r="I66">
        <f t="shared" si="17"/>
        <v>53655.000000000007</v>
      </c>
      <c r="J66">
        <f t="shared" si="17"/>
        <v>53655.000000000007</v>
      </c>
      <c r="K66">
        <f t="shared" si="17"/>
        <v>53655.000000000007</v>
      </c>
      <c r="L66">
        <f t="shared" si="17"/>
        <v>53655.000000000007</v>
      </c>
      <c r="M66">
        <f t="shared" si="17"/>
        <v>53655.000000000007</v>
      </c>
      <c r="N66">
        <f t="shared" si="17"/>
        <v>53655.000000000007</v>
      </c>
      <c r="O66">
        <f t="shared" si="17"/>
        <v>53655.000000000007</v>
      </c>
      <c r="P66">
        <f t="shared" si="17"/>
        <v>53655.000000000007</v>
      </c>
      <c r="Q66">
        <f t="shared" si="17"/>
        <v>53655.000000000007</v>
      </c>
      <c r="R66">
        <f t="shared" si="17"/>
        <v>53655.000000000007</v>
      </c>
      <c r="S66">
        <f t="shared" si="17"/>
        <v>53655.000000000007</v>
      </c>
      <c r="T66">
        <f t="shared" si="17"/>
        <v>53655.000000000007</v>
      </c>
      <c r="U66">
        <f t="shared" si="17"/>
        <v>53655.000000000007</v>
      </c>
      <c r="V66">
        <f t="shared" si="17"/>
        <v>53655.000000000007</v>
      </c>
      <c r="W66">
        <f t="shared" si="17"/>
        <v>53655.000000000007</v>
      </c>
      <c r="X66">
        <f t="shared" si="17"/>
        <v>53655.000000000007</v>
      </c>
      <c r="Y66">
        <f t="shared" si="17"/>
        <v>53655.000000000007</v>
      </c>
      <c r="Z66">
        <f t="shared" si="17"/>
        <v>53655.000000000007</v>
      </c>
    </row>
    <row r="67" spans="3:26" x14ac:dyDescent="0.25">
      <c r="C67" t="s">
        <v>109</v>
      </c>
      <c r="D67">
        <f>D66/(1+$D$29)^(D48-2019)</f>
        <v>53655.000000000007</v>
      </c>
      <c r="E67">
        <f t="shared" ref="E67:Z67" si="18">E66/(1+$D$29)^(E48-2019)</f>
        <v>52092.233009708747</v>
      </c>
      <c r="F67">
        <f t="shared" si="18"/>
        <v>50574.983504571603</v>
      </c>
      <c r="G67">
        <f t="shared" si="18"/>
        <v>49101.925732593787</v>
      </c>
      <c r="H67">
        <f t="shared" si="18"/>
        <v>47671.772555916301</v>
      </c>
      <c r="I67">
        <f t="shared" si="18"/>
        <v>46283.274326132334</v>
      </c>
      <c r="J67">
        <f t="shared" si="18"/>
        <v>44935.217792361487</v>
      </c>
      <c r="K67">
        <f t="shared" si="18"/>
        <v>43626.425041127652</v>
      </c>
      <c r="L67">
        <f t="shared" si="18"/>
        <v>42355.752467114231</v>
      </c>
      <c r="M67">
        <f t="shared" si="18"/>
        <v>41122.089773897307</v>
      </c>
      <c r="N67">
        <f t="shared" si="18"/>
        <v>39924.359003783793</v>
      </c>
      <c r="O67">
        <f t="shared" si="18"/>
        <v>38761.513595906596</v>
      </c>
      <c r="P67">
        <f t="shared" si="18"/>
        <v>37632.537471753982</v>
      </c>
      <c r="Q67">
        <f t="shared" si="18"/>
        <v>36536.444147333968</v>
      </c>
      <c r="R67">
        <f t="shared" si="18"/>
        <v>35472.27587119802</v>
      </c>
      <c r="S67">
        <f t="shared" si="18"/>
        <v>34439.10278757089</v>
      </c>
      <c r="T67">
        <f t="shared" si="18"/>
        <v>33436.02212385524</v>
      </c>
      <c r="U67">
        <f t="shared" si="18"/>
        <v>32462.157401801203</v>
      </c>
      <c r="V67">
        <f t="shared" si="18"/>
        <v>31516.657671651654</v>
      </c>
      <c r="W67">
        <f t="shared" si="18"/>
        <v>30598.69676859384</v>
      </c>
      <c r="X67">
        <f t="shared" si="18"/>
        <v>29707.472590867808</v>
      </c>
      <c r="Y67">
        <f t="shared" si="18"/>
        <v>28842.206398900787</v>
      </c>
      <c r="Z67">
        <f t="shared" si="18"/>
        <v>28002.14213485513</v>
      </c>
    </row>
    <row r="68" spans="3:26" x14ac:dyDescent="0.25">
      <c r="C68" t="s">
        <v>110</v>
      </c>
      <c r="D68" s="1">
        <f>SUM(D67:H67)</f>
        <v>253095.91480279044</v>
      </c>
      <c r="E68" s="1">
        <f t="shared" ref="E68:O68" si="19">SUM(E67:I67)</f>
        <v>245724.18912892276</v>
      </c>
      <c r="F68" s="1">
        <f t="shared" si="19"/>
        <v>238567.17391157549</v>
      </c>
      <c r="G68" s="1">
        <f t="shared" si="19"/>
        <v>231618.61544813155</v>
      </c>
      <c r="H68" s="1">
        <f t="shared" si="19"/>
        <v>224872.44218265201</v>
      </c>
      <c r="I68" s="1">
        <f t="shared" si="19"/>
        <v>218322.75940063305</v>
      </c>
      <c r="J68" s="1">
        <f t="shared" si="19"/>
        <v>211963.84407828446</v>
      </c>
      <c r="K68" s="1">
        <f t="shared" si="19"/>
        <v>205790.13988182956</v>
      </c>
      <c r="L68" s="1">
        <f t="shared" si="19"/>
        <v>199796.25231245588</v>
      </c>
      <c r="M68" s="1">
        <f t="shared" si="19"/>
        <v>193976.94399267563</v>
      </c>
      <c r="N68" s="1">
        <f t="shared" si="19"/>
        <v>188327.13008997636</v>
      </c>
      <c r="O68" s="1">
        <f t="shared" si="19"/>
        <v>182841.87387376346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0"/>
  <sheetViews>
    <sheetView topLeftCell="A10" zoomScaleNormal="100" workbookViewId="0">
      <selection activeCell="D6" sqref="D6:O8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75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214091.29758138885</v>
      </c>
      <c r="E6" s="71">
        <v>202051.29758138885</v>
      </c>
      <c r="F6" s="71">
        <v>191195.29758138885</v>
      </c>
      <c r="G6" s="71">
        <v>181404.89758138885</v>
      </c>
      <c r="H6" s="72">
        <v>172573.53758138884</v>
      </c>
      <c r="I6" s="72">
        <v>164605.31358138885</v>
      </c>
      <c r="J6" s="72">
        <v>157413.91198138884</v>
      </c>
      <c r="K6" s="73">
        <v>150921.65054138884</v>
      </c>
      <c r="L6" s="73">
        <v>145058.61524538885</v>
      </c>
      <c r="M6" s="73">
        <v>139761.88347898886</v>
      </c>
      <c r="N6" s="73">
        <v>134974.82488922885</v>
      </c>
      <c r="O6" s="103">
        <v>130646.47215844486</v>
      </c>
    </row>
    <row r="7" spans="3:15" x14ac:dyDescent="0.25">
      <c r="C7" s="102" t="s">
        <v>24</v>
      </c>
      <c r="D7" s="74">
        <v>0</v>
      </c>
      <c r="E7" s="75">
        <v>0</v>
      </c>
      <c r="F7" s="76">
        <v>19119.529758138884</v>
      </c>
      <c r="G7" s="76">
        <v>18140.489758138887</v>
      </c>
      <c r="H7" s="77">
        <v>17257.353758138885</v>
      </c>
      <c r="I7" s="77">
        <v>16460.531358138887</v>
      </c>
      <c r="J7" s="77">
        <v>15741.391198138885</v>
      </c>
      <c r="K7" s="78">
        <v>15092.165054138884</v>
      </c>
      <c r="L7" s="78">
        <v>14505.861524538886</v>
      </c>
      <c r="M7" s="78">
        <v>13976.188347898888</v>
      </c>
      <c r="N7" s="78">
        <v>13497.482488922886</v>
      </c>
      <c r="O7" s="104">
        <v>13064.647215844487</v>
      </c>
    </row>
    <row r="8" spans="3:15" x14ac:dyDescent="0.25">
      <c r="C8" s="102" t="s">
        <v>48</v>
      </c>
      <c r="D8" s="79">
        <v>214091.29758138885</v>
      </c>
      <c r="E8" s="80">
        <v>202051.29758138885</v>
      </c>
      <c r="F8" s="80">
        <v>210314.82733952772</v>
      </c>
      <c r="G8" s="80">
        <v>199545.38733952775</v>
      </c>
      <c r="H8" s="81">
        <v>189830.89133952773</v>
      </c>
      <c r="I8" s="81">
        <v>181065.84493952774</v>
      </c>
      <c r="J8" s="81">
        <v>173155.30317952772</v>
      </c>
      <c r="K8" s="82">
        <v>166013.81559552773</v>
      </c>
      <c r="L8" s="82">
        <v>159564.47676992774</v>
      </c>
      <c r="M8" s="82">
        <v>153738.07182688775</v>
      </c>
      <c r="N8" s="82">
        <v>148472.30737815175</v>
      </c>
      <c r="O8" s="105">
        <v>143711.11937428935</v>
      </c>
    </row>
    <row r="9" spans="3:15" x14ac:dyDescent="0.25">
      <c r="C9" s="102" t="s">
        <v>84</v>
      </c>
      <c r="D9" s="79">
        <v>20</v>
      </c>
      <c r="E9" s="79">
        <v>20</v>
      </c>
      <c r="F9" s="79">
        <v>20</v>
      </c>
      <c r="G9" s="79">
        <v>20</v>
      </c>
      <c r="H9" s="79">
        <v>20</v>
      </c>
      <c r="I9" s="79">
        <v>20</v>
      </c>
      <c r="J9" s="79">
        <v>20</v>
      </c>
      <c r="K9" s="79">
        <v>20</v>
      </c>
      <c r="L9" s="79">
        <v>20</v>
      </c>
      <c r="M9" s="79">
        <v>20</v>
      </c>
      <c r="N9" s="79">
        <v>20</v>
      </c>
      <c r="O9" s="79">
        <v>20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5911.4793441891343</v>
      </c>
      <c r="E14" s="90">
        <v>5739.3003341642079</v>
      </c>
      <c r="F14" s="90">
        <v>5572.1362467613671</v>
      </c>
      <c r="G14" s="90">
        <v>5409.8410162731716</v>
      </c>
      <c r="H14" s="94">
        <v>5252.2728313331763</v>
      </c>
      <c r="I14" s="94">
        <v>5099.2940110030841</v>
      </c>
      <c r="J14" s="94">
        <v>4950.7708844690133</v>
      </c>
      <c r="K14" s="95">
        <v>4806.5736742417603</v>
      </c>
      <c r="L14" s="95">
        <v>4666.5763827589908</v>
      </c>
      <c r="M14" s="95">
        <v>4530.6566822902832</v>
      </c>
      <c r="N14" s="95">
        <v>4398.6958080488184</v>
      </c>
      <c r="O14" s="95">
        <v>4270.5784544163289</v>
      </c>
    </row>
    <row r="15" spans="3:15" x14ac:dyDescent="0.25">
      <c r="C15" s="102" t="s">
        <v>89</v>
      </c>
      <c r="D15" s="79">
        <f>2*300+3*100</f>
        <v>900</v>
      </c>
      <c r="E15" s="90">
        <f>D15*(1-$D$13)</f>
        <v>873</v>
      </c>
      <c r="F15" s="90">
        <f t="shared" ref="F15:O15" si="0">E15*(1-$D$13)</f>
        <v>846.81</v>
      </c>
      <c r="G15" s="90">
        <f t="shared" si="0"/>
        <v>821.40569999999991</v>
      </c>
      <c r="H15" s="94">
        <f t="shared" si="0"/>
        <v>796.76352899999983</v>
      </c>
      <c r="I15" s="94">
        <f t="shared" si="0"/>
        <v>772.86062312999979</v>
      </c>
      <c r="J15" s="94">
        <f t="shared" si="0"/>
        <v>749.67480443609975</v>
      </c>
      <c r="K15" s="95">
        <f t="shared" si="0"/>
        <v>727.18456030301672</v>
      </c>
      <c r="L15" s="95">
        <f t="shared" si="0"/>
        <v>705.36902349392619</v>
      </c>
      <c r="M15" s="95">
        <f t="shared" si="0"/>
        <v>684.20795278910839</v>
      </c>
      <c r="N15" s="95">
        <f t="shared" si="0"/>
        <v>663.68171420543513</v>
      </c>
      <c r="O15" s="95">
        <f t="shared" si="0"/>
        <v>643.77126277927209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32113.694637208326</v>
      </c>
      <c r="E18" s="90">
        <f t="shared" ref="E18:O18" si="1">0.15*E6</f>
        <v>30307.694637208326</v>
      </c>
      <c r="F18" s="90">
        <f t="shared" si="1"/>
        <v>28679.294637208328</v>
      </c>
      <c r="G18" s="90">
        <f t="shared" si="1"/>
        <v>27210.734637208327</v>
      </c>
      <c r="H18" s="94">
        <f t="shared" si="1"/>
        <v>25886.030637208325</v>
      </c>
      <c r="I18" s="94">
        <f t="shared" si="1"/>
        <v>24690.797037208325</v>
      </c>
      <c r="J18" s="94">
        <f t="shared" si="1"/>
        <v>23612.086797208325</v>
      </c>
      <c r="K18" s="95">
        <f t="shared" si="1"/>
        <v>22638.247581208325</v>
      </c>
      <c r="L18" s="95">
        <f t="shared" si="1"/>
        <v>21758.792286808326</v>
      </c>
      <c r="M18" s="95">
        <f t="shared" si="1"/>
        <v>20964.28252184833</v>
      </c>
      <c r="N18" s="95">
        <f t="shared" si="1"/>
        <v>20246.223733384326</v>
      </c>
      <c r="O18" s="95">
        <f t="shared" si="1"/>
        <v>19596.970823766729</v>
      </c>
    </row>
    <row r="19" spans="3:15" x14ac:dyDescent="0.25">
      <c r="C19" s="109" t="s">
        <v>93</v>
      </c>
      <c r="D19" s="70">
        <f>D8+D14+D15+D16+D17-D18</f>
        <v>219879.29899582229</v>
      </c>
      <c r="E19" s="90">
        <f t="shared" ref="E19:O19" si="2">E8+E14+E15+E16+E17-E18</f>
        <v>208540.57969334727</v>
      </c>
      <c r="F19" s="90">
        <f t="shared" si="2"/>
        <v>217359.99003160751</v>
      </c>
      <c r="G19" s="90">
        <f t="shared" si="2"/>
        <v>207017.85192590009</v>
      </c>
      <c r="H19" s="94">
        <f t="shared" si="2"/>
        <v>197617.15192411622</v>
      </c>
      <c r="I19" s="94">
        <f t="shared" si="2"/>
        <v>186049.96309187863</v>
      </c>
      <c r="J19" s="94">
        <f t="shared" si="2"/>
        <v>175337.20485379876</v>
      </c>
      <c r="K19" s="95">
        <f t="shared" si="2"/>
        <v>165401.68672769872</v>
      </c>
      <c r="L19" s="95">
        <f t="shared" si="2"/>
        <v>156173.69686943048</v>
      </c>
      <c r="M19" s="95">
        <f t="shared" si="2"/>
        <v>147590.26121262703</v>
      </c>
      <c r="N19" s="95">
        <f t="shared" si="2"/>
        <v>139594.47649045225</v>
      </c>
      <c r="O19" s="95">
        <f t="shared" si="2"/>
        <v>132134.90975709292</v>
      </c>
    </row>
    <row r="22" spans="3:15" x14ac:dyDescent="0.25">
      <c r="C22" s="131" t="s">
        <v>76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73167.624996707527</v>
      </c>
      <c r="E24" s="87">
        <v>73767.624996707527</v>
      </c>
      <c r="F24" s="87">
        <v>74379.624996707527</v>
      </c>
      <c r="G24" s="87">
        <v>75003.864996707533</v>
      </c>
      <c r="H24" s="88">
        <v>75640.589796707529</v>
      </c>
      <c r="I24" s="88">
        <v>76290.04909270753</v>
      </c>
      <c r="J24" s="88">
        <v>76952.49757462753</v>
      </c>
      <c r="K24" s="89">
        <v>77628.195026185931</v>
      </c>
      <c r="L24" s="89">
        <v>78317.406426775502</v>
      </c>
      <c r="M24" s="89">
        <v>79020.40205537685</v>
      </c>
      <c r="N24" s="89">
        <v>79737.45759655023</v>
      </c>
      <c r="O24" s="107">
        <v>80468.854248547097</v>
      </c>
    </row>
    <row r="25" spans="3:15" x14ac:dyDescent="0.25">
      <c r="C25" s="102" t="s">
        <v>24</v>
      </c>
      <c r="D25" s="117">
        <v>7316.7624996707527</v>
      </c>
      <c r="E25" s="76">
        <v>7376.7624996707527</v>
      </c>
      <c r="F25" s="76">
        <v>7437.9624996707535</v>
      </c>
      <c r="G25" s="76">
        <v>7500.3864996707534</v>
      </c>
      <c r="H25" s="77">
        <v>7564.0589796707536</v>
      </c>
      <c r="I25" s="77">
        <v>7629.0049092707532</v>
      </c>
      <c r="J25" s="77">
        <v>7695.2497574627532</v>
      </c>
      <c r="K25" s="78">
        <v>7762.8195026185931</v>
      </c>
      <c r="L25" s="78">
        <v>7831.7406426775506</v>
      </c>
      <c r="M25" s="78">
        <v>7902.0402055376853</v>
      </c>
      <c r="N25" s="78">
        <v>7973.745759655023</v>
      </c>
      <c r="O25" s="104">
        <v>8046.8854248547104</v>
      </c>
    </row>
    <row r="26" spans="3:15" x14ac:dyDescent="0.25">
      <c r="C26" s="102" t="s">
        <v>48</v>
      </c>
      <c r="D26" s="93">
        <v>80484.387496378273</v>
      </c>
      <c r="E26" s="71">
        <v>81144.387496378273</v>
      </c>
      <c r="F26" s="71">
        <v>81817.587496378284</v>
      </c>
      <c r="G26" s="135">
        <v>82504.251496378289</v>
      </c>
      <c r="H26" s="72">
        <v>83204.648776378279</v>
      </c>
      <c r="I26" s="72">
        <v>83919.054001978278</v>
      </c>
      <c r="J26" s="72">
        <v>84647.747332090279</v>
      </c>
      <c r="K26" s="73">
        <v>85391.014528804517</v>
      </c>
      <c r="L26" s="73">
        <v>86149.147069453058</v>
      </c>
      <c r="M26" s="73">
        <v>86922.44226091454</v>
      </c>
      <c r="N26" s="73">
        <v>87711.203356205253</v>
      </c>
      <c r="O26" s="103">
        <v>88515.739673401811</v>
      </c>
    </row>
    <row r="27" spans="3:15" x14ac:dyDescent="0.25">
      <c r="C27" s="102" t="s">
        <v>84</v>
      </c>
      <c r="D27" s="79">
        <v>20</v>
      </c>
      <c r="E27" s="79">
        <v>20</v>
      </c>
      <c r="F27" s="79">
        <v>20</v>
      </c>
      <c r="G27" s="79">
        <v>20</v>
      </c>
      <c r="H27" s="79">
        <v>20</v>
      </c>
      <c r="I27" s="79">
        <v>20</v>
      </c>
      <c r="J27" s="79">
        <v>20</v>
      </c>
      <c r="K27" s="79">
        <v>20</v>
      </c>
      <c r="L27" s="79">
        <v>20</v>
      </c>
      <c r="M27" s="79">
        <v>20</v>
      </c>
      <c r="N27" s="79">
        <v>20</v>
      </c>
      <c r="O27" s="79">
        <v>20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92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25862.722130827457</v>
      </c>
      <c r="E32" s="71">
        <v>25109.438961968408</v>
      </c>
      <c r="F32" s="71">
        <v>24378.096079580977</v>
      </c>
      <c r="G32" s="80">
        <v>23668.054446195125</v>
      </c>
      <c r="H32" s="72">
        <v>22978.693637082648</v>
      </c>
      <c r="I32" s="72">
        <v>22309.411298138493</v>
      </c>
      <c r="J32" s="72">
        <v>21659.622619551938</v>
      </c>
      <c r="K32" s="73">
        <v>21028.759824807705</v>
      </c>
      <c r="L32" s="73">
        <v>20416.271674570584</v>
      </c>
      <c r="M32" s="73">
        <v>19821.622985019985</v>
      </c>
      <c r="N32" s="73">
        <v>19244.294160213576</v>
      </c>
      <c r="O32" s="103">
        <v>18683.780738071433</v>
      </c>
    </row>
    <row r="33" spans="3:15" x14ac:dyDescent="0.25">
      <c r="C33" s="102" t="s">
        <v>89</v>
      </c>
      <c r="D33" s="70">
        <f>6*600+5*1200</f>
        <v>9600</v>
      </c>
      <c r="E33" s="71">
        <f>D33*(1-$D$31)</f>
        <v>9312</v>
      </c>
      <c r="F33" s="71">
        <f t="shared" ref="F33:O33" si="3">E33*(1-$D$31)</f>
        <v>9032.64</v>
      </c>
      <c r="G33" s="80">
        <f t="shared" si="3"/>
        <v>8761.6607999999997</v>
      </c>
      <c r="H33" s="72">
        <f t="shared" si="3"/>
        <v>8498.8109759999988</v>
      </c>
      <c r="I33" s="72">
        <f t="shared" si="3"/>
        <v>8243.8466467199978</v>
      </c>
      <c r="J33" s="72">
        <f t="shared" si="3"/>
        <v>7996.5312473183976</v>
      </c>
      <c r="K33" s="73">
        <f t="shared" si="3"/>
        <v>7756.6353098988457</v>
      </c>
      <c r="L33" s="73">
        <f t="shared" si="3"/>
        <v>7523.9362506018797</v>
      </c>
      <c r="M33" s="73">
        <f t="shared" si="3"/>
        <v>7298.2181630838231</v>
      </c>
      <c r="N33" s="73">
        <f t="shared" si="3"/>
        <v>7079.2716181913083</v>
      </c>
      <c r="O33" s="103">
        <f t="shared" si="3"/>
        <v>6866.893469645569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25608.668748847635</v>
      </c>
      <c r="E36" s="71">
        <f t="shared" ref="E36:O36" si="5">0.35*E24</f>
        <v>25818.668748847635</v>
      </c>
      <c r="F36" s="71">
        <f t="shared" si="5"/>
        <v>26032.868748847632</v>
      </c>
      <c r="G36" s="80">
        <f t="shared" si="5"/>
        <v>26251.352748847636</v>
      </c>
      <c r="H36" s="72">
        <f t="shared" si="5"/>
        <v>26474.206428847632</v>
      </c>
      <c r="I36" s="72">
        <f t="shared" si="5"/>
        <v>26701.517182447635</v>
      </c>
      <c r="J36" s="72">
        <f t="shared" si="5"/>
        <v>26933.374151119635</v>
      </c>
      <c r="K36" s="73">
        <f t="shared" si="5"/>
        <v>27169.868259165076</v>
      </c>
      <c r="L36" s="73">
        <f t="shared" si="5"/>
        <v>27411.092249371424</v>
      </c>
      <c r="M36" s="73">
        <f t="shared" si="5"/>
        <v>27657.140719381896</v>
      </c>
      <c r="N36" s="73">
        <f t="shared" si="5"/>
        <v>27908.11015879258</v>
      </c>
      <c r="O36" s="103">
        <f t="shared" si="5"/>
        <v>28164.098986991481</v>
      </c>
    </row>
    <row r="37" spans="3:15" x14ac:dyDescent="0.25">
      <c r="C37" s="109" t="s">
        <v>93</v>
      </c>
      <c r="D37" s="79">
        <f>D26+D32+D33+D34-D36</f>
        <v>119259.57269924427</v>
      </c>
      <c r="E37" s="71">
        <f t="shared" ref="E37:O37" si="6">E26+E32+E33+E34-E36</f>
        <v>117825.92646764095</v>
      </c>
      <c r="F37" s="71">
        <f t="shared" si="6"/>
        <v>116456.39536899698</v>
      </c>
      <c r="G37" s="80">
        <f t="shared" si="6"/>
        <v>115149.546558663</v>
      </c>
      <c r="H37" s="72">
        <f t="shared" si="6"/>
        <v>113903.99799453293</v>
      </c>
      <c r="I37" s="72">
        <f t="shared" si="6"/>
        <v>109912.89760664603</v>
      </c>
      <c r="J37" s="72">
        <f t="shared" si="6"/>
        <v>106062.19475256122</v>
      </c>
      <c r="K37" s="73">
        <f t="shared" si="6"/>
        <v>102348.2720823316</v>
      </c>
      <c r="L37" s="73">
        <f t="shared" si="6"/>
        <v>98767.627377866302</v>
      </c>
      <c r="M37" s="73">
        <f t="shared" si="6"/>
        <v>95316.870384992915</v>
      </c>
      <c r="N37" s="73">
        <f t="shared" si="6"/>
        <v>91992.719741799519</v>
      </c>
      <c r="O37" s="103">
        <f t="shared" si="6"/>
        <v>88792.000000522385</v>
      </c>
    </row>
    <row r="39" spans="3:15" x14ac:dyDescent="0.25">
      <c r="C39" t="s">
        <v>323</v>
      </c>
      <c r="D39" s="30">
        <f>D19-D37</f>
        <v>100619.72629657802</v>
      </c>
      <c r="E39" s="30">
        <f t="shared" ref="E39:O39" si="7">E19-E37</f>
        <v>90714.653225706323</v>
      </c>
      <c r="F39" s="30">
        <f t="shared" si="7"/>
        <v>100903.59466261053</v>
      </c>
      <c r="G39" s="30">
        <f t="shared" si="7"/>
        <v>91868.305367237088</v>
      </c>
      <c r="H39" s="30">
        <f t="shared" si="7"/>
        <v>83713.153929583292</v>
      </c>
      <c r="I39" s="30">
        <f t="shared" si="7"/>
        <v>76137.065485232597</v>
      </c>
      <c r="J39" s="30">
        <f t="shared" si="7"/>
        <v>69275.010101237538</v>
      </c>
      <c r="K39" s="30">
        <f t="shared" si="7"/>
        <v>63053.414645367113</v>
      </c>
      <c r="L39" s="30">
        <f t="shared" si="7"/>
        <v>57406.06949156418</v>
      </c>
      <c r="M39" s="30">
        <f t="shared" si="7"/>
        <v>52273.39082763411</v>
      </c>
      <c r="N39" s="30">
        <f t="shared" si="7"/>
        <v>47601.756748652726</v>
      </c>
      <c r="O39" s="30">
        <f t="shared" si="7"/>
        <v>43342.909756570531</v>
      </c>
    </row>
    <row r="50" spans="3:26" x14ac:dyDescent="0.25">
      <c r="D50">
        <v>2019</v>
      </c>
      <c r="E50">
        <v>2020</v>
      </c>
      <c r="F50">
        <v>2021</v>
      </c>
      <c r="G50">
        <v>2022</v>
      </c>
      <c r="H50">
        <v>2023</v>
      </c>
      <c r="I50">
        <v>2024</v>
      </c>
      <c r="J50">
        <v>2025</v>
      </c>
      <c r="K50">
        <v>2026</v>
      </c>
      <c r="L50">
        <v>2027</v>
      </c>
      <c r="M50">
        <v>2028</v>
      </c>
      <c r="N50">
        <v>2029</v>
      </c>
      <c r="O50">
        <v>2030</v>
      </c>
      <c r="P50">
        <v>2031</v>
      </c>
      <c r="Q50">
        <v>2032</v>
      </c>
      <c r="R50">
        <v>2033</v>
      </c>
      <c r="S50">
        <v>2034</v>
      </c>
      <c r="T50">
        <v>2035</v>
      </c>
      <c r="U50">
        <v>2036</v>
      </c>
      <c r="V50">
        <v>2037</v>
      </c>
      <c r="W50">
        <v>2038</v>
      </c>
      <c r="X50">
        <v>2039</v>
      </c>
      <c r="Y50">
        <v>2040</v>
      </c>
      <c r="Z50">
        <v>2041</v>
      </c>
    </row>
    <row r="51" spans="3:26" x14ac:dyDescent="0.25">
      <c r="C51" t="s">
        <v>98</v>
      </c>
      <c r="D51">
        <f>20*365</f>
        <v>7300</v>
      </c>
      <c r="E51">
        <f t="shared" ref="E51:Z51" si="8">20*365</f>
        <v>7300</v>
      </c>
      <c r="F51">
        <f t="shared" si="8"/>
        <v>7300</v>
      </c>
      <c r="G51">
        <f t="shared" si="8"/>
        <v>7300</v>
      </c>
      <c r="H51">
        <f t="shared" si="8"/>
        <v>7300</v>
      </c>
      <c r="I51">
        <f t="shared" si="8"/>
        <v>7300</v>
      </c>
      <c r="J51">
        <f t="shared" si="8"/>
        <v>7300</v>
      </c>
      <c r="K51">
        <f t="shared" si="8"/>
        <v>7300</v>
      </c>
      <c r="L51">
        <f t="shared" si="8"/>
        <v>7300</v>
      </c>
      <c r="M51">
        <f t="shared" si="8"/>
        <v>7300</v>
      </c>
      <c r="N51">
        <f t="shared" si="8"/>
        <v>7300</v>
      </c>
      <c r="O51">
        <f t="shared" si="8"/>
        <v>7300</v>
      </c>
      <c r="P51">
        <f t="shared" si="8"/>
        <v>7300</v>
      </c>
      <c r="Q51">
        <f t="shared" si="8"/>
        <v>7300</v>
      </c>
      <c r="R51">
        <f t="shared" si="8"/>
        <v>7300</v>
      </c>
      <c r="S51">
        <f t="shared" si="8"/>
        <v>7300</v>
      </c>
      <c r="T51">
        <f t="shared" si="8"/>
        <v>7300</v>
      </c>
      <c r="U51">
        <f t="shared" si="8"/>
        <v>7300</v>
      </c>
      <c r="V51">
        <f t="shared" si="8"/>
        <v>7300</v>
      </c>
      <c r="W51">
        <f t="shared" si="8"/>
        <v>7300</v>
      </c>
      <c r="X51">
        <f t="shared" si="8"/>
        <v>7300</v>
      </c>
      <c r="Y51">
        <f t="shared" si="8"/>
        <v>7300</v>
      </c>
      <c r="Z51">
        <f t="shared" si="8"/>
        <v>7300</v>
      </c>
    </row>
    <row r="52" spans="3:26" x14ac:dyDescent="0.25">
      <c r="C52" t="s">
        <v>99</v>
      </c>
      <c r="D52" s="30">
        <f>($D$11/100)*D51</f>
        <v>1022.0000000000001</v>
      </c>
      <c r="E52" s="30">
        <f t="shared" ref="E52:Z52" si="9">($D$11/100)*E51</f>
        <v>1022.0000000000001</v>
      </c>
      <c r="F52" s="30">
        <f t="shared" si="9"/>
        <v>1022.0000000000001</v>
      </c>
      <c r="G52" s="30">
        <f t="shared" si="9"/>
        <v>1022.0000000000001</v>
      </c>
      <c r="H52" s="30">
        <f t="shared" si="9"/>
        <v>1022.0000000000001</v>
      </c>
      <c r="I52" s="30">
        <f t="shared" si="9"/>
        <v>1022.0000000000001</v>
      </c>
      <c r="J52" s="30">
        <f t="shared" si="9"/>
        <v>1022.0000000000001</v>
      </c>
      <c r="K52" s="30">
        <f t="shared" si="9"/>
        <v>1022.0000000000001</v>
      </c>
      <c r="L52" s="30">
        <f t="shared" si="9"/>
        <v>1022.0000000000001</v>
      </c>
      <c r="M52" s="30">
        <f t="shared" si="9"/>
        <v>1022.0000000000001</v>
      </c>
      <c r="N52" s="30">
        <f t="shared" si="9"/>
        <v>1022.0000000000001</v>
      </c>
      <c r="O52" s="30">
        <f t="shared" si="9"/>
        <v>1022.0000000000001</v>
      </c>
      <c r="P52" s="30">
        <f t="shared" si="9"/>
        <v>1022.0000000000001</v>
      </c>
      <c r="Q52" s="30">
        <f t="shared" si="9"/>
        <v>1022.0000000000001</v>
      </c>
      <c r="R52" s="30">
        <f t="shared" si="9"/>
        <v>1022.0000000000001</v>
      </c>
      <c r="S52" s="30">
        <f t="shared" si="9"/>
        <v>1022.0000000000001</v>
      </c>
      <c r="T52" s="30">
        <f t="shared" si="9"/>
        <v>1022.0000000000001</v>
      </c>
      <c r="U52" s="30">
        <f t="shared" si="9"/>
        <v>1022.0000000000001</v>
      </c>
      <c r="V52" s="30">
        <f t="shared" si="9"/>
        <v>1022.0000000000001</v>
      </c>
      <c r="W52" s="30">
        <f t="shared" si="9"/>
        <v>1022.0000000000001</v>
      </c>
      <c r="X52" s="30">
        <f t="shared" si="9"/>
        <v>1022.0000000000001</v>
      </c>
      <c r="Y52" s="30">
        <f t="shared" si="9"/>
        <v>1022.0000000000001</v>
      </c>
      <c r="Z52" s="30">
        <f t="shared" si="9"/>
        <v>1022.0000000000001</v>
      </c>
    </row>
    <row r="53" spans="3:26" x14ac:dyDescent="0.25">
      <c r="C53" t="s">
        <v>101</v>
      </c>
      <c r="D53" s="1">
        <f>D52*$D$12</f>
        <v>817.60000000000014</v>
      </c>
      <c r="E53" s="1">
        <f t="shared" ref="E53:Z53" si="10">E52*$D$12</f>
        <v>817.60000000000014</v>
      </c>
      <c r="F53" s="1">
        <f t="shared" si="10"/>
        <v>817.60000000000014</v>
      </c>
      <c r="G53" s="1">
        <f t="shared" si="10"/>
        <v>817.60000000000014</v>
      </c>
      <c r="H53" s="1">
        <f t="shared" si="10"/>
        <v>817.60000000000014</v>
      </c>
      <c r="I53" s="1">
        <f t="shared" si="10"/>
        <v>817.60000000000014</v>
      </c>
      <c r="J53" s="1">
        <f t="shared" si="10"/>
        <v>817.60000000000014</v>
      </c>
      <c r="K53" s="1">
        <f t="shared" si="10"/>
        <v>817.60000000000014</v>
      </c>
      <c r="L53" s="1">
        <f t="shared" si="10"/>
        <v>817.60000000000014</v>
      </c>
      <c r="M53" s="1">
        <f t="shared" si="10"/>
        <v>817.60000000000014</v>
      </c>
      <c r="N53" s="1">
        <f t="shared" si="10"/>
        <v>817.60000000000014</v>
      </c>
      <c r="O53" s="1">
        <f t="shared" si="10"/>
        <v>817.60000000000014</v>
      </c>
      <c r="P53" s="1">
        <f t="shared" si="10"/>
        <v>817.60000000000014</v>
      </c>
      <c r="Q53" s="1">
        <f t="shared" si="10"/>
        <v>817.60000000000014</v>
      </c>
      <c r="R53" s="1">
        <f t="shared" si="10"/>
        <v>817.60000000000014</v>
      </c>
      <c r="S53" s="1">
        <f t="shared" si="10"/>
        <v>817.60000000000014</v>
      </c>
      <c r="T53" s="1">
        <f t="shared" si="10"/>
        <v>817.60000000000014</v>
      </c>
      <c r="U53" s="1">
        <f t="shared" si="10"/>
        <v>817.60000000000014</v>
      </c>
      <c r="V53" s="1">
        <f t="shared" si="10"/>
        <v>817.60000000000014</v>
      </c>
      <c r="W53" s="1">
        <f t="shared" si="10"/>
        <v>817.60000000000014</v>
      </c>
      <c r="X53" s="1">
        <f t="shared" si="10"/>
        <v>817.60000000000014</v>
      </c>
      <c r="Y53" s="1">
        <f t="shared" si="10"/>
        <v>817.60000000000014</v>
      </c>
      <c r="Z53" s="1">
        <f t="shared" si="10"/>
        <v>817.60000000000014</v>
      </c>
    </row>
    <row r="54" spans="3:26" x14ac:dyDescent="0.25">
      <c r="C54" t="s">
        <v>100</v>
      </c>
      <c r="D54">
        <f>D53/(1+$D$13)^(D50-2019)</f>
        <v>817.60000000000014</v>
      </c>
      <c r="E54">
        <f t="shared" ref="E54:Z54" si="11">E53/(1+$D$13)^(E50-2019)</f>
        <v>793.78640776699035</v>
      </c>
      <c r="F54">
        <f t="shared" si="11"/>
        <v>770.66641530775769</v>
      </c>
      <c r="G54">
        <f t="shared" si="11"/>
        <v>748.2198206871434</v>
      </c>
      <c r="H54">
        <f t="shared" si="11"/>
        <v>726.42701037586744</v>
      </c>
      <c r="I54">
        <f t="shared" si="11"/>
        <v>705.26894211249271</v>
      </c>
      <c r="J54">
        <f t="shared" si="11"/>
        <v>684.72712826455597</v>
      </c>
      <c r="K54">
        <f t="shared" si="11"/>
        <v>664.78361967432613</v>
      </c>
      <c r="L54">
        <f t="shared" si="11"/>
        <v>645.42098997507401</v>
      </c>
      <c r="M54">
        <f t="shared" si="11"/>
        <v>626.62232036414946</v>
      </c>
      <c r="N54">
        <f t="shared" si="11"/>
        <v>608.37118481956259</v>
      </c>
      <c r="O54">
        <f t="shared" si="11"/>
        <v>590.65163574714813</v>
      </c>
      <c r="P54">
        <f t="shared" si="11"/>
        <v>573.44819004577494</v>
      </c>
      <c r="Q54">
        <f t="shared" si="11"/>
        <v>556.74581557842237</v>
      </c>
      <c r="R54">
        <f t="shared" si="11"/>
        <v>540.52991803730322</v>
      </c>
      <c r="S54">
        <f t="shared" si="11"/>
        <v>524.78632819155644</v>
      </c>
      <c r="T54">
        <f t="shared" si="11"/>
        <v>509.50128950636559</v>
      </c>
      <c r="U54">
        <f t="shared" si="11"/>
        <v>494.66144612268505</v>
      </c>
      <c r="V54">
        <f t="shared" si="11"/>
        <v>480.25383118707282</v>
      </c>
      <c r="W54">
        <f t="shared" si="11"/>
        <v>466.26585552142996</v>
      </c>
      <c r="X54">
        <f t="shared" si="11"/>
        <v>452.68529662274756</v>
      </c>
      <c r="Y54">
        <f t="shared" si="11"/>
        <v>439.50028798325008</v>
      </c>
      <c r="Z54">
        <f t="shared" si="11"/>
        <v>426.69930872160199</v>
      </c>
    </row>
    <row r="55" spans="3:26" x14ac:dyDescent="0.25">
      <c r="C55" t="s">
        <v>102</v>
      </c>
      <c r="D55">
        <f>SUM(D54:K54)</f>
        <v>5911.4793441891343</v>
      </c>
      <c r="E55">
        <f>SUM(E54:L54)</f>
        <v>5739.3003341642079</v>
      </c>
      <c r="F55">
        <f t="shared" ref="F55:O55" si="12">SUM(F54:M54)</f>
        <v>5572.1362467613671</v>
      </c>
      <c r="G55">
        <f t="shared" si="12"/>
        <v>5409.8410162731716</v>
      </c>
      <c r="H55">
        <f t="shared" si="12"/>
        <v>5252.2728313331763</v>
      </c>
      <c r="I55">
        <f t="shared" si="12"/>
        <v>5099.2940110030841</v>
      </c>
      <c r="J55">
        <f t="shared" si="12"/>
        <v>4950.7708844690133</v>
      </c>
      <c r="K55">
        <f t="shared" si="12"/>
        <v>4806.5736742417603</v>
      </c>
      <c r="L55">
        <f t="shared" si="12"/>
        <v>4666.5763827589908</v>
      </c>
      <c r="M55">
        <f t="shared" si="12"/>
        <v>4530.6566822902832</v>
      </c>
      <c r="N55">
        <f t="shared" si="12"/>
        <v>4398.6958080488184</v>
      </c>
      <c r="O55">
        <f t="shared" si="12"/>
        <v>4270.5784544163289</v>
      </c>
    </row>
    <row r="57" spans="3:26" x14ac:dyDescent="0.25">
      <c r="C57" t="s">
        <v>103</v>
      </c>
      <c r="D57">
        <f>27*300+27*100</f>
        <v>10800</v>
      </c>
    </row>
    <row r="61" spans="3:26" x14ac:dyDescent="0.25">
      <c r="C61" t="s">
        <v>104</v>
      </c>
      <c r="D61">
        <v>4300</v>
      </c>
      <c r="E61">
        <v>4300</v>
      </c>
      <c r="F61">
        <v>4300</v>
      </c>
      <c r="G61">
        <v>4300</v>
      </c>
      <c r="H61">
        <v>4300</v>
      </c>
      <c r="I61">
        <v>4300</v>
      </c>
      <c r="J61">
        <v>4300</v>
      </c>
      <c r="K61">
        <v>4300</v>
      </c>
      <c r="L61">
        <v>4300</v>
      </c>
      <c r="M61">
        <v>4300</v>
      </c>
      <c r="N61">
        <v>4300</v>
      </c>
      <c r="O61">
        <v>4300</v>
      </c>
      <c r="P61">
        <v>4300</v>
      </c>
      <c r="Q61">
        <v>4300</v>
      </c>
      <c r="R61">
        <v>4300</v>
      </c>
      <c r="S61">
        <v>4300</v>
      </c>
      <c r="T61">
        <v>4300</v>
      </c>
      <c r="U61">
        <v>4300</v>
      </c>
      <c r="V61">
        <v>4300</v>
      </c>
      <c r="W61">
        <v>4300</v>
      </c>
      <c r="X61">
        <v>4300</v>
      </c>
      <c r="Y61">
        <v>4300</v>
      </c>
      <c r="Z61">
        <v>4300</v>
      </c>
    </row>
    <row r="62" spans="3:26" x14ac:dyDescent="0.25">
      <c r="C62" t="s">
        <v>105</v>
      </c>
      <c r="D62">
        <f>D61/(1+0.03)^(D50-2019)</f>
        <v>4300</v>
      </c>
      <c r="E62">
        <f t="shared" ref="E62:O62" si="13">E61/(1+0.03)^(E50-2019)</f>
        <v>4174.7572815533977</v>
      </c>
      <c r="F62">
        <f t="shared" si="13"/>
        <v>4053.162409275144</v>
      </c>
      <c r="G62">
        <f t="shared" si="13"/>
        <v>3935.1091352185863</v>
      </c>
      <c r="H62">
        <f t="shared" si="13"/>
        <v>3820.4943060374626</v>
      </c>
      <c r="I62">
        <f t="shared" si="13"/>
        <v>3709.2177728519055</v>
      </c>
      <c r="J62">
        <f t="shared" si="13"/>
        <v>3601.1823037397139</v>
      </c>
      <c r="K62">
        <f t="shared" si="13"/>
        <v>3496.2934987764211</v>
      </c>
      <c r="L62">
        <f t="shared" si="13"/>
        <v>3394.4597075499237</v>
      </c>
      <c r="M62">
        <f t="shared" si="13"/>
        <v>3295.5919490775959</v>
      </c>
      <c r="N62">
        <f t="shared" si="13"/>
        <v>3199.6038340559185</v>
      </c>
      <c r="O62">
        <f t="shared" si="13"/>
        <v>3106.4114893746778</v>
      </c>
    </row>
    <row r="63" spans="3:26" x14ac:dyDescent="0.25">
      <c r="C63" t="s">
        <v>106</v>
      </c>
      <c r="D63" s="145">
        <f>SUM(D62:K62)</f>
        <v>31090.216707452633</v>
      </c>
      <c r="E63" s="145">
        <f>SUM(E62:L62)</f>
        <v>30184.676415002552</v>
      </c>
      <c r="F63" s="145">
        <f>SUM(F62:M62)</f>
        <v>29305.511082526751</v>
      </c>
      <c r="G63" s="145">
        <f t="shared" ref="G63:O63" si="14">SUM(G62:N62)</f>
        <v>28451.952507307524</v>
      </c>
      <c r="H63" s="145">
        <f t="shared" si="14"/>
        <v>27623.254861463614</v>
      </c>
      <c r="I63" s="145">
        <f t="shared" si="14"/>
        <v>23802.760555426157</v>
      </c>
      <c r="J63" s="145">
        <f t="shared" si="14"/>
        <v>20093.542782574252</v>
      </c>
      <c r="K63" s="145">
        <f t="shared" si="14"/>
        <v>16492.360478834536</v>
      </c>
      <c r="L63" s="145">
        <f t="shared" si="14"/>
        <v>12996.066980058116</v>
      </c>
      <c r="M63" s="145">
        <f t="shared" si="14"/>
        <v>9601.6072725081922</v>
      </c>
      <c r="N63" s="145">
        <f t="shared" si="14"/>
        <v>6306.0153234305963</v>
      </c>
      <c r="O63" s="145">
        <f t="shared" si="14"/>
        <v>3106.4114893746778</v>
      </c>
    </row>
    <row r="66" spans="3:26" x14ac:dyDescent="0.25">
      <c r="C66" t="s">
        <v>98</v>
      </c>
      <c r="D66" s="30">
        <f>$D$9*365</f>
        <v>7300</v>
      </c>
      <c r="E66" s="30">
        <f t="shared" ref="E66:Z66" si="15">$D$9*365</f>
        <v>7300</v>
      </c>
      <c r="F66" s="30">
        <f t="shared" si="15"/>
        <v>7300</v>
      </c>
      <c r="G66" s="30">
        <f t="shared" si="15"/>
        <v>7300</v>
      </c>
      <c r="H66" s="30">
        <f t="shared" si="15"/>
        <v>7300</v>
      </c>
      <c r="I66" s="30">
        <f t="shared" si="15"/>
        <v>7300</v>
      </c>
      <c r="J66" s="30">
        <f t="shared" si="15"/>
        <v>7300</v>
      </c>
      <c r="K66" s="30">
        <f t="shared" si="15"/>
        <v>7300</v>
      </c>
      <c r="L66" s="30">
        <f t="shared" si="15"/>
        <v>7300</v>
      </c>
      <c r="M66" s="30">
        <f t="shared" si="15"/>
        <v>7300</v>
      </c>
      <c r="N66" s="30">
        <f t="shared" si="15"/>
        <v>7300</v>
      </c>
      <c r="O66" s="30">
        <f t="shared" si="15"/>
        <v>7300</v>
      </c>
      <c r="P66" s="30">
        <f t="shared" si="15"/>
        <v>7300</v>
      </c>
      <c r="Q66" s="30">
        <f t="shared" si="15"/>
        <v>7300</v>
      </c>
      <c r="R66" s="30">
        <f t="shared" si="15"/>
        <v>7300</v>
      </c>
      <c r="S66" s="30">
        <f t="shared" si="15"/>
        <v>7300</v>
      </c>
      <c r="T66" s="30">
        <f t="shared" si="15"/>
        <v>7300</v>
      </c>
      <c r="U66" s="30">
        <f t="shared" si="15"/>
        <v>7300</v>
      </c>
      <c r="V66" s="30">
        <f t="shared" si="15"/>
        <v>7300</v>
      </c>
      <c r="W66" s="30">
        <f t="shared" si="15"/>
        <v>7300</v>
      </c>
      <c r="X66" s="30">
        <f t="shared" si="15"/>
        <v>7300</v>
      </c>
      <c r="Y66" s="30">
        <f t="shared" si="15"/>
        <v>7300</v>
      </c>
      <c r="Z66" s="30">
        <f t="shared" si="15"/>
        <v>7300</v>
      </c>
    </row>
    <row r="67" spans="3:26" x14ac:dyDescent="0.25">
      <c r="C67" t="s">
        <v>107</v>
      </c>
      <c r="D67" s="30">
        <f>($D$29/100)*D66</f>
        <v>511.00000000000006</v>
      </c>
      <c r="E67" s="30">
        <f t="shared" ref="E67:Z67" si="16">($D$29/100)*E66</f>
        <v>511.00000000000006</v>
      </c>
      <c r="F67" s="30">
        <f t="shared" si="16"/>
        <v>511.00000000000006</v>
      </c>
      <c r="G67" s="30">
        <f t="shared" si="16"/>
        <v>511.00000000000006</v>
      </c>
      <c r="H67" s="30">
        <f t="shared" si="16"/>
        <v>511.00000000000006</v>
      </c>
      <c r="I67" s="30">
        <f t="shared" si="16"/>
        <v>511.00000000000006</v>
      </c>
      <c r="J67" s="30">
        <f t="shared" si="16"/>
        <v>511.00000000000006</v>
      </c>
      <c r="K67" s="30">
        <f t="shared" si="16"/>
        <v>511.00000000000006</v>
      </c>
      <c r="L67" s="30">
        <f t="shared" si="16"/>
        <v>511.00000000000006</v>
      </c>
      <c r="M67" s="30">
        <f t="shared" si="16"/>
        <v>511.00000000000006</v>
      </c>
      <c r="N67" s="30">
        <f t="shared" si="16"/>
        <v>511.00000000000006</v>
      </c>
      <c r="O67" s="30">
        <f t="shared" si="16"/>
        <v>511.00000000000006</v>
      </c>
      <c r="P67" s="30">
        <f t="shared" si="16"/>
        <v>511.00000000000006</v>
      </c>
      <c r="Q67" s="30">
        <f t="shared" si="16"/>
        <v>511.00000000000006</v>
      </c>
      <c r="R67" s="30">
        <f t="shared" si="16"/>
        <v>511.00000000000006</v>
      </c>
      <c r="S67" s="30">
        <f t="shared" si="16"/>
        <v>511.00000000000006</v>
      </c>
      <c r="T67" s="30">
        <f t="shared" si="16"/>
        <v>511.00000000000006</v>
      </c>
      <c r="U67" s="30">
        <f t="shared" si="16"/>
        <v>511.00000000000006</v>
      </c>
      <c r="V67" s="30">
        <f t="shared" si="16"/>
        <v>511.00000000000006</v>
      </c>
      <c r="W67" s="30">
        <f t="shared" si="16"/>
        <v>511.00000000000006</v>
      </c>
      <c r="X67" s="30">
        <f t="shared" si="16"/>
        <v>511.00000000000006</v>
      </c>
      <c r="Y67" s="30">
        <f t="shared" si="16"/>
        <v>511.00000000000006</v>
      </c>
      <c r="Z67" s="30">
        <f t="shared" si="16"/>
        <v>511.00000000000006</v>
      </c>
    </row>
    <row r="68" spans="3:26" x14ac:dyDescent="0.25">
      <c r="C68" t="s">
        <v>108</v>
      </c>
      <c r="D68">
        <f>D67*$D$30</f>
        <v>3577.0000000000005</v>
      </c>
      <c r="E68">
        <f t="shared" ref="E68:Z68" si="17">E67*$D$30</f>
        <v>3577.0000000000005</v>
      </c>
      <c r="F68">
        <f t="shared" si="17"/>
        <v>3577.0000000000005</v>
      </c>
      <c r="G68">
        <f t="shared" si="17"/>
        <v>3577.0000000000005</v>
      </c>
      <c r="H68">
        <f t="shared" si="17"/>
        <v>3577.0000000000005</v>
      </c>
      <c r="I68">
        <f t="shared" si="17"/>
        <v>3577.0000000000005</v>
      </c>
      <c r="J68">
        <f t="shared" si="17"/>
        <v>3577.0000000000005</v>
      </c>
      <c r="K68">
        <f t="shared" si="17"/>
        <v>3577.0000000000005</v>
      </c>
      <c r="L68">
        <f t="shared" si="17"/>
        <v>3577.0000000000005</v>
      </c>
      <c r="M68">
        <f t="shared" si="17"/>
        <v>3577.0000000000005</v>
      </c>
      <c r="N68">
        <f t="shared" si="17"/>
        <v>3577.0000000000005</v>
      </c>
      <c r="O68">
        <f t="shared" si="17"/>
        <v>3577.0000000000005</v>
      </c>
      <c r="P68">
        <f t="shared" si="17"/>
        <v>3577.0000000000005</v>
      </c>
      <c r="Q68">
        <f t="shared" si="17"/>
        <v>3577.0000000000005</v>
      </c>
      <c r="R68">
        <f t="shared" si="17"/>
        <v>3577.0000000000005</v>
      </c>
      <c r="S68">
        <f t="shared" si="17"/>
        <v>3577.0000000000005</v>
      </c>
      <c r="T68">
        <f t="shared" si="17"/>
        <v>3577.0000000000005</v>
      </c>
      <c r="U68">
        <f t="shared" si="17"/>
        <v>3577.0000000000005</v>
      </c>
      <c r="V68">
        <f t="shared" si="17"/>
        <v>3577.0000000000005</v>
      </c>
      <c r="W68">
        <f t="shared" si="17"/>
        <v>3577.0000000000005</v>
      </c>
      <c r="X68">
        <f t="shared" si="17"/>
        <v>3577.0000000000005</v>
      </c>
      <c r="Y68">
        <f t="shared" si="17"/>
        <v>3577.0000000000005</v>
      </c>
      <c r="Z68">
        <f t="shared" si="17"/>
        <v>3577.0000000000005</v>
      </c>
    </row>
    <row r="69" spans="3:26" x14ac:dyDescent="0.25">
      <c r="C69" t="s">
        <v>109</v>
      </c>
      <c r="D69">
        <f>D68/(1+$D$31)^(D50-2019)</f>
        <v>3577.0000000000005</v>
      </c>
      <c r="E69">
        <f t="shared" ref="E69:Z69" si="18">E68/(1+$D$31)^(E50-2019)</f>
        <v>3472.815533980583</v>
      </c>
      <c r="F69">
        <f t="shared" si="18"/>
        <v>3371.6655669714401</v>
      </c>
      <c r="G69">
        <f t="shared" si="18"/>
        <v>3273.4617155062524</v>
      </c>
      <c r="H69">
        <f t="shared" si="18"/>
        <v>3178.1181703944198</v>
      </c>
      <c r="I69">
        <f t="shared" si="18"/>
        <v>3085.5516217421555</v>
      </c>
      <c r="J69">
        <f t="shared" si="18"/>
        <v>2995.6811861574324</v>
      </c>
      <c r="K69">
        <f t="shared" si="18"/>
        <v>2908.428336075177</v>
      </c>
      <c r="L69">
        <f t="shared" si="18"/>
        <v>2823.7168311409487</v>
      </c>
      <c r="M69">
        <f t="shared" si="18"/>
        <v>2741.4726515931538</v>
      </c>
      <c r="N69">
        <f t="shared" si="18"/>
        <v>2661.6239335855862</v>
      </c>
      <c r="O69">
        <f t="shared" si="18"/>
        <v>2584.1009063937731</v>
      </c>
      <c r="P69">
        <f t="shared" si="18"/>
        <v>2508.8358314502657</v>
      </c>
      <c r="Q69">
        <f t="shared" si="18"/>
        <v>2435.7629431555979</v>
      </c>
      <c r="R69">
        <f t="shared" si="18"/>
        <v>2364.8183914132014</v>
      </c>
      <c r="S69">
        <f t="shared" si="18"/>
        <v>2295.9401858380593</v>
      </c>
      <c r="T69">
        <f t="shared" si="18"/>
        <v>2229.0681415903496</v>
      </c>
      <c r="U69">
        <f t="shared" si="18"/>
        <v>2164.143826786747</v>
      </c>
      <c r="V69">
        <f t="shared" si="18"/>
        <v>2101.1105114434436</v>
      </c>
      <c r="W69">
        <f t="shared" si="18"/>
        <v>2039.913117906256</v>
      </c>
      <c r="X69">
        <f t="shared" si="18"/>
        <v>1980.4981727245204</v>
      </c>
      <c r="Y69">
        <f t="shared" si="18"/>
        <v>1922.8137599267191</v>
      </c>
      <c r="Z69">
        <f t="shared" si="18"/>
        <v>1866.8094756570088</v>
      </c>
    </row>
    <row r="70" spans="3:26" x14ac:dyDescent="0.25">
      <c r="C70" t="s">
        <v>110</v>
      </c>
      <c r="D70" s="1">
        <f>SUM(D69:K69)</f>
        <v>25862.722130827457</v>
      </c>
      <c r="E70" s="1">
        <f t="shared" ref="E70:O70" si="19">SUM(E69:L69)</f>
        <v>25109.438961968408</v>
      </c>
      <c r="F70" s="1">
        <f t="shared" si="19"/>
        <v>24378.096079580977</v>
      </c>
      <c r="G70" s="1">
        <f t="shared" si="19"/>
        <v>23668.054446195125</v>
      </c>
      <c r="H70" s="1">
        <f t="shared" si="19"/>
        <v>22978.693637082648</v>
      </c>
      <c r="I70" s="1">
        <f t="shared" si="19"/>
        <v>22309.411298138493</v>
      </c>
      <c r="J70" s="1">
        <f t="shared" si="19"/>
        <v>21659.622619551938</v>
      </c>
      <c r="K70" s="1">
        <f t="shared" si="19"/>
        <v>21028.759824807705</v>
      </c>
      <c r="L70" s="1">
        <f t="shared" si="19"/>
        <v>20416.271674570584</v>
      </c>
      <c r="M70" s="1">
        <f t="shared" si="19"/>
        <v>19821.622985019985</v>
      </c>
      <c r="N70" s="1">
        <f t="shared" si="19"/>
        <v>19244.294160213576</v>
      </c>
      <c r="O70" s="1">
        <f t="shared" si="19"/>
        <v>18683.780738071433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8"/>
  <sheetViews>
    <sheetView zoomScaleNormal="100" workbookViewId="0">
      <selection activeCell="D6" sqref="D6:O8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75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73">
        <v>2030</v>
      </c>
    </row>
    <row r="6" spans="3:15" x14ac:dyDescent="0.25">
      <c r="C6" s="102" t="s">
        <v>55</v>
      </c>
      <c r="D6" s="70">
        <v>214091.29758138885</v>
      </c>
      <c r="E6" s="71">
        <v>202051.29758138885</v>
      </c>
      <c r="F6" s="71">
        <v>191195.29758138885</v>
      </c>
      <c r="G6" s="71">
        <v>181404.89758138885</v>
      </c>
      <c r="H6" s="72">
        <v>172573.53758138884</v>
      </c>
      <c r="I6" s="72">
        <v>164605.31358138885</v>
      </c>
      <c r="J6" s="72">
        <v>157413.91198138884</v>
      </c>
      <c r="K6" s="73">
        <v>150921.65054138884</v>
      </c>
      <c r="L6" s="73">
        <v>145058.61524538885</v>
      </c>
      <c r="M6" s="73">
        <v>139761.88347898886</v>
      </c>
      <c r="N6" s="73">
        <v>134974.82488922885</v>
      </c>
      <c r="O6" s="98">
        <v>130646.47215844486</v>
      </c>
    </row>
    <row r="7" spans="3:15" x14ac:dyDescent="0.25">
      <c r="C7" s="102" t="s">
        <v>24</v>
      </c>
      <c r="D7" s="74">
        <v>0</v>
      </c>
      <c r="E7" s="75">
        <v>0</v>
      </c>
      <c r="F7" s="76">
        <v>19119.529758138884</v>
      </c>
      <c r="G7" s="76">
        <v>18140.489758138887</v>
      </c>
      <c r="H7" s="77">
        <v>17257.353758138885</v>
      </c>
      <c r="I7" s="77">
        <v>16460.531358138887</v>
      </c>
      <c r="J7" s="77">
        <v>15741.391198138885</v>
      </c>
      <c r="K7" s="78">
        <v>15092.165054138884</v>
      </c>
      <c r="L7" s="78">
        <v>14505.861524538886</v>
      </c>
      <c r="M7" s="78">
        <v>13976.188347898888</v>
      </c>
      <c r="N7" s="78">
        <v>13497.482488922886</v>
      </c>
      <c r="O7" s="99">
        <v>13064.647215844487</v>
      </c>
    </row>
    <row r="8" spans="3:15" x14ac:dyDescent="0.25">
      <c r="C8" s="102" t="s">
        <v>48</v>
      </c>
      <c r="D8" s="79">
        <v>214091.29758138885</v>
      </c>
      <c r="E8" s="80">
        <v>202051.29758138885</v>
      </c>
      <c r="F8" s="80">
        <v>210314.82733952772</v>
      </c>
      <c r="G8" s="80">
        <v>199545.38733952775</v>
      </c>
      <c r="H8" s="81">
        <v>189830.89133952773</v>
      </c>
      <c r="I8" s="81">
        <v>181065.84493952774</v>
      </c>
      <c r="J8" s="81">
        <v>173155.30317952772</v>
      </c>
      <c r="K8" s="82">
        <v>166013.81559552773</v>
      </c>
      <c r="L8" s="82">
        <v>159564.47676992774</v>
      </c>
      <c r="M8" s="82">
        <v>153738.07182688775</v>
      </c>
      <c r="N8" s="82">
        <v>148472.30737815175</v>
      </c>
      <c r="O8" s="100">
        <v>143711.11937428935</v>
      </c>
    </row>
    <row r="9" spans="3:15" x14ac:dyDescent="0.25">
      <c r="C9" s="102" t="s">
        <v>84</v>
      </c>
      <c r="D9" s="79">
        <v>60</v>
      </c>
      <c r="E9" s="147">
        <v>60</v>
      </c>
      <c r="F9" s="147">
        <v>60</v>
      </c>
      <c r="G9" s="147">
        <v>60</v>
      </c>
      <c r="H9" s="148">
        <v>60</v>
      </c>
      <c r="I9" s="148">
        <v>60</v>
      </c>
      <c r="J9" s="148">
        <v>60</v>
      </c>
      <c r="K9" s="149">
        <v>60</v>
      </c>
      <c r="L9" s="149">
        <v>60</v>
      </c>
      <c r="M9" s="149">
        <v>60</v>
      </c>
      <c r="N9" s="149">
        <v>60</v>
      </c>
      <c r="O9" s="169">
        <v>60</v>
      </c>
    </row>
    <row r="10" spans="3:15" x14ac:dyDescent="0.25">
      <c r="C10" s="102" t="s">
        <v>94</v>
      </c>
      <c r="D10" s="79">
        <v>8</v>
      </c>
      <c r="E10" s="147">
        <v>8</v>
      </c>
      <c r="F10" s="147">
        <v>8</v>
      </c>
      <c r="G10" s="147">
        <v>8</v>
      </c>
      <c r="H10" s="148">
        <v>8</v>
      </c>
      <c r="I10" s="148">
        <v>8</v>
      </c>
      <c r="J10" s="148">
        <v>8</v>
      </c>
      <c r="K10" s="149">
        <v>8</v>
      </c>
      <c r="L10" s="149">
        <v>8</v>
      </c>
      <c r="M10" s="149">
        <v>8</v>
      </c>
      <c r="N10" s="149">
        <v>8</v>
      </c>
      <c r="O10" s="16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17734.438032567406</v>
      </c>
      <c r="E14" s="90">
        <v>17217.901002492625</v>
      </c>
      <c r="F14" s="90">
        <v>16716.408740284103</v>
      </c>
      <c r="G14" s="90">
        <v>16229.523048819519</v>
      </c>
      <c r="H14" s="94">
        <v>15756.818493999534</v>
      </c>
      <c r="I14" s="94">
        <v>15297.882033009255</v>
      </c>
      <c r="J14" s="94">
        <v>14852.312653407043</v>
      </c>
      <c r="K14" s="95">
        <v>14419.721022725285</v>
      </c>
      <c r="L14" s="95">
        <v>13999.729148276976</v>
      </c>
      <c r="M14" s="95">
        <v>13591.970046870851</v>
      </c>
      <c r="N14" s="95">
        <v>13196.087424146457</v>
      </c>
      <c r="O14" s="101">
        <v>12811.735363248987</v>
      </c>
    </row>
    <row r="15" spans="3:15" x14ac:dyDescent="0.25">
      <c r="C15" s="102" t="s">
        <v>89</v>
      </c>
      <c r="D15" s="79">
        <f>8*300+9*100</f>
        <v>3300</v>
      </c>
      <c r="E15" s="90">
        <f>D15*(1-$D$13)</f>
        <v>3201</v>
      </c>
      <c r="F15" s="90">
        <f t="shared" ref="F15:O15" si="0">E15*(1-$D$13)</f>
        <v>3104.97</v>
      </c>
      <c r="G15" s="90">
        <f t="shared" si="0"/>
        <v>3011.8208999999997</v>
      </c>
      <c r="H15" s="94">
        <f t="shared" si="0"/>
        <v>2921.4662729999995</v>
      </c>
      <c r="I15" s="94">
        <f t="shared" si="0"/>
        <v>2833.8222848099995</v>
      </c>
      <c r="J15" s="94">
        <f t="shared" si="0"/>
        <v>2748.8076162656994</v>
      </c>
      <c r="K15" s="95">
        <f t="shared" si="0"/>
        <v>2666.3433877777284</v>
      </c>
      <c r="L15" s="95">
        <f t="shared" si="0"/>
        <v>2586.3530861443965</v>
      </c>
      <c r="M15" s="95">
        <f t="shared" si="0"/>
        <v>2508.7624935600643</v>
      </c>
      <c r="N15" s="95">
        <f t="shared" si="0"/>
        <v>2433.4996187532624</v>
      </c>
      <c r="O15" s="101">
        <f t="shared" si="0"/>
        <v>2360.4946301906643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32113.694637208326</v>
      </c>
      <c r="E18" s="90">
        <f t="shared" ref="E18:O18" si="1">0.15*E6</f>
        <v>30307.694637208326</v>
      </c>
      <c r="F18" s="90">
        <f t="shared" si="1"/>
        <v>28679.294637208328</v>
      </c>
      <c r="G18" s="90">
        <f t="shared" si="1"/>
        <v>27210.734637208327</v>
      </c>
      <c r="H18" s="94">
        <f t="shared" si="1"/>
        <v>25886.030637208325</v>
      </c>
      <c r="I18" s="94">
        <f t="shared" si="1"/>
        <v>24690.797037208325</v>
      </c>
      <c r="J18" s="94">
        <f t="shared" si="1"/>
        <v>23612.086797208325</v>
      </c>
      <c r="K18" s="95">
        <f t="shared" si="1"/>
        <v>22638.247581208325</v>
      </c>
      <c r="L18" s="95">
        <f t="shared" si="1"/>
        <v>21758.792286808326</v>
      </c>
      <c r="M18" s="95">
        <f t="shared" si="1"/>
        <v>20964.28252184833</v>
      </c>
      <c r="N18" s="95">
        <f t="shared" si="1"/>
        <v>20246.223733384326</v>
      </c>
      <c r="O18" s="101">
        <f t="shared" si="1"/>
        <v>19596.970823766729</v>
      </c>
    </row>
    <row r="19" spans="3:15" x14ac:dyDescent="0.25">
      <c r="C19" s="160" t="s">
        <v>93</v>
      </c>
      <c r="D19" s="161">
        <f>D8+D14+D15+D16+D17-D18</f>
        <v>234102.25768420057</v>
      </c>
      <c r="E19" s="158">
        <f t="shared" ref="E19:O19" si="2">E8+E14+E15+E16+E17-E18</f>
        <v>222347.18036167571</v>
      </c>
      <c r="F19" s="158">
        <f t="shared" si="2"/>
        <v>230762.42252513024</v>
      </c>
      <c r="G19" s="158">
        <f t="shared" si="2"/>
        <v>220027.94915844646</v>
      </c>
      <c r="H19" s="159">
        <f t="shared" si="2"/>
        <v>210246.40033078258</v>
      </c>
      <c r="I19" s="159">
        <f t="shared" si="2"/>
        <v>198309.51277556483</v>
      </c>
      <c r="J19" s="159">
        <f t="shared" si="2"/>
        <v>187237.87943456639</v>
      </c>
      <c r="K19" s="162">
        <f t="shared" si="2"/>
        <v>176953.99290365697</v>
      </c>
      <c r="L19" s="162">
        <f t="shared" si="2"/>
        <v>167387.83369759889</v>
      </c>
      <c r="M19" s="162">
        <f t="shared" si="2"/>
        <v>158476.12911797853</v>
      </c>
      <c r="N19" s="162">
        <f t="shared" si="2"/>
        <v>150161.68601109771</v>
      </c>
      <c r="O19" s="172">
        <f t="shared" si="2"/>
        <v>142392.79003333696</v>
      </c>
    </row>
    <row r="20" spans="3:15" x14ac:dyDescent="0.25">
      <c r="C20" s="131" t="s">
        <v>76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73167.624996707527</v>
      </c>
      <c r="E22" s="87">
        <v>73767.624996707527</v>
      </c>
      <c r="F22" s="87">
        <v>74379.624996707527</v>
      </c>
      <c r="G22" s="87">
        <v>75003.864996707533</v>
      </c>
      <c r="H22" s="88">
        <v>75640.589796707529</v>
      </c>
      <c r="I22" s="88">
        <v>76290.04909270753</v>
      </c>
      <c r="J22" s="88">
        <v>76952.49757462753</v>
      </c>
      <c r="K22" s="89">
        <v>77628.195026185931</v>
      </c>
      <c r="L22" s="89">
        <v>78317.406426775502</v>
      </c>
      <c r="M22" s="89">
        <v>79020.40205537685</v>
      </c>
      <c r="N22" s="89">
        <v>79737.45759655023</v>
      </c>
      <c r="O22" s="107">
        <v>80468.854248547097</v>
      </c>
    </row>
    <row r="23" spans="3:15" x14ac:dyDescent="0.25">
      <c r="C23" s="102" t="s">
        <v>24</v>
      </c>
      <c r="D23" s="117">
        <v>7316.7624996707527</v>
      </c>
      <c r="E23" s="76">
        <v>7376.7624996707527</v>
      </c>
      <c r="F23" s="76">
        <v>7437.9624996707535</v>
      </c>
      <c r="G23" s="76">
        <v>7500.3864996707534</v>
      </c>
      <c r="H23" s="77">
        <v>7564.0589796707536</v>
      </c>
      <c r="I23" s="77">
        <v>7629.0049092707532</v>
      </c>
      <c r="J23" s="77">
        <v>7695.2497574627532</v>
      </c>
      <c r="K23" s="78">
        <v>7762.8195026185931</v>
      </c>
      <c r="L23" s="78">
        <v>7831.7406426775506</v>
      </c>
      <c r="M23" s="78">
        <v>7902.0402055376853</v>
      </c>
      <c r="N23" s="78">
        <v>7973.745759655023</v>
      </c>
      <c r="O23" s="104">
        <v>8046.8854248547104</v>
      </c>
    </row>
    <row r="24" spans="3:15" x14ac:dyDescent="0.25">
      <c r="C24" s="102" t="s">
        <v>48</v>
      </c>
      <c r="D24" s="93">
        <v>80484.387496378273</v>
      </c>
      <c r="E24" s="71">
        <v>81144.387496378273</v>
      </c>
      <c r="F24" s="71">
        <v>81817.587496378284</v>
      </c>
      <c r="G24" s="135">
        <v>82504.251496378289</v>
      </c>
      <c r="H24" s="72">
        <v>83204.648776378279</v>
      </c>
      <c r="I24" s="72">
        <v>83919.054001978278</v>
      </c>
      <c r="J24" s="72">
        <v>84647.747332090279</v>
      </c>
      <c r="K24" s="73">
        <v>85391.014528804517</v>
      </c>
      <c r="L24" s="73">
        <v>86149.147069453058</v>
      </c>
      <c r="M24" s="73">
        <v>86922.44226091454</v>
      </c>
      <c r="N24" s="73">
        <v>87711.203356205253</v>
      </c>
      <c r="O24" s="103">
        <v>88515.739673401811</v>
      </c>
    </row>
    <row r="25" spans="3:15" x14ac:dyDescent="0.25">
      <c r="C25" s="102" t="s">
        <v>84</v>
      </c>
      <c r="D25" s="70">
        <v>60</v>
      </c>
      <c r="E25" s="71">
        <v>60</v>
      </c>
      <c r="F25" s="71">
        <v>60</v>
      </c>
      <c r="G25" s="80">
        <v>60</v>
      </c>
      <c r="H25" s="72">
        <v>60</v>
      </c>
      <c r="I25" s="72">
        <v>60</v>
      </c>
      <c r="J25" s="72">
        <v>60</v>
      </c>
      <c r="K25" s="73">
        <v>60</v>
      </c>
      <c r="L25" s="73">
        <v>60</v>
      </c>
      <c r="M25" s="73">
        <v>60</v>
      </c>
      <c r="N25" s="73">
        <v>60</v>
      </c>
      <c r="O25" s="103">
        <v>60</v>
      </c>
    </row>
    <row r="26" spans="3:15" x14ac:dyDescent="0.25">
      <c r="C26" s="102" t="s">
        <v>94</v>
      </c>
      <c r="D26" s="70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70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77588.166392482381</v>
      </c>
      <c r="E30" s="71">
        <v>75328.316885905209</v>
      </c>
      <c r="F30" s="71">
        <v>73134.288238742942</v>
      </c>
      <c r="G30" s="80">
        <v>71004.163338585378</v>
      </c>
      <c r="H30" s="72">
        <v>68936.080911247947</v>
      </c>
      <c r="I30" s="72">
        <v>66928.233894415476</v>
      </c>
      <c r="J30" s="72">
        <v>64978.867858655809</v>
      </c>
      <c r="K30" s="73">
        <v>63086.279474423114</v>
      </c>
      <c r="L30" s="73">
        <v>61248.815023711759</v>
      </c>
      <c r="M30" s="73">
        <v>59464.868955059967</v>
      </c>
      <c r="N30" s="73">
        <v>57732.882480640743</v>
      </c>
      <c r="O30" s="103">
        <v>56051.342214214317</v>
      </c>
    </row>
    <row r="31" spans="3:15" x14ac:dyDescent="0.25">
      <c r="C31" s="102" t="s">
        <v>89</v>
      </c>
      <c r="D31" s="70">
        <f>18*600+17*1200</f>
        <v>31200</v>
      </c>
      <c r="E31" s="71">
        <f>D31*(1-$D$29)</f>
        <v>30264</v>
      </c>
      <c r="F31" s="71">
        <f t="shared" ref="F31:O31" si="3">E31*(1-$D$29)</f>
        <v>29356.079999999998</v>
      </c>
      <c r="G31" s="80">
        <f t="shared" si="3"/>
        <v>28475.397599999997</v>
      </c>
      <c r="H31" s="72">
        <f t="shared" si="3"/>
        <v>27621.135671999997</v>
      </c>
      <c r="I31" s="72">
        <f t="shared" si="3"/>
        <v>26792.501601839995</v>
      </c>
      <c r="J31" s="72">
        <f t="shared" si="3"/>
        <v>25988.726553784792</v>
      </c>
      <c r="K31" s="73">
        <f t="shared" si="3"/>
        <v>25209.064757171247</v>
      </c>
      <c r="L31" s="73">
        <f t="shared" si="3"/>
        <v>24452.792814456108</v>
      </c>
      <c r="M31" s="73">
        <f t="shared" si="3"/>
        <v>23719.209030022423</v>
      </c>
      <c r="N31" s="73">
        <f t="shared" si="3"/>
        <v>23007.632759121749</v>
      </c>
      <c r="O31" s="103">
        <f t="shared" si="3"/>
        <v>22317.403776348096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25608.668748847635</v>
      </c>
      <c r="E34" s="71">
        <f t="shared" ref="E34:O34" si="5">0.35*E22</f>
        <v>25818.668748847635</v>
      </c>
      <c r="F34" s="71">
        <f t="shared" si="5"/>
        <v>26032.868748847632</v>
      </c>
      <c r="G34" s="80">
        <f t="shared" si="5"/>
        <v>26251.352748847636</v>
      </c>
      <c r="H34" s="72">
        <f t="shared" si="5"/>
        <v>26474.206428847632</v>
      </c>
      <c r="I34" s="72">
        <f t="shared" si="5"/>
        <v>26701.517182447635</v>
      </c>
      <c r="J34" s="72">
        <f t="shared" si="5"/>
        <v>26933.374151119635</v>
      </c>
      <c r="K34" s="73">
        <f t="shared" si="5"/>
        <v>27169.868259165076</v>
      </c>
      <c r="L34" s="73">
        <f t="shared" si="5"/>
        <v>27411.092249371424</v>
      </c>
      <c r="M34" s="73">
        <f t="shared" si="5"/>
        <v>27657.140719381896</v>
      </c>
      <c r="N34" s="73">
        <f t="shared" si="5"/>
        <v>27908.11015879258</v>
      </c>
      <c r="O34" s="103">
        <f t="shared" si="5"/>
        <v>28164.098986991481</v>
      </c>
    </row>
    <row r="35" spans="3:15" x14ac:dyDescent="0.25">
      <c r="C35" s="160" t="s">
        <v>93</v>
      </c>
      <c r="D35" s="163">
        <f>D24+D30+D31+D32-D34</f>
        <v>192585.01696089917</v>
      </c>
      <c r="E35" s="164">
        <f t="shared" ref="E35:O35" si="6">E24+E30+E31+E32-E34</f>
        <v>188996.80439157775</v>
      </c>
      <c r="F35" s="164">
        <f t="shared" si="6"/>
        <v>185536.02752815894</v>
      </c>
      <c r="G35" s="165">
        <f t="shared" si="6"/>
        <v>182199.3922510533</v>
      </c>
      <c r="H35" s="166">
        <f t="shared" si="6"/>
        <v>178983.70996469827</v>
      </c>
      <c r="I35" s="166">
        <f t="shared" si="6"/>
        <v>173080.375158043</v>
      </c>
      <c r="J35" s="166">
        <f t="shared" si="6"/>
        <v>167373.63529813147</v>
      </c>
      <c r="K35" s="167">
        <f t="shared" si="6"/>
        <v>161858.2211792194</v>
      </c>
      <c r="L35" s="167">
        <f t="shared" si="6"/>
        <v>156529.0272908617</v>
      </c>
      <c r="M35" s="167">
        <f t="shared" si="6"/>
        <v>151381.10722197153</v>
      </c>
      <c r="N35" s="167">
        <f t="shared" si="6"/>
        <v>146409.66920315713</v>
      </c>
      <c r="O35" s="168">
        <f t="shared" si="6"/>
        <v>141610.07178336781</v>
      </c>
    </row>
    <row r="37" spans="3:15" x14ac:dyDescent="0.25">
      <c r="C37" t="s">
        <v>319</v>
      </c>
      <c r="D37" s="30">
        <f>D19-D35</f>
        <v>41517.240723301395</v>
      </c>
      <c r="E37" s="30">
        <f t="shared" ref="E37:O37" si="7">E19-E35</f>
        <v>33350.375970097957</v>
      </c>
      <c r="F37" s="30">
        <f t="shared" si="7"/>
        <v>45226.394996971299</v>
      </c>
      <c r="G37" s="30">
        <f t="shared" si="7"/>
        <v>37828.556907393155</v>
      </c>
      <c r="H37" s="30">
        <f t="shared" si="7"/>
        <v>31262.690366084309</v>
      </c>
      <c r="I37" s="30">
        <f t="shared" si="7"/>
        <v>25229.137617521832</v>
      </c>
      <c r="J37" s="30">
        <f t="shared" si="7"/>
        <v>19864.244136434922</v>
      </c>
      <c r="K37" s="30">
        <f t="shared" si="7"/>
        <v>15095.771724437567</v>
      </c>
      <c r="L37" s="30">
        <f t="shared" si="7"/>
        <v>10858.806406737189</v>
      </c>
      <c r="M37" s="30">
        <f t="shared" si="7"/>
        <v>7095.0218960070051</v>
      </c>
      <c r="N37" s="30">
        <f t="shared" si="7"/>
        <v>3752.0168079405848</v>
      </c>
      <c r="O37" s="30">
        <f t="shared" si="7"/>
        <v>782.71824996915529</v>
      </c>
    </row>
    <row r="58" spans="3:26" x14ac:dyDescent="0.25">
      <c r="D58">
        <v>2019</v>
      </c>
      <c r="E58">
        <v>2020</v>
      </c>
      <c r="F58">
        <v>2021</v>
      </c>
      <c r="G58">
        <v>2022</v>
      </c>
      <c r="H58">
        <v>2023</v>
      </c>
      <c r="I58">
        <v>2024</v>
      </c>
      <c r="J58">
        <v>2025</v>
      </c>
      <c r="K58">
        <v>2026</v>
      </c>
      <c r="L58">
        <v>2027</v>
      </c>
      <c r="M58">
        <v>2028</v>
      </c>
      <c r="N58">
        <v>2029</v>
      </c>
      <c r="O58">
        <v>2030</v>
      </c>
      <c r="P58">
        <v>2031</v>
      </c>
      <c r="Q58">
        <v>2032</v>
      </c>
      <c r="R58">
        <v>2033</v>
      </c>
      <c r="S58">
        <v>2034</v>
      </c>
      <c r="T58">
        <v>2035</v>
      </c>
      <c r="U58">
        <v>2036</v>
      </c>
      <c r="V58">
        <v>2037</v>
      </c>
      <c r="W58">
        <v>2038</v>
      </c>
      <c r="X58">
        <v>2039</v>
      </c>
      <c r="Y58">
        <v>2040</v>
      </c>
      <c r="Z58">
        <v>2041</v>
      </c>
    </row>
    <row r="59" spans="3:26" x14ac:dyDescent="0.25">
      <c r="C59" t="s">
        <v>98</v>
      </c>
      <c r="D59">
        <f>60*365</f>
        <v>21900</v>
      </c>
      <c r="E59">
        <f t="shared" ref="E59:Z59" si="8">60*365</f>
        <v>21900</v>
      </c>
      <c r="F59">
        <f t="shared" si="8"/>
        <v>21900</v>
      </c>
      <c r="G59">
        <f t="shared" si="8"/>
        <v>21900</v>
      </c>
      <c r="H59">
        <f t="shared" si="8"/>
        <v>21900</v>
      </c>
      <c r="I59">
        <f t="shared" si="8"/>
        <v>21900</v>
      </c>
      <c r="J59">
        <f t="shared" si="8"/>
        <v>21900</v>
      </c>
      <c r="K59">
        <f t="shared" si="8"/>
        <v>21900</v>
      </c>
      <c r="L59">
        <f t="shared" si="8"/>
        <v>21900</v>
      </c>
      <c r="M59">
        <f t="shared" si="8"/>
        <v>21900</v>
      </c>
      <c r="N59">
        <f t="shared" si="8"/>
        <v>21900</v>
      </c>
      <c r="O59">
        <f t="shared" si="8"/>
        <v>21900</v>
      </c>
      <c r="P59">
        <f t="shared" si="8"/>
        <v>21900</v>
      </c>
      <c r="Q59">
        <f t="shared" si="8"/>
        <v>21900</v>
      </c>
      <c r="R59">
        <f t="shared" si="8"/>
        <v>21900</v>
      </c>
      <c r="S59">
        <f t="shared" si="8"/>
        <v>21900</v>
      </c>
      <c r="T59">
        <f t="shared" si="8"/>
        <v>21900</v>
      </c>
      <c r="U59">
        <f t="shared" si="8"/>
        <v>21900</v>
      </c>
      <c r="V59">
        <f t="shared" si="8"/>
        <v>21900</v>
      </c>
      <c r="W59">
        <f t="shared" si="8"/>
        <v>21900</v>
      </c>
      <c r="X59">
        <f t="shared" si="8"/>
        <v>21900</v>
      </c>
      <c r="Y59">
        <f t="shared" si="8"/>
        <v>21900</v>
      </c>
      <c r="Z59">
        <f t="shared" si="8"/>
        <v>21900</v>
      </c>
    </row>
    <row r="60" spans="3:26" x14ac:dyDescent="0.25">
      <c r="C60" t="s">
        <v>99</v>
      </c>
      <c r="D60" s="30">
        <f>($D$11/100)*D59</f>
        <v>3066.0000000000005</v>
      </c>
      <c r="E60" s="30">
        <f t="shared" ref="E60:Z60" si="9">($D$11/100)*E59</f>
        <v>3066.0000000000005</v>
      </c>
      <c r="F60" s="30">
        <f t="shared" si="9"/>
        <v>3066.0000000000005</v>
      </c>
      <c r="G60" s="30">
        <f t="shared" si="9"/>
        <v>3066.0000000000005</v>
      </c>
      <c r="H60" s="30">
        <f t="shared" si="9"/>
        <v>3066.0000000000005</v>
      </c>
      <c r="I60" s="30">
        <f t="shared" si="9"/>
        <v>3066.0000000000005</v>
      </c>
      <c r="J60" s="30">
        <f t="shared" si="9"/>
        <v>3066.0000000000005</v>
      </c>
      <c r="K60" s="30">
        <f t="shared" si="9"/>
        <v>3066.0000000000005</v>
      </c>
      <c r="L60" s="30">
        <f t="shared" si="9"/>
        <v>3066.0000000000005</v>
      </c>
      <c r="M60" s="30">
        <f t="shared" si="9"/>
        <v>3066.0000000000005</v>
      </c>
      <c r="N60" s="30">
        <f t="shared" si="9"/>
        <v>3066.0000000000005</v>
      </c>
      <c r="O60" s="30">
        <f t="shared" si="9"/>
        <v>3066.0000000000005</v>
      </c>
      <c r="P60" s="30">
        <f t="shared" si="9"/>
        <v>3066.0000000000005</v>
      </c>
      <c r="Q60" s="30">
        <f t="shared" si="9"/>
        <v>3066.0000000000005</v>
      </c>
      <c r="R60" s="30">
        <f t="shared" si="9"/>
        <v>3066.0000000000005</v>
      </c>
      <c r="S60" s="30">
        <f t="shared" si="9"/>
        <v>3066.0000000000005</v>
      </c>
      <c r="T60" s="30">
        <f t="shared" si="9"/>
        <v>3066.0000000000005</v>
      </c>
      <c r="U60" s="30">
        <f t="shared" si="9"/>
        <v>3066.0000000000005</v>
      </c>
      <c r="V60" s="30">
        <f t="shared" si="9"/>
        <v>3066.0000000000005</v>
      </c>
      <c r="W60" s="30">
        <f t="shared" si="9"/>
        <v>3066.0000000000005</v>
      </c>
      <c r="X60" s="30">
        <f t="shared" si="9"/>
        <v>3066.0000000000005</v>
      </c>
      <c r="Y60" s="30">
        <f t="shared" si="9"/>
        <v>3066.0000000000005</v>
      </c>
      <c r="Z60" s="30">
        <f t="shared" si="9"/>
        <v>3066.0000000000005</v>
      </c>
    </row>
    <row r="61" spans="3:26" x14ac:dyDescent="0.25">
      <c r="C61" t="s">
        <v>101</v>
      </c>
      <c r="D61" s="1">
        <f>D60*$D$12</f>
        <v>2452.8000000000006</v>
      </c>
      <c r="E61" s="1">
        <f t="shared" ref="E61:Z61" si="10">E60*$D$12</f>
        <v>2452.8000000000006</v>
      </c>
      <c r="F61" s="1">
        <f t="shared" si="10"/>
        <v>2452.8000000000006</v>
      </c>
      <c r="G61" s="1">
        <f t="shared" si="10"/>
        <v>2452.8000000000006</v>
      </c>
      <c r="H61" s="1">
        <f t="shared" si="10"/>
        <v>2452.8000000000006</v>
      </c>
      <c r="I61" s="1">
        <f t="shared" si="10"/>
        <v>2452.8000000000006</v>
      </c>
      <c r="J61" s="1">
        <f t="shared" si="10"/>
        <v>2452.8000000000006</v>
      </c>
      <c r="K61" s="1">
        <f t="shared" si="10"/>
        <v>2452.8000000000006</v>
      </c>
      <c r="L61" s="1">
        <f t="shared" si="10"/>
        <v>2452.8000000000006</v>
      </c>
      <c r="M61" s="1">
        <f t="shared" si="10"/>
        <v>2452.8000000000006</v>
      </c>
      <c r="N61" s="1">
        <f t="shared" si="10"/>
        <v>2452.8000000000006</v>
      </c>
      <c r="O61" s="1">
        <f t="shared" si="10"/>
        <v>2452.8000000000006</v>
      </c>
      <c r="P61" s="1">
        <f t="shared" si="10"/>
        <v>2452.8000000000006</v>
      </c>
      <c r="Q61" s="1">
        <f t="shared" si="10"/>
        <v>2452.8000000000006</v>
      </c>
      <c r="R61" s="1">
        <f t="shared" si="10"/>
        <v>2452.8000000000006</v>
      </c>
      <c r="S61" s="1">
        <f t="shared" si="10"/>
        <v>2452.8000000000006</v>
      </c>
      <c r="T61" s="1">
        <f t="shared" si="10"/>
        <v>2452.8000000000006</v>
      </c>
      <c r="U61" s="1">
        <f t="shared" si="10"/>
        <v>2452.8000000000006</v>
      </c>
      <c r="V61" s="1">
        <f t="shared" si="10"/>
        <v>2452.8000000000006</v>
      </c>
      <c r="W61" s="1">
        <f t="shared" si="10"/>
        <v>2452.8000000000006</v>
      </c>
      <c r="X61" s="1">
        <f t="shared" si="10"/>
        <v>2452.8000000000006</v>
      </c>
      <c r="Y61" s="1">
        <f t="shared" si="10"/>
        <v>2452.8000000000006</v>
      </c>
      <c r="Z61" s="1">
        <f t="shared" si="10"/>
        <v>2452.8000000000006</v>
      </c>
    </row>
    <row r="62" spans="3:26" x14ac:dyDescent="0.25">
      <c r="C62" t="s">
        <v>100</v>
      </c>
      <c r="D62">
        <f>D61/(1+$D$13)^(D58-2019)</f>
        <v>2452.8000000000006</v>
      </c>
      <c r="E62">
        <f t="shared" ref="E62:Z62" si="11">E61/(1+$D$13)^(E58-2019)</f>
        <v>2381.3592233009713</v>
      </c>
      <c r="F62">
        <f t="shared" si="11"/>
        <v>2311.9992459232735</v>
      </c>
      <c r="G62">
        <f t="shared" si="11"/>
        <v>2244.6594620614305</v>
      </c>
      <c r="H62">
        <f t="shared" si="11"/>
        <v>2179.2810311276025</v>
      </c>
      <c r="I62">
        <f t="shared" si="11"/>
        <v>2115.8068263374785</v>
      </c>
      <c r="J62">
        <f t="shared" si="11"/>
        <v>2054.1813847936683</v>
      </c>
      <c r="K62">
        <f t="shared" si="11"/>
        <v>1994.3508590229785</v>
      </c>
      <c r="L62">
        <f t="shared" si="11"/>
        <v>1936.2629699252223</v>
      </c>
      <c r="M62">
        <f t="shared" si="11"/>
        <v>1879.8669610924487</v>
      </c>
      <c r="N62">
        <f t="shared" si="11"/>
        <v>1825.113554458688</v>
      </c>
      <c r="O62">
        <f t="shared" si="11"/>
        <v>1771.9549072414445</v>
      </c>
      <c r="P62">
        <f t="shared" si="11"/>
        <v>1720.344570137325</v>
      </c>
      <c r="Q62">
        <f t="shared" si="11"/>
        <v>1670.2374467352672</v>
      </c>
      <c r="R62">
        <f t="shared" si="11"/>
        <v>1621.5897541119098</v>
      </c>
      <c r="S62">
        <f t="shared" si="11"/>
        <v>1574.3589845746696</v>
      </c>
      <c r="T62">
        <f t="shared" si="11"/>
        <v>1528.5038685190968</v>
      </c>
      <c r="U62">
        <f t="shared" si="11"/>
        <v>1483.9843383680552</v>
      </c>
      <c r="V62">
        <f t="shared" si="11"/>
        <v>1440.7614935612187</v>
      </c>
      <c r="W62">
        <f t="shared" si="11"/>
        <v>1398.79756656429</v>
      </c>
      <c r="X62">
        <f t="shared" si="11"/>
        <v>1358.0558898682427</v>
      </c>
      <c r="Y62">
        <f t="shared" si="11"/>
        <v>1318.5008639497505</v>
      </c>
      <c r="Z62">
        <f t="shared" si="11"/>
        <v>1280.097926164806</v>
      </c>
    </row>
    <row r="63" spans="3:26" x14ac:dyDescent="0.25">
      <c r="C63" t="s">
        <v>102</v>
      </c>
      <c r="D63">
        <f>SUM(D62:K62)</f>
        <v>17734.438032567406</v>
      </c>
      <c r="E63">
        <f>SUM(E62:L62)</f>
        <v>17217.901002492625</v>
      </c>
      <c r="F63">
        <f t="shared" ref="F63:O63" si="12">SUM(F62:M62)</f>
        <v>16716.408740284103</v>
      </c>
      <c r="G63">
        <f t="shared" si="12"/>
        <v>16229.523048819519</v>
      </c>
      <c r="H63">
        <f t="shared" si="12"/>
        <v>15756.818493999534</v>
      </c>
      <c r="I63">
        <f t="shared" si="12"/>
        <v>15297.882033009255</v>
      </c>
      <c r="J63">
        <f t="shared" si="12"/>
        <v>14852.312653407043</v>
      </c>
      <c r="K63">
        <f t="shared" si="12"/>
        <v>14419.721022725285</v>
      </c>
      <c r="L63">
        <f t="shared" si="12"/>
        <v>13999.729148276976</v>
      </c>
      <c r="M63">
        <f t="shared" si="12"/>
        <v>13591.970046870851</v>
      </c>
      <c r="N63">
        <f t="shared" si="12"/>
        <v>13196.087424146457</v>
      </c>
      <c r="O63">
        <f t="shared" si="12"/>
        <v>12811.735363248987</v>
      </c>
    </row>
    <row r="65" spans="3:26" x14ac:dyDescent="0.25">
      <c r="C65" t="s">
        <v>103</v>
      </c>
      <c r="D65">
        <f>27*300+27*100</f>
        <v>10800</v>
      </c>
    </row>
    <row r="69" spans="3:26" x14ac:dyDescent="0.25">
      <c r="C69" t="s">
        <v>104</v>
      </c>
      <c r="D69">
        <v>4300</v>
      </c>
      <c r="E69">
        <v>4300</v>
      </c>
      <c r="F69">
        <v>4300</v>
      </c>
      <c r="G69">
        <v>4300</v>
      </c>
      <c r="H69">
        <v>4300</v>
      </c>
      <c r="I69">
        <v>4300</v>
      </c>
      <c r="J69">
        <v>4300</v>
      </c>
      <c r="K69">
        <v>4300</v>
      </c>
      <c r="L69">
        <v>4300</v>
      </c>
      <c r="M69">
        <v>4300</v>
      </c>
      <c r="N69">
        <v>4300</v>
      </c>
      <c r="O69">
        <v>4300</v>
      </c>
      <c r="P69">
        <v>4300</v>
      </c>
      <c r="Q69">
        <v>4300</v>
      </c>
      <c r="R69">
        <v>4300</v>
      </c>
      <c r="S69">
        <v>4300</v>
      </c>
      <c r="T69">
        <v>4300</v>
      </c>
      <c r="U69">
        <v>4300</v>
      </c>
      <c r="V69">
        <v>4300</v>
      </c>
      <c r="W69">
        <v>4300</v>
      </c>
      <c r="X69">
        <v>4300</v>
      </c>
      <c r="Y69">
        <v>4300</v>
      </c>
      <c r="Z69">
        <v>4300</v>
      </c>
    </row>
    <row r="70" spans="3:26" x14ac:dyDescent="0.25">
      <c r="C70" t="s">
        <v>105</v>
      </c>
      <c r="D70">
        <f>D69/(1+0.03)^(D58-2019)</f>
        <v>4300</v>
      </c>
      <c r="E70">
        <f t="shared" ref="E70:O70" si="13">E69/(1+0.03)^(E58-2019)</f>
        <v>4174.7572815533977</v>
      </c>
      <c r="F70">
        <f t="shared" si="13"/>
        <v>4053.162409275144</v>
      </c>
      <c r="G70">
        <f t="shared" si="13"/>
        <v>3935.1091352185863</v>
      </c>
      <c r="H70">
        <f t="shared" si="13"/>
        <v>3820.4943060374626</v>
      </c>
      <c r="I70">
        <f t="shared" si="13"/>
        <v>3709.2177728519055</v>
      </c>
      <c r="J70">
        <f t="shared" si="13"/>
        <v>3601.1823037397139</v>
      </c>
      <c r="K70">
        <f t="shared" si="13"/>
        <v>3496.2934987764211</v>
      </c>
      <c r="L70">
        <f t="shared" si="13"/>
        <v>3394.4597075499237</v>
      </c>
      <c r="M70">
        <f t="shared" si="13"/>
        <v>3295.5919490775959</v>
      </c>
      <c r="N70">
        <f t="shared" si="13"/>
        <v>3199.6038340559185</v>
      </c>
      <c r="O70">
        <f t="shared" si="13"/>
        <v>3106.4114893746778</v>
      </c>
    </row>
    <row r="71" spans="3:26" x14ac:dyDescent="0.25">
      <c r="C71" t="s">
        <v>106</v>
      </c>
      <c r="D71" s="145">
        <f>SUM(D70:K70)</f>
        <v>31090.216707452633</v>
      </c>
      <c r="E71" s="145">
        <f>SUM(E70:L70)</f>
        <v>30184.676415002552</v>
      </c>
      <c r="F71" s="145">
        <f>SUM(F70:M70)</f>
        <v>29305.511082526751</v>
      </c>
      <c r="G71" s="145">
        <f t="shared" ref="G71:O71" si="14">SUM(G70:N70)</f>
        <v>28451.952507307524</v>
      </c>
      <c r="H71" s="145">
        <f t="shared" si="14"/>
        <v>27623.254861463614</v>
      </c>
      <c r="I71" s="145">
        <f t="shared" si="14"/>
        <v>23802.760555426157</v>
      </c>
      <c r="J71" s="145">
        <f t="shared" si="14"/>
        <v>20093.542782574252</v>
      </c>
      <c r="K71" s="145">
        <f t="shared" si="14"/>
        <v>16492.360478834536</v>
      </c>
      <c r="L71" s="145">
        <f t="shared" si="14"/>
        <v>12996.066980058116</v>
      </c>
      <c r="M71" s="145">
        <f t="shared" si="14"/>
        <v>9601.6072725081922</v>
      </c>
      <c r="N71" s="145">
        <f t="shared" si="14"/>
        <v>6306.0153234305963</v>
      </c>
      <c r="O71" s="145">
        <f t="shared" si="14"/>
        <v>3106.4114893746778</v>
      </c>
    </row>
    <row r="74" spans="3:26" x14ac:dyDescent="0.25">
      <c r="C74" t="s">
        <v>98</v>
      </c>
      <c r="D74">
        <f>D59</f>
        <v>21900</v>
      </c>
      <c r="E74">
        <f t="shared" ref="E74:Z74" si="15">E59</f>
        <v>21900</v>
      </c>
      <c r="F74">
        <f t="shared" si="15"/>
        <v>21900</v>
      </c>
      <c r="G74">
        <f t="shared" si="15"/>
        <v>21900</v>
      </c>
      <c r="H74">
        <f t="shared" si="15"/>
        <v>21900</v>
      </c>
      <c r="I74">
        <f t="shared" si="15"/>
        <v>21900</v>
      </c>
      <c r="J74">
        <f t="shared" si="15"/>
        <v>21900</v>
      </c>
      <c r="K74">
        <f t="shared" si="15"/>
        <v>21900</v>
      </c>
      <c r="L74">
        <f t="shared" si="15"/>
        <v>21900</v>
      </c>
      <c r="M74">
        <f t="shared" si="15"/>
        <v>21900</v>
      </c>
      <c r="N74">
        <f t="shared" si="15"/>
        <v>21900</v>
      </c>
      <c r="O74">
        <f t="shared" si="15"/>
        <v>21900</v>
      </c>
      <c r="P74">
        <f t="shared" si="15"/>
        <v>21900</v>
      </c>
      <c r="Q74">
        <f t="shared" si="15"/>
        <v>21900</v>
      </c>
      <c r="R74">
        <f t="shared" si="15"/>
        <v>21900</v>
      </c>
      <c r="S74">
        <f t="shared" si="15"/>
        <v>21900</v>
      </c>
      <c r="T74">
        <f t="shared" si="15"/>
        <v>21900</v>
      </c>
      <c r="U74">
        <f t="shared" si="15"/>
        <v>21900</v>
      </c>
      <c r="V74">
        <f t="shared" si="15"/>
        <v>21900</v>
      </c>
      <c r="W74">
        <f t="shared" si="15"/>
        <v>21900</v>
      </c>
      <c r="X74">
        <f t="shared" si="15"/>
        <v>21900</v>
      </c>
      <c r="Y74">
        <f t="shared" si="15"/>
        <v>21900</v>
      </c>
      <c r="Z74">
        <f t="shared" si="15"/>
        <v>21900</v>
      </c>
    </row>
    <row r="75" spans="3:26" x14ac:dyDescent="0.25">
      <c r="C75" t="s">
        <v>107</v>
      </c>
      <c r="D75" s="30">
        <f>($D$27/100)*D74</f>
        <v>1533.0000000000002</v>
      </c>
      <c r="E75" s="30">
        <f t="shared" ref="E75:Z75" si="16">($D$27/100)*E74</f>
        <v>1533.0000000000002</v>
      </c>
      <c r="F75" s="30">
        <f t="shared" si="16"/>
        <v>1533.0000000000002</v>
      </c>
      <c r="G75" s="30">
        <f t="shared" si="16"/>
        <v>1533.0000000000002</v>
      </c>
      <c r="H75" s="30">
        <f t="shared" si="16"/>
        <v>1533.0000000000002</v>
      </c>
      <c r="I75" s="30">
        <f t="shared" si="16"/>
        <v>1533.0000000000002</v>
      </c>
      <c r="J75" s="30">
        <f t="shared" si="16"/>
        <v>1533.0000000000002</v>
      </c>
      <c r="K75" s="30">
        <f t="shared" si="16"/>
        <v>1533.0000000000002</v>
      </c>
      <c r="L75" s="30">
        <f t="shared" si="16"/>
        <v>1533.0000000000002</v>
      </c>
      <c r="M75" s="30">
        <f t="shared" si="16"/>
        <v>1533.0000000000002</v>
      </c>
      <c r="N75" s="30">
        <f t="shared" si="16"/>
        <v>1533.0000000000002</v>
      </c>
      <c r="O75" s="30">
        <f t="shared" si="16"/>
        <v>1533.0000000000002</v>
      </c>
      <c r="P75" s="30">
        <f t="shared" si="16"/>
        <v>1533.0000000000002</v>
      </c>
      <c r="Q75" s="30">
        <f t="shared" si="16"/>
        <v>1533.0000000000002</v>
      </c>
      <c r="R75" s="30">
        <f t="shared" si="16"/>
        <v>1533.0000000000002</v>
      </c>
      <c r="S75" s="30">
        <f t="shared" si="16"/>
        <v>1533.0000000000002</v>
      </c>
      <c r="T75" s="30">
        <f t="shared" si="16"/>
        <v>1533.0000000000002</v>
      </c>
      <c r="U75" s="30">
        <f t="shared" si="16"/>
        <v>1533.0000000000002</v>
      </c>
      <c r="V75" s="30">
        <f t="shared" si="16"/>
        <v>1533.0000000000002</v>
      </c>
      <c r="W75" s="30">
        <f t="shared" si="16"/>
        <v>1533.0000000000002</v>
      </c>
      <c r="X75" s="30">
        <f t="shared" si="16"/>
        <v>1533.0000000000002</v>
      </c>
      <c r="Y75" s="30">
        <f t="shared" si="16"/>
        <v>1533.0000000000002</v>
      </c>
      <c r="Z75" s="30">
        <f t="shared" si="16"/>
        <v>1533.0000000000002</v>
      </c>
    </row>
    <row r="76" spans="3:26" x14ac:dyDescent="0.25">
      <c r="C76" t="s">
        <v>108</v>
      </c>
      <c r="D76">
        <f>D75*$D$28</f>
        <v>10731.000000000002</v>
      </c>
      <c r="E76">
        <f t="shared" ref="E76:Z76" si="17">E75*$D$28</f>
        <v>10731.000000000002</v>
      </c>
      <c r="F76">
        <f t="shared" si="17"/>
        <v>10731.000000000002</v>
      </c>
      <c r="G76">
        <f t="shared" si="17"/>
        <v>10731.000000000002</v>
      </c>
      <c r="H76">
        <f t="shared" si="17"/>
        <v>10731.000000000002</v>
      </c>
      <c r="I76">
        <f t="shared" si="17"/>
        <v>10731.000000000002</v>
      </c>
      <c r="J76">
        <f t="shared" si="17"/>
        <v>10731.000000000002</v>
      </c>
      <c r="K76">
        <f t="shared" si="17"/>
        <v>10731.000000000002</v>
      </c>
      <c r="L76">
        <f t="shared" si="17"/>
        <v>10731.000000000002</v>
      </c>
      <c r="M76">
        <f t="shared" si="17"/>
        <v>10731.000000000002</v>
      </c>
      <c r="N76">
        <f t="shared" si="17"/>
        <v>10731.000000000002</v>
      </c>
      <c r="O76">
        <f t="shared" si="17"/>
        <v>10731.000000000002</v>
      </c>
      <c r="P76">
        <f t="shared" si="17"/>
        <v>10731.000000000002</v>
      </c>
      <c r="Q76">
        <f t="shared" si="17"/>
        <v>10731.000000000002</v>
      </c>
      <c r="R76">
        <f t="shared" si="17"/>
        <v>10731.000000000002</v>
      </c>
      <c r="S76">
        <f t="shared" si="17"/>
        <v>10731.000000000002</v>
      </c>
      <c r="T76">
        <f t="shared" si="17"/>
        <v>10731.000000000002</v>
      </c>
      <c r="U76">
        <f t="shared" si="17"/>
        <v>10731.000000000002</v>
      </c>
      <c r="V76">
        <f t="shared" si="17"/>
        <v>10731.000000000002</v>
      </c>
      <c r="W76">
        <f t="shared" si="17"/>
        <v>10731.000000000002</v>
      </c>
      <c r="X76">
        <f t="shared" si="17"/>
        <v>10731.000000000002</v>
      </c>
      <c r="Y76">
        <f t="shared" si="17"/>
        <v>10731.000000000002</v>
      </c>
      <c r="Z76">
        <f t="shared" si="17"/>
        <v>10731.000000000002</v>
      </c>
    </row>
    <row r="77" spans="3:26" x14ac:dyDescent="0.25">
      <c r="C77" t="s">
        <v>109</v>
      </c>
      <c r="D77">
        <f>D76/(1+$D$29)^(D58-2019)</f>
        <v>10731.000000000002</v>
      </c>
      <c r="E77">
        <f t="shared" ref="E77:Z77" si="18">E76/(1+$D$29)^(E58-2019)</f>
        <v>10418.446601941749</v>
      </c>
      <c r="F77">
        <f t="shared" si="18"/>
        <v>10114.99670091432</v>
      </c>
      <c r="G77">
        <f t="shared" si="18"/>
        <v>9820.3851465187563</v>
      </c>
      <c r="H77">
        <f t="shared" si="18"/>
        <v>9534.3545111832591</v>
      </c>
      <c r="I77">
        <f t="shared" si="18"/>
        <v>9256.6548652264664</v>
      </c>
      <c r="J77">
        <f t="shared" si="18"/>
        <v>8987.0435584722964</v>
      </c>
      <c r="K77">
        <f t="shared" si="18"/>
        <v>8725.28500822553</v>
      </c>
      <c r="L77">
        <f t="shared" si="18"/>
        <v>8471.1504934228469</v>
      </c>
      <c r="M77">
        <f t="shared" si="18"/>
        <v>8224.4179547794629</v>
      </c>
      <c r="N77">
        <f t="shared" si="18"/>
        <v>7984.8718007567595</v>
      </c>
      <c r="O77">
        <f t="shared" si="18"/>
        <v>7752.3027191813198</v>
      </c>
      <c r="P77">
        <f t="shared" si="18"/>
        <v>7526.5074943507971</v>
      </c>
      <c r="Q77">
        <f t="shared" si="18"/>
        <v>7307.2888294667937</v>
      </c>
      <c r="R77">
        <f t="shared" si="18"/>
        <v>7094.4551742396043</v>
      </c>
      <c r="S77">
        <f t="shared" si="18"/>
        <v>6887.8205575141783</v>
      </c>
      <c r="T77">
        <f t="shared" si="18"/>
        <v>6687.2044247710483</v>
      </c>
      <c r="U77">
        <f t="shared" si="18"/>
        <v>6492.431480360241</v>
      </c>
      <c r="V77">
        <f t="shared" si="18"/>
        <v>6303.3315343303311</v>
      </c>
      <c r="W77">
        <f t="shared" si="18"/>
        <v>6119.7393537187681</v>
      </c>
      <c r="X77">
        <f t="shared" si="18"/>
        <v>5941.4945181735611</v>
      </c>
      <c r="Y77">
        <f t="shared" si="18"/>
        <v>5768.4412797801579</v>
      </c>
      <c r="Z77">
        <f t="shared" si="18"/>
        <v>5600.4284269710261</v>
      </c>
    </row>
    <row r="78" spans="3:26" x14ac:dyDescent="0.25">
      <c r="C78" t="s">
        <v>110</v>
      </c>
      <c r="D78" s="1">
        <f>SUM(D77:K77)</f>
        <v>77588.166392482381</v>
      </c>
      <c r="E78" s="1">
        <f t="shared" ref="E78:O78" si="19">SUM(E77:L77)</f>
        <v>75328.316885905209</v>
      </c>
      <c r="F78" s="1">
        <f t="shared" si="19"/>
        <v>73134.288238742942</v>
      </c>
      <c r="G78" s="1">
        <f t="shared" si="19"/>
        <v>71004.163338585378</v>
      </c>
      <c r="H78" s="1">
        <f t="shared" si="19"/>
        <v>68936.080911247947</v>
      </c>
      <c r="I78" s="1">
        <f t="shared" si="19"/>
        <v>66928.233894415476</v>
      </c>
      <c r="J78" s="1">
        <f t="shared" si="19"/>
        <v>64978.867858655809</v>
      </c>
      <c r="K78" s="1">
        <f t="shared" si="19"/>
        <v>63086.279474423114</v>
      </c>
      <c r="L78" s="1">
        <f t="shared" si="19"/>
        <v>61248.815023711759</v>
      </c>
      <c r="M78" s="1">
        <f t="shared" si="19"/>
        <v>59464.868955059967</v>
      </c>
      <c r="N78" s="1">
        <f t="shared" si="19"/>
        <v>57732.882480640743</v>
      </c>
      <c r="O78" s="1">
        <f t="shared" si="19"/>
        <v>56051.342214214317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8"/>
  <sheetViews>
    <sheetView topLeftCell="A10" zoomScaleNormal="100" workbookViewId="0">
      <selection activeCell="D22" sqref="D22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103">
        <v>97226.00791038938</v>
      </c>
    </row>
    <row r="7" spans="3:15" x14ac:dyDescent="0.25">
      <c r="C7" s="102" t="s">
        <v>46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104">
        <v>9722.600791038938</v>
      </c>
    </row>
    <row r="8" spans="3:15" x14ac:dyDescent="0.25">
      <c r="C8" s="102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0">
        <v>106948.60870142831</v>
      </c>
    </row>
    <row r="9" spans="3:15" x14ac:dyDescent="0.25">
      <c r="C9" s="102" t="s">
        <v>84</v>
      </c>
      <c r="D9" s="83">
        <v>300</v>
      </c>
      <c r="E9" s="147">
        <v>300</v>
      </c>
      <c r="F9" s="147">
        <v>300</v>
      </c>
      <c r="G9" s="147">
        <v>300</v>
      </c>
      <c r="H9" s="148">
        <v>300</v>
      </c>
      <c r="I9" s="148">
        <v>300</v>
      </c>
      <c r="J9" s="148">
        <v>300</v>
      </c>
      <c r="K9" s="149">
        <v>300</v>
      </c>
      <c r="L9" s="149">
        <v>300</v>
      </c>
      <c r="M9" s="149">
        <v>300</v>
      </c>
      <c r="N9" s="149">
        <v>300</v>
      </c>
      <c r="O9" s="169">
        <v>300</v>
      </c>
    </row>
    <row r="10" spans="3:15" x14ac:dyDescent="0.25">
      <c r="C10" s="102" t="s">
        <v>94</v>
      </c>
      <c r="D10" s="83">
        <v>5</v>
      </c>
      <c r="E10" s="147">
        <v>5</v>
      </c>
      <c r="F10" s="147">
        <v>5</v>
      </c>
      <c r="G10" s="147">
        <v>5</v>
      </c>
      <c r="H10" s="148">
        <v>5</v>
      </c>
      <c r="I10" s="148">
        <v>5</v>
      </c>
      <c r="J10" s="148">
        <v>5</v>
      </c>
      <c r="K10" s="149">
        <v>5</v>
      </c>
      <c r="L10" s="149">
        <v>5</v>
      </c>
      <c r="M10" s="149">
        <v>5</v>
      </c>
      <c r="N10" s="149">
        <v>5</v>
      </c>
      <c r="O10" s="169">
        <v>5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57850.494812066376</v>
      </c>
      <c r="E14" s="90">
        <v>56165.528943753765</v>
      </c>
      <c r="F14" s="90">
        <v>54529.639751217255</v>
      </c>
      <c r="G14" s="90">
        <v>52941.397816715784</v>
      </c>
      <c r="H14" s="94">
        <v>51399.415356034748</v>
      </c>
      <c r="I14" s="94">
        <v>49902.345005858973</v>
      </c>
      <c r="J14" s="94">
        <v>48448.878646465026</v>
      </c>
      <c r="K14" s="95">
        <v>47037.746258703904</v>
      </c>
      <c r="L14" s="95">
        <v>45667.714814275641</v>
      </c>
      <c r="M14" s="95">
        <v>44337.587198325862</v>
      </c>
      <c r="N14" s="95">
        <v>43046.201163423168</v>
      </c>
      <c r="O14" s="101">
        <v>41792.428314003075</v>
      </c>
    </row>
    <row r="15" spans="3:15" x14ac:dyDescent="0.25">
      <c r="C15" s="102" t="s">
        <v>89</v>
      </c>
      <c r="D15" s="79">
        <f>27*300+27*100</f>
        <v>10800</v>
      </c>
      <c r="E15" s="90">
        <f>D15*(1-$D$13)</f>
        <v>10476</v>
      </c>
      <c r="F15" s="90">
        <f t="shared" ref="F15:O15" si="0">E15*(1-$D$13)</f>
        <v>10161.719999999999</v>
      </c>
      <c r="G15" s="90">
        <f t="shared" si="0"/>
        <v>9856.8683999999994</v>
      </c>
      <c r="H15" s="94">
        <f t="shared" si="0"/>
        <v>9561.1623479999998</v>
      </c>
      <c r="I15" s="94">
        <f t="shared" si="0"/>
        <v>9274.3274775600003</v>
      </c>
      <c r="J15" s="94">
        <f t="shared" si="0"/>
        <v>8996.0976532332006</v>
      </c>
      <c r="K15" s="95">
        <f t="shared" si="0"/>
        <v>8726.2147236362052</v>
      </c>
      <c r="L15" s="95">
        <f t="shared" si="0"/>
        <v>8464.4282819271193</v>
      </c>
      <c r="M15" s="95">
        <f t="shared" si="0"/>
        <v>8210.4954334693048</v>
      </c>
      <c r="N15" s="95">
        <f t="shared" si="0"/>
        <v>7964.1805704652252</v>
      </c>
      <c r="O15" s="101">
        <f t="shared" si="0"/>
        <v>7725.2551533512678</v>
      </c>
    </row>
    <row r="16" spans="3:15" x14ac:dyDescent="0.25">
      <c r="C16" s="102" t="s">
        <v>90</v>
      </c>
      <c r="D16" s="79">
        <v>20283.523132084592</v>
      </c>
      <c r="E16" s="90">
        <v>19692.740904936494</v>
      </c>
      <c r="F16" s="90">
        <v>19119.165927122813</v>
      </c>
      <c r="G16" s="90">
        <v>18562.297016624088</v>
      </c>
      <c r="H16" s="94">
        <v>18021.647588955424</v>
      </c>
      <c r="I16" s="94">
        <v>17496.745231995563</v>
      </c>
      <c r="J16" s="94">
        <v>16987.131293199574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101">
        <f t="shared" si="1"/>
        <v>14583.901186558407</v>
      </c>
    </row>
    <row r="19" spans="3:15" x14ac:dyDescent="0.25">
      <c r="C19" s="160" t="s">
        <v>93</v>
      </c>
      <c r="D19" s="161">
        <f>D8+D14+D15+D16+D17-D18</f>
        <v>242504.22627748433</v>
      </c>
      <c r="E19" s="158">
        <f t="shared" ref="E19:O19" si="2">E8+E14+E15+E16+E17-E18</f>
        <v>229670.47818202362</v>
      </c>
      <c r="F19" s="158">
        <f t="shared" si="2"/>
        <v>233696.61734500679</v>
      </c>
      <c r="G19" s="158">
        <f t="shared" si="2"/>
        <v>221945.7749000066</v>
      </c>
      <c r="H19" s="159">
        <f t="shared" si="2"/>
        <v>211177.64495965684</v>
      </c>
      <c r="I19" s="159">
        <f t="shared" si="2"/>
        <v>201299.02458208124</v>
      </c>
      <c r="J19" s="159">
        <f t="shared" si="2"/>
        <v>192225.8829395645</v>
      </c>
      <c r="K19" s="162">
        <f t="shared" si="2"/>
        <v>183882.44843984136</v>
      </c>
      <c r="L19" s="162">
        <f t="shared" si="2"/>
        <v>173184.4535237276</v>
      </c>
      <c r="M19" s="162">
        <f t="shared" si="2"/>
        <v>163174.03817369009</v>
      </c>
      <c r="N19" s="162">
        <f t="shared" si="2"/>
        <v>153793.0396664337</v>
      </c>
      <c r="O19" s="172">
        <f t="shared" si="2"/>
        <v>144988.8024715989</v>
      </c>
    </row>
    <row r="20" spans="3:15" x14ac:dyDescent="0.25">
      <c r="C20" s="131" t="s">
        <v>380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144616.66666666666</v>
      </c>
      <c r="E22" s="87">
        <v>145216.66666666666</v>
      </c>
      <c r="F22" s="87">
        <v>145828.66666666666</v>
      </c>
      <c r="G22" s="87">
        <v>146452.90666666665</v>
      </c>
      <c r="H22" s="88">
        <v>147089.63146666664</v>
      </c>
      <c r="I22" s="88">
        <v>147739.09076266666</v>
      </c>
      <c r="J22" s="88">
        <v>148401.53924458666</v>
      </c>
      <c r="K22" s="89">
        <v>149077.23669614506</v>
      </c>
      <c r="L22" s="89">
        <v>149766.44809673462</v>
      </c>
      <c r="M22" s="89">
        <v>150469.44372533596</v>
      </c>
      <c r="N22" s="89">
        <v>151186.49926650935</v>
      </c>
      <c r="O22" s="107">
        <v>151917.8959185062</v>
      </c>
    </row>
    <row r="23" spans="3:15" x14ac:dyDescent="0.25">
      <c r="C23" s="102" t="s">
        <v>46</v>
      </c>
      <c r="D23" s="117">
        <v>14461.666666666666</v>
      </c>
      <c r="E23" s="76">
        <v>14521.666666666666</v>
      </c>
      <c r="F23" s="76">
        <v>14582.866666666667</v>
      </c>
      <c r="G23" s="76">
        <v>14645.290666666666</v>
      </c>
      <c r="H23" s="77">
        <v>14708.963146666665</v>
      </c>
      <c r="I23" s="77">
        <v>14773.909076266667</v>
      </c>
      <c r="J23" s="77">
        <v>14840.153924458667</v>
      </c>
      <c r="K23" s="78">
        <v>14907.723669614506</v>
      </c>
      <c r="L23" s="78">
        <v>14976.644809673462</v>
      </c>
      <c r="M23" s="78">
        <v>15046.944372533597</v>
      </c>
      <c r="N23" s="78">
        <v>15118.649926650935</v>
      </c>
      <c r="O23" s="104">
        <v>15191.78959185062</v>
      </c>
    </row>
    <row r="24" spans="3:15" x14ac:dyDescent="0.25">
      <c r="C24" s="102" t="s">
        <v>56</v>
      </c>
      <c r="D24" s="93">
        <v>159078.33333333331</v>
      </c>
      <c r="E24" s="71">
        <v>159738.33333333331</v>
      </c>
      <c r="F24" s="71">
        <v>160411.53333333333</v>
      </c>
      <c r="G24" s="135">
        <v>161098.19733333332</v>
      </c>
      <c r="H24" s="72">
        <v>161798.59461333332</v>
      </c>
      <c r="I24" s="72">
        <v>162512.99983893332</v>
      </c>
      <c r="J24" s="72">
        <v>163241.69316904532</v>
      </c>
      <c r="K24" s="73">
        <v>163984.96036575956</v>
      </c>
      <c r="L24" s="73">
        <v>164743.09290640807</v>
      </c>
      <c r="M24" s="73">
        <v>165516.38809786955</v>
      </c>
      <c r="N24" s="73">
        <v>166305.14919316029</v>
      </c>
      <c r="O24" s="103">
        <v>167109.68551035682</v>
      </c>
    </row>
    <row r="25" spans="3:15" x14ac:dyDescent="0.25">
      <c r="C25" s="102" t="s">
        <v>84</v>
      </c>
      <c r="D25" s="79">
        <v>300</v>
      </c>
      <c r="E25" s="71">
        <v>300</v>
      </c>
      <c r="F25" s="71">
        <v>300</v>
      </c>
      <c r="G25" s="80">
        <v>300</v>
      </c>
      <c r="H25" s="72">
        <v>300</v>
      </c>
      <c r="I25" s="72">
        <v>300</v>
      </c>
      <c r="J25" s="72">
        <v>300</v>
      </c>
      <c r="K25" s="73">
        <v>300</v>
      </c>
      <c r="L25" s="73">
        <v>300</v>
      </c>
      <c r="M25" s="73">
        <v>300</v>
      </c>
      <c r="N25" s="73">
        <v>300</v>
      </c>
      <c r="O25" s="103">
        <v>300</v>
      </c>
    </row>
    <row r="26" spans="3:15" x14ac:dyDescent="0.25">
      <c r="C26" s="102" t="s">
        <v>94</v>
      </c>
      <c r="D26" s="79">
        <v>5</v>
      </c>
      <c r="E26" s="71">
        <v>5</v>
      </c>
      <c r="F26" s="71">
        <v>5</v>
      </c>
      <c r="G26" s="80">
        <v>5</v>
      </c>
      <c r="H26" s="72">
        <v>5</v>
      </c>
      <c r="I26" s="72">
        <v>5</v>
      </c>
      <c r="J26" s="72">
        <v>5</v>
      </c>
      <c r="K26" s="73">
        <v>5</v>
      </c>
      <c r="L26" s="73">
        <v>5</v>
      </c>
      <c r="M26" s="73">
        <v>5</v>
      </c>
      <c r="N26" s="73">
        <v>5</v>
      </c>
      <c r="O26" s="103">
        <v>5</v>
      </c>
    </row>
    <row r="27" spans="3:15" x14ac:dyDescent="0.25">
      <c r="C27" s="102" t="s">
        <v>95</v>
      </c>
      <c r="D27" s="83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253095.91480279044</v>
      </c>
      <c r="E30" s="71">
        <v>245724.18912892276</v>
      </c>
      <c r="F30" s="71">
        <v>238567.17391157549</v>
      </c>
      <c r="G30" s="80">
        <v>231618.61544813155</v>
      </c>
      <c r="H30" s="72">
        <v>224872.44218265201</v>
      </c>
      <c r="I30" s="72">
        <v>218322.75940063305</v>
      </c>
      <c r="J30" s="72">
        <v>211963.84407828446</v>
      </c>
      <c r="K30" s="73">
        <v>205790.13988182956</v>
      </c>
      <c r="L30" s="73">
        <v>199796.25231245588</v>
      </c>
      <c r="M30" s="73">
        <v>193976.94399267563</v>
      </c>
      <c r="N30" s="73">
        <v>188327.13008997636</v>
      </c>
      <c r="O30" s="103">
        <v>182841.87387376346</v>
      </c>
    </row>
    <row r="31" spans="3:15" x14ac:dyDescent="0.25">
      <c r="C31" s="102" t="s">
        <v>89</v>
      </c>
      <c r="D31" s="70">
        <f>54*1200+55*600</f>
        <v>97800</v>
      </c>
      <c r="E31" s="71">
        <f>D31*(1-$D$29)</f>
        <v>94866</v>
      </c>
      <c r="F31" s="71">
        <f t="shared" ref="F31:O31" si="3">E31*(1-$D$29)</f>
        <v>92020.02</v>
      </c>
      <c r="G31" s="80">
        <f t="shared" si="3"/>
        <v>89259.419399999999</v>
      </c>
      <c r="H31" s="72">
        <f t="shared" si="3"/>
        <v>86581.636817999999</v>
      </c>
      <c r="I31" s="72">
        <f t="shared" si="3"/>
        <v>83984.187713459993</v>
      </c>
      <c r="J31" s="72">
        <f t="shared" si="3"/>
        <v>81464.662082056195</v>
      </c>
      <c r="K31" s="73">
        <f t="shared" si="3"/>
        <v>79020.722219594507</v>
      </c>
      <c r="L31" s="73">
        <f t="shared" si="3"/>
        <v>76650.100553006676</v>
      </c>
      <c r="M31" s="73">
        <f t="shared" si="3"/>
        <v>74350.597536416477</v>
      </c>
      <c r="N31" s="73">
        <f t="shared" si="3"/>
        <v>72120.079610323985</v>
      </c>
      <c r="O31" s="103">
        <f t="shared" si="3"/>
        <v>69956.477222014262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26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26" x14ac:dyDescent="0.25">
      <c r="C34" s="102" t="s">
        <v>87</v>
      </c>
      <c r="D34" s="79">
        <f>0.35*D22</f>
        <v>50615.833333333328</v>
      </c>
      <c r="E34" s="71">
        <f t="shared" ref="E34:O34" si="5">0.35*E22</f>
        <v>50825.833333333328</v>
      </c>
      <c r="F34" s="71">
        <f t="shared" si="5"/>
        <v>51040.033333333326</v>
      </c>
      <c r="G34" s="80">
        <f t="shared" si="5"/>
        <v>51258.517333333322</v>
      </c>
      <c r="H34" s="72">
        <f t="shared" si="5"/>
        <v>51481.371013333322</v>
      </c>
      <c r="I34" s="72">
        <f t="shared" si="5"/>
        <v>51708.681766933325</v>
      </c>
      <c r="J34" s="72">
        <f t="shared" si="5"/>
        <v>51940.538735605325</v>
      </c>
      <c r="K34" s="73">
        <f t="shared" si="5"/>
        <v>52177.03284365077</v>
      </c>
      <c r="L34" s="73">
        <f t="shared" si="5"/>
        <v>52418.256833857115</v>
      </c>
      <c r="M34" s="73">
        <f t="shared" si="5"/>
        <v>52664.305303867586</v>
      </c>
      <c r="N34" s="73">
        <f t="shared" si="5"/>
        <v>52915.274743278271</v>
      </c>
      <c r="O34" s="103">
        <f t="shared" si="5"/>
        <v>53171.263571477168</v>
      </c>
    </row>
    <row r="35" spans="3:26" x14ac:dyDescent="0.25">
      <c r="C35" s="160" t="s">
        <v>93</v>
      </c>
      <c r="D35" s="163">
        <f>D24+D30+D31+D32-D34</f>
        <v>488279.54662367661</v>
      </c>
      <c r="E35" s="164">
        <f t="shared" ref="E35:O35" si="6">E24+E30+E31+E32-E34</f>
        <v>477581.45788706472</v>
      </c>
      <c r="F35" s="164">
        <f t="shared" si="6"/>
        <v>467219.63445346081</v>
      </c>
      <c r="G35" s="165">
        <f t="shared" si="6"/>
        <v>457184.6474130688</v>
      </c>
      <c r="H35" s="166">
        <f t="shared" si="6"/>
        <v>447467.3536345716</v>
      </c>
      <c r="I35" s="166">
        <f t="shared" si="6"/>
        <v>435253.36802834994</v>
      </c>
      <c r="J35" s="166">
        <f t="shared" si="6"/>
        <v>423421.32829850091</v>
      </c>
      <c r="K35" s="167">
        <f t="shared" si="6"/>
        <v>411960.5203015185</v>
      </c>
      <c r="L35" s="167">
        <f t="shared" si="6"/>
        <v>400860.55357062572</v>
      </c>
      <c r="M35" s="167">
        <f t="shared" si="6"/>
        <v>390111.35201845062</v>
      </c>
      <c r="N35" s="167">
        <f t="shared" si="6"/>
        <v>379703.14491616434</v>
      </c>
      <c r="O35" s="168">
        <f t="shared" si="6"/>
        <v>369626.45814105246</v>
      </c>
    </row>
    <row r="37" spans="3:26" x14ac:dyDescent="0.25">
      <c r="C37" t="s">
        <v>315</v>
      </c>
      <c r="D37" s="30">
        <f>D19-D35</f>
        <v>-245775.32034619228</v>
      </c>
      <c r="E37" s="30">
        <f t="shared" ref="E37:O37" si="7">E19-E35</f>
        <v>-247910.9797050411</v>
      </c>
      <c r="F37" s="30">
        <f t="shared" si="7"/>
        <v>-233523.01710845402</v>
      </c>
      <c r="G37" s="30">
        <f t="shared" si="7"/>
        <v>-235238.8725130622</v>
      </c>
      <c r="H37" s="30">
        <f t="shared" si="7"/>
        <v>-236289.70867491476</v>
      </c>
      <c r="I37" s="30">
        <f t="shared" si="7"/>
        <v>-233954.3434462687</v>
      </c>
      <c r="J37" s="30">
        <f t="shared" si="7"/>
        <v>-231195.44535893641</v>
      </c>
      <c r="K37" s="30">
        <f t="shared" si="7"/>
        <v>-228078.07186167713</v>
      </c>
      <c r="L37" s="30">
        <f t="shared" si="7"/>
        <v>-227676.10004689812</v>
      </c>
      <c r="M37" s="30">
        <f t="shared" si="7"/>
        <v>-226937.31384476053</v>
      </c>
      <c r="N37" s="30">
        <f t="shared" si="7"/>
        <v>-225910.10524973064</v>
      </c>
      <c r="O37" s="30">
        <f t="shared" si="7"/>
        <v>-224637.65566945355</v>
      </c>
    </row>
    <row r="48" spans="3:26" x14ac:dyDescent="0.25">
      <c r="D48">
        <v>2019</v>
      </c>
      <c r="E48">
        <v>2020</v>
      </c>
      <c r="F48">
        <v>2021</v>
      </c>
      <c r="G48">
        <v>2022</v>
      </c>
      <c r="H48">
        <v>2023</v>
      </c>
      <c r="I48">
        <v>2024</v>
      </c>
      <c r="J48">
        <v>2025</v>
      </c>
      <c r="K48">
        <v>2026</v>
      </c>
      <c r="L48">
        <v>2027</v>
      </c>
      <c r="M48">
        <v>2028</v>
      </c>
      <c r="N48">
        <v>2029</v>
      </c>
      <c r="O48">
        <v>2030</v>
      </c>
      <c r="P48">
        <v>2031</v>
      </c>
      <c r="Q48">
        <v>2032</v>
      </c>
      <c r="R48">
        <v>2033</v>
      </c>
      <c r="S48">
        <v>2034</v>
      </c>
      <c r="T48">
        <v>2035</v>
      </c>
      <c r="U48">
        <v>2036</v>
      </c>
      <c r="V48">
        <v>2037</v>
      </c>
      <c r="W48">
        <v>2038</v>
      </c>
      <c r="X48">
        <v>2039</v>
      </c>
      <c r="Y48">
        <v>2040</v>
      </c>
      <c r="Z48">
        <v>2041</v>
      </c>
    </row>
    <row r="49" spans="3:26" x14ac:dyDescent="0.25">
      <c r="C49" t="s">
        <v>98</v>
      </c>
      <c r="D49">
        <f>300*365</f>
        <v>109500</v>
      </c>
      <c r="E49">
        <f t="shared" ref="E49:Z49" si="8">300*365</f>
        <v>109500</v>
      </c>
      <c r="F49">
        <f t="shared" si="8"/>
        <v>109500</v>
      </c>
      <c r="G49">
        <f t="shared" si="8"/>
        <v>109500</v>
      </c>
      <c r="H49">
        <f t="shared" si="8"/>
        <v>109500</v>
      </c>
      <c r="I49">
        <f t="shared" si="8"/>
        <v>109500</v>
      </c>
      <c r="J49">
        <f t="shared" si="8"/>
        <v>109500</v>
      </c>
      <c r="K49">
        <f t="shared" si="8"/>
        <v>109500</v>
      </c>
      <c r="L49">
        <f t="shared" si="8"/>
        <v>109500</v>
      </c>
      <c r="M49">
        <f t="shared" si="8"/>
        <v>109500</v>
      </c>
      <c r="N49">
        <f t="shared" si="8"/>
        <v>109500</v>
      </c>
      <c r="O49">
        <f t="shared" si="8"/>
        <v>109500</v>
      </c>
      <c r="P49">
        <f t="shared" si="8"/>
        <v>109500</v>
      </c>
      <c r="Q49">
        <f t="shared" si="8"/>
        <v>109500</v>
      </c>
      <c r="R49">
        <f t="shared" si="8"/>
        <v>109500</v>
      </c>
      <c r="S49">
        <f t="shared" si="8"/>
        <v>109500</v>
      </c>
      <c r="T49">
        <f t="shared" si="8"/>
        <v>109500</v>
      </c>
      <c r="U49">
        <f t="shared" si="8"/>
        <v>109500</v>
      </c>
      <c r="V49">
        <f t="shared" si="8"/>
        <v>109500</v>
      </c>
      <c r="W49">
        <f t="shared" si="8"/>
        <v>109500</v>
      </c>
      <c r="X49">
        <f t="shared" si="8"/>
        <v>109500</v>
      </c>
      <c r="Y49">
        <f t="shared" si="8"/>
        <v>109500</v>
      </c>
      <c r="Z49">
        <f t="shared" si="8"/>
        <v>109500</v>
      </c>
    </row>
    <row r="50" spans="3:26" x14ac:dyDescent="0.25">
      <c r="C50" t="s">
        <v>99</v>
      </c>
      <c r="D50" s="30">
        <f>($D$11/100)*D49</f>
        <v>15330.000000000002</v>
      </c>
      <c r="E50" s="30">
        <f t="shared" ref="E50:Z50" si="9">($D$11/100)*E49</f>
        <v>15330.000000000002</v>
      </c>
      <c r="F50" s="30">
        <f t="shared" si="9"/>
        <v>15330.000000000002</v>
      </c>
      <c r="G50" s="30">
        <f t="shared" si="9"/>
        <v>15330.000000000002</v>
      </c>
      <c r="H50" s="30">
        <f t="shared" si="9"/>
        <v>15330.000000000002</v>
      </c>
      <c r="I50" s="30">
        <f t="shared" si="9"/>
        <v>15330.000000000002</v>
      </c>
      <c r="J50" s="30">
        <f t="shared" si="9"/>
        <v>15330.000000000002</v>
      </c>
      <c r="K50" s="30">
        <f t="shared" si="9"/>
        <v>15330.000000000002</v>
      </c>
      <c r="L50" s="30">
        <f t="shared" si="9"/>
        <v>15330.000000000002</v>
      </c>
      <c r="M50" s="30">
        <f t="shared" si="9"/>
        <v>15330.000000000002</v>
      </c>
      <c r="N50" s="30">
        <f t="shared" si="9"/>
        <v>15330.000000000002</v>
      </c>
      <c r="O50" s="30">
        <f t="shared" si="9"/>
        <v>15330.000000000002</v>
      </c>
      <c r="P50" s="30">
        <f t="shared" si="9"/>
        <v>15330.000000000002</v>
      </c>
      <c r="Q50" s="30">
        <f t="shared" si="9"/>
        <v>15330.000000000002</v>
      </c>
      <c r="R50" s="30">
        <f t="shared" si="9"/>
        <v>15330.000000000002</v>
      </c>
      <c r="S50" s="30">
        <f t="shared" si="9"/>
        <v>15330.000000000002</v>
      </c>
      <c r="T50" s="30">
        <f t="shared" si="9"/>
        <v>15330.000000000002</v>
      </c>
      <c r="U50" s="30">
        <f t="shared" si="9"/>
        <v>15330.000000000002</v>
      </c>
      <c r="V50" s="30">
        <f t="shared" si="9"/>
        <v>15330.000000000002</v>
      </c>
      <c r="W50" s="30">
        <f t="shared" si="9"/>
        <v>15330.000000000002</v>
      </c>
      <c r="X50" s="30">
        <f t="shared" si="9"/>
        <v>15330.000000000002</v>
      </c>
      <c r="Y50" s="30">
        <f t="shared" si="9"/>
        <v>15330.000000000002</v>
      </c>
      <c r="Z50" s="30">
        <f t="shared" si="9"/>
        <v>15330.000000000002</v>
      </c>
    </row>
    <row r="51" spans="3:26" x14ac:dyDescent="0.25">
      <c r="C51" t="s">
        <v>101</v>
      </c>
      <c r="D51" s="1">
        <f>D50*$D$12</f>
        <v>12264.000000000002</v>
      </c>
      <c r="E51" s="1">
        <f t="shared" ref="E51:Z51" si="10">E50*$D$12</f>
        <v>12264.000000000002</v>
      </c>
      <c r="F51" s="1">
        <f t="shared" si="10"/>
        <v>12264.000000000002</v>
      </c>
      <c r="G51" s="1">
        <f t="shared" si="10"/>
        <v>12264.000000000002</v>
      </c>
      <c r="H51" s="1">
        <f t="shared" si="10"/>
        <v>12264.000000000002</v>
      </c>
      <c r="I51" s="1">
        <f t="shared" si="10"/>
        <v>12264.000000000002</v>
      </c>
      <c r="J51" s="1">
        <f t="shared" si="10"/>
        <v>12264.000000000002</v>
      </c>
      <c r="K51" s="1">
        <f t="shared" si="10"/>
        <v>12264.000000000002</v>
      </c>
      <c r="L51" s="1">
        <f t="shared" si="10"/>
        <v>12264.000000000002</v>
      </c>
      <c r="M51" s="1">
        <f t="shared" si="10"/>
        <v>12264.000000000002</v>
      </c>
      <c r="N51" s="1">
        <f t="shared" si="10"/>
        <v>12264.000000000002</v>
      </c>
      <c r="O51" s="1">
        <f t="shared" si="10"/>
        <v>12264.000000000002</v>
      </c>
      <c r="P51" s="1">
        <f t="shared" si="10"/>
        <v>12264.000000000002</v>
      </c>
      <c r="Q51" s="1">
        <f t="shared" si="10"/>
        <v>12264.000000000002</v>
      </c>
      <c r="R51" s="1">
        <f t="shared" si="10"/>
        <v>12264.000000000002</v>
      </c>
      <c r="S51" s="1">
        <f t="shared" si="10"/>
        <v>12264.000000000002</v>
      </c>
      <c r="T51" s="1">
        <f t="shared" si="10"/>
        <v>12264.000000000002</v>
      </c>
      <c r="U51" s="1">
        <f t="shared" si="10"/>
        <v>12264.000000000002</v>
      </c>
      <c r="V51" s="1">
        <f t="shared" si="10"/>
        <v>12264.000000000002</v>
      </c>
      <c r="W51" s="1">
        <f t="shared" si="10"/>
        <v>12264.000000000002</v>
      </c>
      <c r="X51" s="1">
        <f t="shared" si="10"/>
        <v>12264.000000000002</v>
      </c>
      <c r="Y51" s="1">
        <f t="shared" si="10"/>
        <v>12264.000000000002</v>
      </c>
      <c r="Z51" s="1">
        <f t="shared" si="10"/>
        <v>12264.000000000002</v>
      </c>
    </row>
    <row r="52" spans="3:26" x14ac:dyDescent="0.25">
      <c r="C52" t="s">
        <v>100</v>
      </c>
      <c r="D52">
        <f>D51/(1+$D$13)^(D48-2019)</f>
        <v>12264.000000000002</v>
      </c>
      <c r="E52">
        <f t="shared" ref="E52:Z52" si="11">E51/(1+$D$13)^(E48-2019)</f>
        <v>11906.796116504856</v>
      </c>
      <c r="F52">
        <f t="shared" si="11"/>
        <v>11559.996229616365</v>
      </c>
      <c r="G52">
        <f t="shared" si="11"/>
        <v>11223.297310307151</v>
      </c>
      <c r="H52">
        <f t="shared" si="11"/>
        <v>10896.405155638011</v>
      </c>
      <c r="I52">
        <f t="shared" si="11"/>
        <v>10579.034131687391</v>
      </c>
      <c r="J52">
        <f t="shared" si="11"/>
        <v>10270.906923968339</v>
      </c>
      <c r="K52">
        <f t="shared" si="11"/>
        <v>9971.7542951148916</v>
      </c>
      <c r="L52">
        <f t="shared" si="11"/>
        <v>9681.3148496261092</v>
      </c>
      <c r="M52">
        <f t="shared" si="11"/>
        <v>9399.334805462242</v>
      </c>
      <c r="N52">
        <f t="shared" si="11"/>
        <v>9125.5677722934397</v>
      </c>
      <c r="O52">
        <f t="shared" si="11"/>
        <v>8859.7745362072219</v>
      </c>
      <c r="P52">
        <f t="shared" si="11"/>
        <v>8601.722850686625</v>
      </c>
      <c r="Q52">
        <f t="shared" si="11"/>
        <v>8351.1872336763354</v>
      </c>
      <c r="R52">
        <f t="shared" si="11"/>
        <v>8107.9487705595475</v>
      </c>
      <c r="S52">
        <f t="shared" si="11"/>
        <v>7871.7949228733469</v>
      </c>
      <c r="T52">
        <f t="shared" si="11"/>
        <v>7642.519342595484</v>
      </c>
      <c r="U52">
        <f t="shared" si="11"/>
        <v>7419.9216918402753</v>
      </c>
      <c r="V52">
        <f t="shared" si="11"/>
        <v>7203.807467806093</v>
      </c>
      <c r="W52">
        <f t="shared" si="11"/>
        <v>6993.987832821449</v>
      </c>
      <c r="X52">
        <f t="shared" si="11"/>
        <v>6790.279449341213</v>
      </c>
      <c r="Y52">
        <f t="shared" si="11"/>
        <v>6592.5043197487512</v>
      </c>
      <c r="Z52">
        <f t="shared" si="11"/>
        <v>6400.4896308240295</v>
      </c>
    </row>
    <row r="53" spans="3:26" x14ac:dyDescent="0.25">
      <c r="C53" t="s">
        <v>102</v>
      </c>
      <c r="D53">
        <f>SUM(D52:H52)</f>
        <v>57850.494812066376</v>
      </c>
      <c r="E53">
        <f t="shared" ref="E53:O53" si="12">SUM(E52:I52)</f>
        <v>56165.528943753765</v>
      </c>
      <c r="F53">
        <f t="shared" si="12"/>
        <v>54529.639751217255</v>
      </c>
      <c r="G53">
        <f t="shared" si="12"/>
        <v>52941.397816715784</v>
      </c>
      <c r="H53">
        <f t="shared" si="12"/>
        <v>51399.415356034748</v>
      </c>
      <c r="I53">
        <f t="shared" si="12"/>
        <v>49902.345005858973</v>
      </c>
      <c r="J53">
        <f t="shared" si="12"/>
        <v>48448.878646465026</v>
      </c>
      <c r="K53">
        <f t="shared" si="12"/>
        <v>47037.746258703904</v>
      </c>
      <c r="L53">
        <f t="shared" si="12"/>
        <v>45667.714814275641</v>
      </c>
      <c r="M53">
        <f t="shared" si="12"/>
        <v>44337.587198325862</v>
      </c>
      <c r="N53">
        <f t="shared" si="12"/>
        <v>43046.201163423168</v>
      </c>
      <c r="O53">
        <f t="shared" si="12"/>
        <v>41792.428314003075</v>
      </c>
    </row>
    <row r="55" spans="3:26" x14ac:dyDescent="0.25">
      <c r="C55" t="s">
        <v>103</v>
      </c>
      <c r="D55">
        <f>27*300+27*100</f>
        <v>10800</v>
      </c>
    </row>
    <row r="59" spans="3:26" x14ac:dyDescent="0.25">
      <c r="C59" t="s">
        <v>104</v>
      </c>
      <c r="D59">
        <v>4300</v>
      </c>
      <c r="E59">
        <v>4300</v>
      </c>
      <c r="F59">
        <v>4300</v>
      </c>
      <c r="G59">
        <v>4300</v>
      </c>
      <c r="H59">
        <v>4300</v>
      </c>
      <c r="I59">
        <v>4300</v>
      </c>
      <c r="J59">
        <v>4300</v>
      </c>
      <c r="K59">
        <v>4300</v>
      </c>
      <c r="L59">
        <v>4300</v>
      </c>
      <c r="M59">
        <v>4300</v>
      </c>
      <c r="N59">
        <v>4300</v>
      </c>
      <c r="O59">
        <v>4300</v>
      </c>
      <c r="P59">
        <v>4300</v>
      </c>
      <c r="Q59">
        <v>4300</v>
      </c>
      <c r="R59">
        <v>4300</v>
      </c>
      <c r="S59">
        <v>4300</v>
      </c>
      <c r="T59">
        <v>4300</v>
      </c>
      <c r="U59">
        <v>4300</v>
      </c>
      <c r="V59">
        <v>4300</v>
      </c>
      <c r="W59">
        <v>4300</v>
      </c>
      <c r="X59">
        <v>4300</v>
      </c>
      <c r="Y59">
        <v>4300</v>
      </c>
      <c r="Z59">
        <v>4300</v>
      </c>
    </row>
    <row r="60" spans="3:26" x14ac:dyDescent="0.25">
      <c r="C60" t="s">
        <v>105</v>
      </c>
      <c r="D60">
        <f>D59/(1+0.03)^(D48-2019)</f>
        <v>4300</v>
      </c>
      <c r="E60">
        <f t="shared" ref="E60:O60" si="13">E59/(1+0.03)^(E48-2019)</f>
        <v>4174.7572815533977</v>
      </c>
      <c r="F60">
        <f t="shared" si="13"/>
        <v>4053.162409275144</v>
      </c>
      <c r="G60">
        <f t="shared" si="13"/>
        <v>3935.1091352185863</v>
      </c>
      <c r="H60">
        <f t="shared" si="13"/>
        <v>3820.4943060374626</v>
      </c>
      <c r="I60">
        <f t="shared" si="13"/>
        <v>3709.2177728519055</v>
      </c>
      <c r="J60">
        <f t="shared" si="13"/>
        <v>3601.1823037397139</v>
      </c>
      <c r="K60">
        <f t="shared" si="13"/>
        <v>3496.2934987764211</v>
      </c>
      <c r="L60">
        <f t="shared" si="13"/>
        <v>3394.4597075499237</v>
      </c>
      <c r="M60">
        <f t="shared" si="13"/>
        <v>3295.5919490775959</v>
      </c>
      <c r="N60">
        <f t="shared" si="13"/>
        <v>3199.6038340559185</v>
      </c>
      <c r="O60">
        <f t="shared" si="13"/>
        <v>3106.4114893746778</v>
      </c>
    </row>
    <row r="61" spans="3:26" x14ac:dyDescent="0.25">
      <c r="C61" t="s">
        <v>106</v>
      </c>
      <c r="D61" s="145">
        <f>SUM(D60:H60)</f>
        <v>20283.523132084592</v>
      </c>
      <c r="E61" s="145">
        <f>SUM(E60:I60)</f>
        <v>19692.740904936494</v>
      </c>
      <c r="F61" s="145">
        <f t="shared" ref="F61:O61" si="14">SUM(F60:J60)</f>
        <v>19119.165927122813</v>
      </c>
      <c r="G61" s="145">
        <f t="shared" si="14"/>
        <v>18562.297016624088</v>
      </c>
      <c r="H61" s="145">
        <f t="shared" si="14"/>
        <v>18021.647588955424</v>
      </c>
      <c r="I61" s="145">
        <f t="shared" si="14"/>
        <v>17496.745231995563</v>
      </c>
      <c r="J61" s="145">
        <f t="shared" si="14"/>
        <v>16987.131293199574</v>
      </c>
      <c r="K61" s="145">
        <f t="shared" si="14"/>
        <v>16492.360478834536</v>
      </c>
      <c r="L61" s="145">
        <f t="shared" si="14"/>
        <v>12996.066980058116</v>
      </c>
      <c r="M61" s="145">
        <f t="shared" si="14"/>
        <v>9601.6072725081922</v>
      </c>
      <c r="N61" s="145">
        <f t="shared" si="14"/>
        <v>6306.0153234305963</v>
      </c>
      <c r="O61" s="145">
        <f t="shared" si="14"/>
        <v>3106.4114893746778</v>
      </c>
    </row>
    <row r="64" spans="3:26" x14ac:dyDescent="0.25">
      <c r="C64" t="s">
        <v>98</v>
      </c>
      <c r="D64">
        <f>D49</f>
        <v>109500</v>
      </c>
      <c r="E64">
        <f t="shared" ref="E64:Z64" si="15">E49</f>
        <v>109500</v>
      </c>
      <c r="F64">
        <f t="shared" si="15"/>
        <v>109500</v>
      </c>
      <c r="G64">
        <f t="shared" si="15"/>
        <v>109500</v>
      </c>
      <c r="H64">
        <f t="shared" si="15"/>
        <v>109500</v>
      </c>
      <c r="I64">
        <f t="shared" si="15"/>
        <v>109500</v>
      </c>
      <c r="J64">
        <f t="shared" si="15"/>
        <v>109500</v>
      </c>
      <c r="K64">
        <f t="shared" si="15"/>
        <v>109500</v>
      </c>
      <c r="L64">
        <f t="shared" si="15"/>
        <v>109500</v>
      </c>
      <c r="M64">
        <f t="shared" si="15"/>
        <v>109500</v>
      </c>
      <c r="N64">
        <f t="shared" si="15"/>
        <v>109500</v>
      </c>
      <c r="O64">
        <f t="shared" si="15"/>
        <v>109500</v>
      </c>
      <c r="P64">
        <f t="shared" si="15"/>
        <v>109500</v>
      </c>
      <c r="Q64">
        <f t="shared" si="15"/>
        <v>109500</v>
      </c>
      <c r="R64">
        <f t="shared" si="15"/>
        <v>109500</v>
      </c>
      <c r="S64">
        <f t="shared" si="15"/>
        <v>109500</v>
      </c>
      <c r="T64">
        <f t="shared" si="15"/>
        <v>109500</v>
      </c>
      <c r="U64">
        <f t="shared" si="15"/>
        <v>109500</v>
      </c>
      <c r="V64">
        <f t="shared" si="15"/>
        <v>109500</v>
      </c>
      <c r="W64">
        <f t="shared" si="15"/>
        <v>109500</v>
      </c>
      <c r="X64">
        <f t="shared" si="15"/>
        <v>109500</v>
      </c>
      <c r="Y64">
        <f t="shared" si="15"/>
        <v>109500</v>
      </c>
      <c r="Z64">
        <f t="shared" si="15"/>
        <v>109500</v>
      </c>
    </row>
    <row r="65" spans="3:26" x14ac:dyDescent="0.25">
      <c r="C65" t="s">
        <v>107</v>
      </c>
      <c r="D65" s="30">
        <f>($D$27/100)*D64</f>
        <v>7665.0000000000009</v>
      </c>
      <c r="E65" s="30">
        <f t="shared" ref="E65:Z65" si="16">($D$27/100)*E64</f>
        <v>7665.0000000000009</v>
      </c>
      <c r="F65" s="30">
        <f t="shared" si="16"/>
        <v>7665.0000000000009</v>
      </c>
      <c r="G65" s="30">
        <f t="shared" si="16"/>
        <v>7665.0000000000009</v>
      </c>
      <c r="H65" s="30">
        <f t="shared" si="16"/>
        <v>7665.0000000000009</v>
      </c>
      <c r="I65" s="30">
        <f t="shared" si="16"/>
        <v>7665.0000000000009</v>
      </c>
      <c r="J65" s="30">
        <f t="shared" si="16"/>
        <v>7665.0000000000009</v>
      </c>
      <c r="K65" s="30">
        <f t="shared" si="16"/>
        <v>7665.0000000000009</v>
      </c>
      <c r="L65" s="30">
        <f t="shared" si="16"/>
        <v>7665.0000000000009</v>
      </c>
      <c r="M65" s="30">
        <f t="shared" si="16"/>
        <v>7665.0000000000009</v>
      </c>
      <c r="N65" s="30">
        <f t="shared" si="16"/>
        <v>7665.0000000000009</v>
      </c>
      <c r="O65" s="30">
        <f t="shared" si="16"/>
        <v>7665.0000000000009</v>
      </c>
      <c r="P65" s="30">
        <f t="shared" si="16"/>
        <v>7665.0000000000009</v>
      </c>
      <c r="Q65" s="30">
        <f t="shared" si="16"/>
        <v>7665.0000000000009</v>
      </c>
      <c r="R65" s="30">
        <f t="shared" si="16"/>
        <v>7665.0000000000009</v>
      </c>
      <c r="S65" s="30">
        <f t="shared" si="16"/>
        <v>7665.0000000000009</v>
      </c>
      <c r="T65" s="30">
        <f t="shared" si="16"/>
        <v>7665.0000000000009</v>
      </c>
      <c r="U65" s="30">
        <f t="shared" si="16"/>
        <v>7665.0000000000009</v>
      </c>
      <c r="V65" s="30">
        <f t="shared" si="16"/>
        <v>7665.0000000000009</v>
      </c>
      <c r="W65" s="30">
        <f t="shared" si="16"/>
        <v>7665.0000000000009</v>
      </c>
      <c r="X65" s="30">
        <f t="shared" si="16"/>
        <v>7665.0000000000009</v>
      </c>
      <c r="Y65" s="30">
        <f t="shared" si="16"/>
        <v>7665.0000000000009</v>
      </c>
      <c r="Z65" s="30">
        <f t="shared" si="16"/>
        <v>7665.0000000000009</v>
      </c>
    </row>
    <row r="66" spans="3:26" x14ac:dyDescent="0.25">
      <c r="C66" t="s">
        <v>108</v>
      </c>
      <c r="D66">
        <f>D65*$D$28</f>
        <v>53655.000000000007</v>
      </c>
      <c r="E66">
        <f t="shared" ref="E66:Z66" si="17">E65*$D$28</f>
        <v>53655.000000000007</v>
      </c>
      <c r="F66">
        <f t="shared" si="17"/>
        <v>53655.000000000007</v>
      </c>
      <c r="G66">
        <f t="shared" si="17"/>
        <v>53655.000000000007</v>
      </c>
      <c r="H66">
        <f t="shared" si="17"/>
        <v>53655.000000000007</v>
      </c>
      <c r="I66">
        <f t="shared" si="17"/>
        <v>53655.000000000007</v>
      </c>
      <c r="J66">
        <f t="shared" si="17"/>
        <v>53655.000000000007</v>
      </c>
      <c r="K66">
        <f t="shared" si="17"/>
        <v>53655.000000000007</v>
      </c>
      <c r="L66">
        <f t="shared" si="17"/>
        <v>53655.000000000007</v>
      </c>
      <c r="M66">
        <f t="shared" si="17"/>
        <v>53655.000000000007</v>
      </c>
      <c r="N66">
        <f t="shared" si="17"/>
        <v>53655.000000000007</v>
      </c>
      <c r="O66">
        <f t="shared" si="17"/>
        <v>53655.000000000007</v>
      </c>
      <c r="P66">
        <f t="shared" si="17"/>
        <v>53655.000000000007</v>
      </c>
      <c r="Q66">
        <f t="shared" si="17"/>
        <v>53655.000000000007</v>
      </c>
      <c r="R66">
        <f t="shared" si="17"/>
        <v>53655.000000000007</v>
      </c>
      <c r="S66">
        <f t="shared" si="17"/>
        <v>53655.000000000007</v>
      </c>
      <c r="T66">
        <f t="shared" si="17"/>
        <v>53655.000000000007</v>
      </c>
      <c r="U66">
        <f t="shared" si="17"/>
        <v>53655.000000000007</v>
      </c>
      <c r="V66">
        <f t="shared" si="17"/>
        <v>53655.000000000007</v>
      </c>
      <c r="W66">
        <f t="shared" si="17"/>
        <v>53655.000000000007</v>
      </c>
      <c r="X66">
        <f t="shared" si="17"/>
        <v>53655.000000000007</v>
      </c>
      <c r="Y66">
        <f t="shared" si="17"/>
        <v>53655.000000000007</v>
      </c>
      <c r="Z66">
        <f t="shared" si="17"/>
        <v>53655.000000000007</v>
      </c>
    </row>
    <row r="67" spans="3:26" x14ac:dyDescent="0.25">
      <c r="C67" t="s">
        <v>109</v>
      </c>
      <c r="D67">
        <f>D66/(1+$D$29)^(D48-2019)</f>
        <v>53655.000000000007</v>
      </c>
      <c r="E67">
        <f t="shared" ref="E67:Z67" si="18">E66/(1+$D$29)^(E48-2019)</f>
        <v>52092.233009708747</v>
      </c>
      <c r="F67">
        <f t="shared" si="18"/>
        <v>50574.983504571603</v>
      </c>
      <c r="G67">
        <f t="shared" si="18"/>
        <v>49101.925732593787</v>
      </c>
      <c r="H67">
        <f t="shared" si="18"/>
        <v>47671.772555916301</v>
      </c>
      <c r="I67">
        <f t="shared" si="18"/>
        <v>46283.274326132334</v>
      </c>
      <c r="J67">
        <f t="shared" si="18"/>
        <v>44935.217792361487</v>
      </c>
      <c r="K67">
        <f t="shared" si="18"/>
        <v>43626.425041127652</v>
      </c>
      <c r="L67">
        <f t="shared" si="18"/>
        <v>42355.752467114231</v>
      </c>
      <c r="M67">
        <f t="shared" si="18"/>
        <v>41122.089773897307</v>
      </c>
      <c r="N67">
        <f t="shared" si="18"/>
        <v>39924.359003783793</v>
      </c>
      <c r="O67">
        <f t="shared" si="18"/>
        <v>38761.513595906596</v>
      </c>
      <c r="P67">
        <f t="shared" si="18"/>
        <v>37632.537471753982</v>
      </c>
      <c r="Q67">
        <f t="shared" si="18"/>
        <v>36536.444147333968</v>
      </c>
      <c r="R67">
        <f t="shared" si="18"/>
        <v>35472.27587119802</v>
      </c>
      <c r="S67">
        <f t="shared" si="18"/>
        <v>34439.10278757089</v>
      </c>
      <c r="T67">
        <f t="shared" si="18"/>
        <v>33436.02212385524</v>
      </c>
      <c r="U67">
        <f t="shared" si="18"/>
        <v>32462.157401801203</v>
      </c>
      <c r="V67">
        <f t="shared" si="18"/>
        <v>31516.657671651654</v>
      </c>
      <c r="W67">
        <f t="shared" si="18"/>
        <v>30598.69676859384</v>
      </c>
      <c r="X67">
        <f t="shared" si="18"/>
        <v>29707.472590867808</v>
      </c>
      <c r="Y67">
        <f t="shared" si="18"/>
        <v>28842.206398900787</v>
      </c>
      <c r="Z67">
        <f t="shared" si="18"/>
        <v>28002.14213485513</v>
      </c>
    </row>
    <row r="68" spans="3:26" x14ac:dyDescent="0.25">
      <c r="C68" t="s">
        <v>110</v>
      </c>
      <c r="D68" s="1">
        <f>SUM(D67:H67)</f>
        <v>253095.91480279044</v>
      </c>
      <c r="E68" s="1">
        <f t="shared" ref="E68:O68" si="19">SUM(E67:I67)</f>
        <v>245724.18912892276</v>
      </c>
      <c r="F68" s="1">
        <f t="shared" si="19"/>
        <v>238567.17391157549</v>
      </c>
      <c r="G68" s="1">
        <f t="shared" si="19"/>
        <v>231618.61544813155</v>
      </c>
      <c r="H68" s="1">
        <f t="shared" si="19"/>
        <v>224872.44218265201</v>
      </c>
      <c r="I68" s="1">
        <f t="shared" si="19"/>
        <v>218322.75940063305</v>
      </c>
      <c r="J68" s="1">
        <f t="shared" si="19"/>
        <v>211963.84407828446</v>
      </c>
      <c r="K68" s="1">
        <f t="shared" si="19"/>
        <v>205790.13988182956</v>
      </c>
      <c r="L68" s="1">
        <f t="shared" si="19"/>
        <v>199796.25231245588</v>
      </c>
      <c r="M68" s="1">
        <f t="shared" si="19"/>
        <v>193976.94399267563</v>
      </c>
      <c r="N68" s="1">
        <f t="shared" si="19"/>
        <v>188327.13008997636</v>
      </c>
      <c r="O68" s="1">
        <f t="shared" si="19"/>
        <v>182841.87387376346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0"/>
  <sheetViews>
    <sheetView zoomScaleNormal="100" workbookViewId="0">
      <selection activeCell="D6" sqref="D6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103">
        <v>97226.00791038938</v>
      </c>
    </row>
    <row r="7" spans="3:15" x14ac:dyDescent="0.25">
      <c r="C7" s="102" t="s">
        <v>24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104">
        <v>9722.600791038938</v>
      </c>
    </row>
    <row r="8" spans="3:15" x14ac:dyDescent="0.25">
      <c r="C8" s="102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5">
        <v>106948.60870142831</v>
      </c>
    </row>
    <row r="9" spans="3:15" x14ac:dyDescent="0.25">
      <c r="C9" s="102" t="s">
        <v>84</v>
      </c>
      <c r="D9" s="79">
        <v>20</v>
      </c>
      <c r="E9" s="79">
        <v>20</v>
      </c>
      <c r="F9" s="79">
        <v>20</v>
      </c>
      <c r="G9" s="79">
        <v>20</v>
      </c>
      <c r="H9" s="79">
        <v>20</v>
      </c>
      <c r="I9" s="79">
        <v>20</v>
      </c>
      <c r="J9" s="79">
        <v>20</v>
      </c>
      <c r="K9" s="79">
        <v>20</v>
      </c>
      <c r="L9" s="79">
        <v>20</v>
      </c>
      <c r="M9" s="79">
        <v>20</v>
      </c>
      <c r="N9" s="79">
        <v>20</v>
      </c>
      <c r="O9" s="79">
        <v>20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5911.4793441891343</v>
      </c>
      <c r="E14" s="90">
        <v>5739.3003341642079</v>
      </c>
      <c r="F14" s="90">
        <v>5572.1362467613671</v>
      </c>
      <c r="G14" s="90">
        <v>5409.8410162731716</v>
      </c>
      <c r="H14" s="94">
        <v>5252.2728313331763</v>
      </c>
      <c r="I14" s="94">
        <v>5099.2940110030841</v>
      </c>
      <c r="J14" s="94">
        <v>4950.7708844690133</v>
      </c>
      <c r="K14" s="95">
        <v>4806.5736742417603</v>
      </c>
      <c r="L14" s="95">
        <v>4666.5763827589908</v>
      </c>
      <c r="M14" s="95">
        <v>4530.6566822902832</v>
      </c>
      <c r="N14" s="95">
        <v>4398.6958080488184</v>
      </c>
      <c r="O14" s="95">
        <v>4270.5784544163289</v>
      </c>
    </row>
    <row r="15" spans="3:15" x14ac:dyDescent="0.25">
      <c r="C15" s="102" t="s">
        <v>89</v>
      </c>
      <c r="D15" s="79">
        <f>2*300+3*100</f>
        <v>900</v>
      </c>
      <c r="E15" s="90">
        <f>D15*(1-$D$13)</f>
        <v>873</v>
      </c>
      <c r="F15" s="90">
        <f t="shared" ref="F15:O15" si="0">E15*(1-$D$13)</f>
        <v>846.81</v>
      </c>
      <c r="G15" s="90">
        <f t="shared" si="0"/>
        <v>821.40569999999991</v>
      </c>
      <c r="H15" s="94">
        <f t="shared" si="0"/>
        <v>796.76352899999983</v>
      </c>
      <c r="I15" s="94">
        <f t="shared" si="0"/>
        <v>772.86062312999979</v>
      </c>
      <c r="J15" s="94">
        <f t="shared" si="0"/>
        <v>749.67480443609975</v>
      </c>
      <c r="K15" s="95">
        <f t="shared" si="0"/>
        <v>727.18456030301672</v>
      </c>
      <c r="L15" s="95">
        <f t="shared" si="0"/>
        <v>705.36902349392619</v>
      </c>
      <c r="M15" s="95">
        <f t="shared" si="0"/>
        <v>684.20795278910839</v>
      </c>
      <c r="N15" s="95">
        <f t="shared" si="0"/>
        <v>663.68171420543513</v>
      </c>
      <c r="O15" s="95">
        <f t="shared" si="0"/>
        <v>643.77126277927209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95">
        <f t="shared" si="1"/>
        <v>14583.901186558407</v>
      </c>
    </row>
    <row r="19" spans="3:15" x14ac:dyDescent="0.25">
      <c r="C19" s="109" t="s">
        <v>93</v>
      </c>
      <c r="D19" s="70">
        <f>D8+D14+D15+D16+D17-D18</f>
        <v>191471.90438497512</v>
      </c>
      <c r="E19" s="90">
        <f t="shared" ref="E19:O19" si="2">E8+E14+E15+E16+E17-E18</f>
        <v>180133.1850825001</v>
      </c>
      <c r="F19" s="90">
        <f t="shared" si="2"/>
        <v>185610.54899595483</v>
      </c>
      <c r="G19" s="90">
        <f t="shared" si="2"/>
        <v>175268.41089024738</v>
      </c>
      <c r="H19" s="94">
        <f t="shared" si="2"/>
        <v>165867.71088846348</v>
      </c>
      <c r="I19" s="94">
        <f t="shared" si="2"/>
        <v>154300.52205622592</v>
      </c>
      <c r="J19" s="94">
        <f t="shared" si="2"/>
        <v>143587.76381814605</v>
      </c>
      <c r="K19" s="95">
        <f t="shared" si="2"/>
        <v>133652.24569204604</v>
      </c>
      <c r="L19" s="95">
        <f t="shared" si="2"/>
        <v>124424.25583377774</v>
      </c>
      <c r="M19" s="95">
        <f t="shared" si="2"/>
        <v>115840.82017697429</v>
      </c>
      <c r="N19" s="95">
        <f t="shared" si="2"/>
        <v>107845.03545479955</v>
      </c>
      <c r="O19" s="95">
        <f t="shared" si="2"/>
        <v>100385.46872144019</v>
      </c>
    </row>
    <row r="22" spans="3:15" x14ac:dyDescent="0.25">
      <c r="C22" s="131" t="s">
        <v>381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144616.66666666666</v>
      </c>
      <c r="E24" s="87">
        <v>145216.66666666666</v>
      </c>
      <c r="F24" s="87">
        <v>145828.66666666666</v>
      </c>
      <c r="G24" s="87">
        <v>146452.90666666665</v>
      </c>
      <c r="H24" s="88">
        <v>147089.63146666664</v>
      </c>
      <c r="I24" s="88">
        <v>147739.09076266666</v>
      </c>
      <c r="J24" s="88">
        <v>148401.53924458666</v>
      </c>
      <c r="K24" s="89">
        <v>149077.23669614506</v>
      </c>
      <c r="L24" s="89">
        <v>149766.44809673462</v>
      </c>
      <c r="M24" s="89">
        <v>150469.44372533596</v>
      </c>
      <c r="N24" s="89">
        <v>151186.49926650935</v>
      </c>
      <c r="O24" s="107">
        <v>151917.8959185062</v>
      </c>
    </row>
    <row r="25" spans="3:15" x14ac:dyDescent="0.25">
      <c r="C25" s="102" t="s">
        <v>24</v>
      </c>
      <c r="D25" s="117">
        <v>14461.666666666666</v>
      </c>
      <c r="E25" s="76">
        <v>14521.666666666666</v>
      </c>
      <c r="F25" s="76">
        <v>14582.866666666667</v>
      </c>
      <c r="G25" s="76">
        <v>14645.290666666666</v>
      </c>
      <c r="H25" s="77">
        <v>14708.963146666665</v>
      </c>
      <c r="I25" s="77">
        <v>14773.909076266667</v>
      </c>
      <c r="J25" s="77">
        <v>14840.153924458667</v>
      </c>
      <c r="K25" s="78">
        <v>14907.723669614506</v>
      </c>
      <c r="L25" s="78">
        <v>14976.644809673462</v>
      </c>
      <c r="M25" s="78">
        <v>15046.944372533597</v>
      </c>
      <c r="N25" s="78">
        <v>15118.649926650935</v>
      </c>
      <c r="O25" s="104">
        <v>15191.78959185062</v>
      </c>
    </row>
    <row r="26" spans="3:15" x14ac:dyDescent="0.25">
      <c r="C26" s="102" t="s">
        <v>48</v>
      </c>
      <c r="D26" s="93">
        <v>159078.33333333331</v>
      </c>
      <c r="E26" s="71">
        <v>159738.33333333331</v>
      </c>
      <c r="F26" s="71">
        <v>160411.53333333333</v>
      </c>
      <c r="G26" s="135">
        <v>161098.19733333332</v>
      </c>
      <c r="H26" s="72">
        <v>161798.59461333332</v>
      </c>
      <c r="I26" s="72">
        <v>162512.99983893332</v>
      </c>
      <c r="J26" s="72">
        <v>163241.69316904532</v>
      </c>
      <c r="K26" s="73">
        <v>163984.96036575956</v>
      </c>
      <c r="L26" s="73">
        <v>164743.09290640807</v>
      </c>
      <c r="M26" s="73">
        <v>165516.38809786955</v>
      </c>
      <c r="N26" s="73">
        <v>166305.14919316029</v>
      </c>
      <c r="O26" s="103">
        <v>167109.68551035682</v>
      </c>
    </row>
    <row r="27" spans="3:15" x14ac:dyDescent="0.25">
      <c r="C27" s="102" t="s">
        <v>84</v>
      </c>
      <c r="D27" s="79">
        <v>20</v>
      </c>
      <c r="E27" s="79">
        <v>20</v>
      </c>
      <c r="F27" s="79">
        <v>20</v>
      </c>
      <c r="G27" s="79">
        <v>20</v>
      </c>
      <c r="H27" s="79">
        <v>20</v>
      </c>
      <c r="I27" s="79">
        <v>20</v>
      </c>
      <c r="J27" s="79">
        <v>20</v>
      </c>
      <c r="K27" s="79">
        <v>20</v>
      </c>
      <c r="L27" s="79">
        <v>20</v>
      </c>
      <c r="M27" s="79">
        <v>20</v>
      </c>
      <c r="N27" s="79">
        <v>20</v>
      </c>
      <c r="O27" s="79">
        <v>20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92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25862.722130827457</v>
      </c>
      <c r="E32" s="71">
        <v>25109.438961968408</v>
      </c>
      <c r="F32" s="71">
        <v>24378.096079580977</v>
      </c>
      <c r="G32" s="80">
        <v>23668.054446195125</v>
      </c>
      <c r="H32" s="72">
        <v>22978.693637082648</v>
      </c>
      <c r="I32" s="72">
        <v>22309.411298138493</v>
      </c>
      <c r="J32" s="72">
        <v>21659.622619551938</v>
      </c>
      <c r="K32" s="73">
        <v>21028.759824807705</v>
      </c>
      <c r="L32" s="73">
        <v>20416.271674570584</v>
      </c>
      <c r="M32" s="73">
        <v>19821.622985019985</v>
      </c>
      <c r="N32" s="73">
        <v>19244.294160213576</v>
      </c>
      <c r="O32" s="103">
        <v>18683.780738071433</v>
      </c>
    </row>
    <row r="33" spans="3:15" x14ac:dyDescent="0.25">
      <c r="C33" s="102" t="s">
        <v>89</v>
      </c>
      <c r="D33" s="70">
        <f>6*600+5*1200</f>
        <v>9600</v>
      </c>
      <c r="E33" s="71">
        <f>D33*(1-$D$31)</f>
        <v>9312</v>
      </c>
      <c r="F33" s="71">
        <f t="shared" ref="F33:O33" si="3">E33*(1-$D$31)</f>
        <v>9032.64</v>
      </c>
      <c r="G33" s="80">
        <f t="shared" si="3"/>
        <v>8761.6607999999997</v>
      </c>
      <c r="H33" s="72">
        <f t="shared" si="3"/>
        <v>8498.8109759999988</v>
      </c>
      <c r="I33" s="72">
        <f t="shared" si="3"/>
        <v>8243.8466467199978</v>
      </c>
      <c r="J33" s="72">
        <f t="shared" si="3"/>
        <v>7996.5312473183976</v>
      </c>
      <c r="K33" s="73">
        <f t="shared" si="3"/>
        <v>7756.6353098988457</v>
      </c>
      <c r="L33" s="73">
        <f t="shared" si="3"/>
        <v>7523.9362506018797</v>
      </c>
      <c r="M33" s="73">
        <f t="shared" si="3"/>
        <v>7298.2181630838231</v>
      </c>
      <c r="N33" s="73">
        <f t="shared" si="3"/>
        <v>7079.2716181913083</v>
      </c>
      <c r="O33" s="103">
        <f t="shared" si="3"/>
        <v>6866.893469645569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50615.833333333328</v>
      </c>
      <c r="E36" s="71">
        <f t="shared" ref="E36:O36" si="5">0.35*E24</f>
        <v>50825.833333333328</v>
      </c>
      <c r="F36" s="71">
        <f t="shared" si="5"/>
        <v>51040.033333333326</v>
      </c>
      <c r="G36" s="80">
        <f t="shared" si="5"/>
        <v>51258.517333333322</v>
      </c>
      <c r="H36" s="72">
        <f t="shared" si="5"/>
        <v>51481.371013333322</v>
      </c>
      <c r="I36" s="72">
        <f t="shared" si="5"/>
        <v>51708.681766933325</v>
      </c>
      <c r="J36" s="72">
        <f t="shared" si="5"/>
        <v>51940.538735605325</v>
      </c>
      <c r="K36" s="73">
        <f t="shared" si="5"/>
        <v>52177.03284365077</v>
      </c>
      <c r="L36" s="73">
        <f t="shared" si="5"/>
        <v>52418.256833857115</v>
      </c>
      <c r="M36" s="73">
        <f t="shared" si="5"/>
        <v>52664.305303867586</v>
      </c>
      <c r="N36" s="73">
        <f t="shared" si="5"/>
        <v>52915.274743278271</v>
      </c>
      <c r="O36" s="103">
        <f t="shared" si="5"/>
        <v>53171.263571477168</v>
      </c>
    </row>
    <row r="37" spans="3:15" x14ac:dyDescent="0.25">
      <c r="C37" s="109" t="s">
        <v>93</v>
      </c>
      <c r="D37" s="79">
        <f>D26+D32+D33+D34-D36</f>
        <v>172846.35395171359</v>
      </c>
      <c r="E37" s="71">
        <f t="shared" ref="E37:O37" si="6">E26+E32+E33+E34-E36</f>
        <v>171412.70772011031</v>
      </c>
      <c r="F37" s="71">
        <f t="shared" si="6"/>
        <v>170043.17662146632</v>
      </c>
      <c r="G37" s="80">
        <f t="shared" si="6"/>
        <v>168736.32781113236</v>
      </c>
      <c r="H37" s="72">
        <f t="shared" si="6"/>
        <v>167490.7792470023</v>
      </c>
      <c r="I37" s="72">
        <f t="shared" si="6"/>
        <v>163499.67885911537</v>
      </c>
      <c r="J37" s="72">
        <f t="shared" si="6"/>
        <v>159648.97600503056</v>
      </c>
      <c r="K37" s="73">
        <f t="shared" si="6"/>
        <v>155935.05333480093</v>
      </c>
      <c r="L37" s="73">
        <f t="shared" si="6"/>
        <v>152354.40863033559</v>
      </c>
      <c r="M37" s="73">
        <f t="shared" si="6"/>
        <v>148903.65163746223</v>
      </c>
      <c r="N37" s="73">
        <f t="shared" si="6"/>
        <v>145579.50099426886</v>
      </c>
      <c r="O37" s="103">
        <f t="shared" si="6"/>
        <v>142378.78125299167</v>
      </c>
    </row>
    <row r="39" spans="3:15" x14ac:dyDescent="0.25">
      <c r="C39" t="s">
        <v>323</v>
      </c>
      <c r="D39" s="30">
        <f>D19-D37</f>
        <v>18625.550433261524</v>
      </c>
      <c r="E39" s="30">
        <f t="shared" ref="E39:O39" si="7">E19-E37</f>
        <v>8720.4773623897927</v>
      </c>
      <c r="F39" s="30">
        <f t="shared" si="7"/>
        <v>15567.372374488506</v>
      </c>
      <c r="G39" s="30">
        <f t="shared" si="7"/>
        <v>6532.083079115022</v>
      </c>
      <c r="H39" s="30">
        <f t="shared" si="7"/>
        <v>-1623.0683585388178</v>
      </c>
      <c r="I39" s="30">
        <f t="shared" si="7"/>
        <v>-9199.1568028894544</v>
      </c>
      <c r="J39" s="30">
        <f t="shared" si="7"/>
        <v>-16061.212186884513</v>
      </c>
      <c r="K39" s="30">
        <f t="shared" si="7"/>
        <v>-22282.807642754895</v>
      </c>
      <c r="L39" s="30">
        <f t="shared" si="7"/>
        <v>-27930.152796557843</v>
      </c>
      <c r="M39" s="30">
        <f t="shared" si="7"/>
        <v>-33062.831460487942</v>
      </c>
      <c r="N39" s="30">
        <f t="shared" si="7"/>
        <v>-37734.465539469311</v>
      </c>
      <c r="O39" s="30">
        <f t="shared" si="7"/>
        <v>-41993.312531551477</v>
      </c>
    </row>
    <row r="50" spans="3:26" x14ac:dyDescent="0.25">
      <c r="D50">
        <v>2019</v>
      </c>
      <c r="E50">
        <v>2020</v>
      </c>
      <c r="F50">
        <v>2021</v>
      </c>
      <c r="G50">
        <v>2022</v>
      </c>
      <c r="H50">
        <v>2023</v>
      </c>
      <c r="I50">
        <v>2024</v>
      </c>
      <c r="J50">
        <v>2025</v>
      </c>
      <c r="K50">
        <v>2026</v>
      </c>
      <c r="L50">
        <v>2027</v>
      </c>
      <c r="M50">
        <v>2028</v>
      </c>
      <c r="N50">
        <v>2029</v>
      </c>
      <c r="O50">
        <v>2030</v>
      </c>
      <c r="P50">
        <v>2031</v>
      </c>
      <c r="Q50">
        <v>2032</v>
      </c>
      <c r="R50">
        <v>2033</v>
      </c>
      <c r="S50">
        <v>2034</v>
      </c>
      <c r="T50">
        <v>2035</v>
      </c>
      <c r="U50">
        <v>2036</v>
      </c>
      <c r="V50">
        <v>2037</v>
      </c>
      <c r="W50">
        <v>2038</v>
      </c>
      <c r="X50">
        <v>2039</v>
      </c>
      <c r="Y50">
        <v>2040</v>
      </c>
      <c r="Z50">
        <v>2041</v>
      </c>
    </row>
    <row r="51" spans="3:26" x14ac:dyDescent="0.25">
      <c r="C51" t="s">
        <v>98</v>
      </c>
      <c r="D51">
        <f>20*365</f>
        <v>7300</v>
      </c>
      <c r="E51">
        <f t="shared" ref="E51:Z51" si="8">20*365</f>
        <v>7300</v>
      </c>
      <c r="F51">
        <f t="shared" si="8"/>
        <v>7300</v>
      </c>
      <c r="G51">
        <f t="shared" si="8"/>
        <v>7300</v>
      </c>
      <c r="H51">
        <f t="shared" si="8"/>
        <v>7300</v>
      </c>
      <c r="I51">
        <f t="shared" si="8"/>
        <v>7300</v>
      </c>
      <c r="J51">
        <f t="shared" si="8"/>
        <v>7300</v>
      </c>
      <c r="K51">
        <f t="shared" si="8"/>
        <v>7300</v>
      </c>
      <c r="L51">
        <f t="shared" si="8"/>
        <v>7300</v>
      </c>
      <c r="M51">
        <f t="shared" si="8"/>
        <v>7300</v>
      </c>
      <c r="N51">
        <f t="shared" si="8"/>
        <v>7300</v>
      </c>
      <c r="O51">
        <f t="shared" si="8"/>
        <v>7300</v>
      </c>
      <c r="P51">
        <f t="shared" si="8"/>
        <v>7300</v>
      </c>
      <c r="Q51">
        <f t="shared" si="8"/>
        <v>7300</v>
      </c>
      <c r="R51">
        <f t="shared" si="8"/>
        <v>7300</v>
      </c>
      <c r="S51">
        <f t="shared" si="8"/>
        <v>7300</v>
      </c>
      <c r="T51">
        <f t="shared" si="8"/>
        <v>7300</v>
      </c>
      <c r="U51">
        <f t="shared" si="8"/>
        <v>7300</v>
      </c>
      <c r="V51">
        <f t="shared" si="8"/>
        <v>7300</v>
      </c>
      <c r="W51">
        <f t="shared" si="8"/>
        <v>7300</v>
      </c>
      <c r="X51">
        <f t="shared" si="8"/>
        <v>7300</v>
      </c>
      <c r="Y51">
        <f t="shared" si="8"/>
        <v>7300</v>
      </c>
      <c r="Z51">
        <f t="shared" si="8"/>
        <v>7300</v>
      </c>
    </row>
    <row r="52" spans="3:26" x14ac:dyDescent="0.25">
      <c r="C52" t="s">
        <v>99</v>
      </c>
      <c r="D52" s="30">
        <f>($D$11/100)*D51</f>
        <v>1022.0000000000001</v>
      </c>
      <c r="E52" s="30">
        <f t="shared" ref="E52:Z52" si="9">($D$11/100)*E51</f>
        <v>1022.0000000000001</v>
      </c>
      <c r="F52" s="30">
        <f t="shared" si="9"/>
        <v>1022.0000000000001</v>
      </c>
      <c r="G52" s="30">
        <f t="shared" si="9"/>
        <v>1022.0000000000001</v>
      </c>
      <c r="H52" s="30">
        <f t="shared" si="9"/>
        <v>1022.0000000000001</v>
      </c>
      <c r="I52" s="30">
        <f t="shared" si="9"/>
        <v>1022.0000000000001</v>
      </c>
      <c r="J52" s="30">
        <f t="shared" si="9"/>
        <v>1022.0000000000001</v>
      </c>
      <c r="K52" s="30">
        <f t="shared" si="9"/>
        <v>1022.0000000000001</v>
      </c>
      <c r="L52" s="30">
        <f t="shared" si="9"/>
        <v>1022.0000000000001</v>
      </c>
      <c r="M52" s="30">
        <f t="shared" si="9"/>
        <v>1022.0000000000001</v>
      </c>
      <c r="N52" s="30">
        <f t="shared" si="9"/>
        <v>1022.0000000000001</v>
      </c>
      <c r="O52" s="30">
        <f t="shared" si="9"/>
        <v>1022.0000000000001</v>
      </c>
      <c r="P52" s="30">
        <f t="shared" si="9"/>
        <v>1022.0000000000001</v>
      </c>
      <c r="Q52" s="30">
        <f t="shared" si="9"/>
        <v>1022.0000000000001</v>
      </c>
      <c r="R52" s="30">
        <f t="shared" si="9"/>
        <v>1022.0000000000001</v>
      </c>
      <c r="S52" s="30">
        <f t="shared" si="9"/>
        <v>1022.0000000000001</v>
      </c>
      <c r="T52" s="30">
        <f t="shared" si="9"/>
        <v>1022.0000000000001</v>
      </c>
      <c r="U52" s="30">
        <f t="shared" si="9"/>
        <v>1022.0000000000001</v>
      </c>
      <c r="V52" s="30">
        <f t="shared" si="9"/>
        <v>1022.0000000000001</v>
      </c>
      <c r="W52" s="30">
        <f t="shared" si="9"/>
        <v>1022.0000000000001</v>
      </c>
      <c r="X52" s="30">
        <f t="shared" si="9"/>
        <v>1022.0000000000001</v>
      </c>
      <c r="Y52" s="30">
        <f t="shared" si="9"/>
        <v>1022.0000000000001</v>
      </c>
      <c r="Z52" s="30">
        <f t="shared" si="9"/>
        <v>1022.0000000000001</v>
      </c>
    </row>
    <row r="53" spans="3:26" x14ac:dyDescent="0.25">
      <c r="C53" t="s">
        <v>101</v>
      </c>
      <c r="D53" s="1">
        <f>D52*$D$12</f>
        <v>817.60000000000014</v>
      </c>
      <c r="E53" s="1">
        <f t="shared" ref="E53:Z53" si="10">E52*$D$12</f>
        <v>817.60000000000014</v>
      </c>
      <c r="F53" s="1">
        <f t="shared" si="10"/>
        <v>817.60000000000014</v>
      </c>
      <c r="G53" s="1">
        <f t="shared" si="10"/>
        <v>817.60000000000014</v>
      </c>
      <c r="H53" s="1">
        <f t="shared" si="10"/>
        <v>817.60000000000014</v>
      </c>
      <c r="I53" s="1">
        <f t="shared" si="10"/>
        <v>817.60000000000014</v>
      </c>
      <c r="J53" s="1">
        <f t="shared" si="10"/>
        <v>817.60000000000014</v>
      </c>
      <c r="K53" s="1">
        <f t="shared" si="10"/>
        <v>817.60000000000014</v>
      </c>
      <c r="L53" s="1">
        <f t="shared" si="10"/>
        <v>817.60000000000014</v>
      </c>
      <c r="M53" s="1">
        <f t="shared" si="10"/>
        <v>817.60000000000014</v>
      </c>
      <c r="N53" s="1">
        <f t="shared" si="10"/>
        <v>817.60000000000014</v>
      </c>
      <c r="O53" s="1">
        <f t="shared" si="10"/>
        <v>817.60000000000014</v>
      </c>
      <c r="P53" s="1">
        <f t="shared" si="10"/>
        <v>817.60000000000014</v>
      </c>
      <c r="Q53" s="1">
        <f t="shared" si="10"/>
        <v>817.60000000000014</v>
      </c>
      <c r="R53" s="1">
        <f t="shared" si="10"/>
        <v>817.60000000000014</v>
      </c>
      <c r="S53" s="1">
        <f t="shared" si="10"/>
        <v>817.60000000000014</v>
      </c>
      <c r="T53" s="1">
        <f t="shared" si="10"/>
        <v>817.60000000000014</v>
      </c>
      <c r="U53" s="1">
        <f t="shared" si="10"/>
        <v>817.60000000000014</v>
      </c>
      <c r="V53" s="1">
        <f t="shared" si="10"/>
        <v>817.60000000000014</v>
      </c>
      <c r="W53" s="1">
        <f t="shared" si="10"/>
        <v>817.60000000000014</v>
      </c>
      <c r="X53" s="1">
        <f t="shared" si="10"/>
        <v>817.60000000000014</v>
      </c>
      <c r="Y53" s="1">
        <f t="shared" si="10"/>
        <v>817.60000000000014</v>
      </c>
      <c r="Z53" s="1">
        <f t="shared" si="10"/>
        <v>817.60000000000014</v>
      </c>
    </row>
    <row r="54" spans="3:26" x14ac:dyDescent="0.25">
      <c r="C54" t="s">
        <v>100</v>
      </c>
      <c r="D54">
        <f>D53/(1+$D$13)^(D50-2019)</f>
        <v>817.60000000000014</v>
      </c>
      <c r="E54">
        <f t="shared" ref="E54:Z54" si="11">E53/(1+$D$13)^(E50-2019)</f>
        <v>793.78640776699035</v>
      </c>
      <c r="F54">
        <f t="shared" si="11"/>
        <v>770.66641530775769</v>
      </c>
      <c r="G54">
        <f t="shared" si="11"/>
        <v>748.2198206871434</v>
      </c>
      <c r="H54">
        <f t="shared" si="11"/>
        <v>726.42701037586744</v>
      </c>
      <c r="I54">
        <f t="shared" si="11"/>
        <v>705.26894211249271</v>
      </c>
      <c r="J54">
        <f t="shared" si="11"/>
        <v>684.72712826455597</v>
      </c>
      <c r="K54">
        <f t="shared" si="11"/>
        <v>664.78361967432613</v>
      </c>
      <c r="L54">
        <f t="shared" si="11"/>
        <v>645.42098997507401</v>
      </c>
      <c r="M54">
        <f t="shared" si="11"/>
        <v>626.62232036414946</v>
      </c>
      <c r="N54">
        <f t="shared" si="11"/>
        <v>608.37118481956259</v>
      </c>
      <c r="O54">
        <f t="shared" si="11"/>
        <v>590.65163574714813</v>
      </c>
      <c r="P54">
        <f t="shared" si="11"/>
        <v>573.44819004577494</v>
      </c>
      <c r="Q54">
        <f t="shared" si="11"/>
        <v>556.74581557842237</v>
      </c>
      <c r="R54">
        <f t="shared" si="11"/>
        <v>540.52991803730322</v>
      </c>
      <c r="S54">
        <f t="shared" si="11"/>
        <v>524.78632819155644</v>
      </c>
      <c r="T54">
        <f t="shared" si="11"/>
        <v>509.50128950636559</v>
      </c>
      <c r="U54">
        <f t="shared" si="11"/>
        <v>494.66144612268505</v>
      </c>
      <c r="V54">
        <f t="shared" si="11"/>
        <v>480.25383118707282</v>
      </c>
      <c r="W54">
        <f t="shared" si="11"/>
        <v>466.26585552142996</v>
      </c>
      <c r="X54">
        <f t="shared" si="11"/>
        <v>452.68529662274756</v>
      </c>
      <c r="Y54">
        <f t="shared" si="11"/>
        <v>439.50028798325008</v>
      </c>
      <c r="Z54">
        <f t="shared" si="11"/>
        <v>426.69930872160199</v>
      </c>
    </row>
    <row r="55" spans="3:26" x14ac:dyDescent="0.25">
      <c r="C55" t="s">
        <v>102</v>
      </c>
      <c r="D55">
        <f>SUM(D54:K54)</f>
        <v>5911.4793441891343</v>
      </c>
      <c r="E55">
        <f>SUM(E54:L54)</f>
        <v>5739.3003341642079</v>
      </c>
      <c r="F55">
        <f t="shared" ref="F55:O55" si="12">SUM(F54:M54)</f>
        <v>5572.1362467613671</v>
      </c>
      <c r="G55">
        <f t="shared" si="12"/>
        <v>5409.8410162731716</v>
      </c>
      <c r="H55">
        <f t="shared" si="12"/>
        <v>5252.2728313331763</v>
      </c>
      <c r="I55">
        <f t="shared" si="12"/>
        <v>5099.2940110030841</v>
      </c>
      <c r="J55">
        <f t="shared" si="12"/>
        <v>4950.7708844690133</v>
      </c>
      <c r="K55">
        <f t="shared" si="12"/>
        <v>4806.5736742417603</v>
      </c>
      <c r="L55">
        <f t="shared" si="12"/>
        <v>4666.5763827589908</v>
      </c>
      <c r="M55">
        <f t="shared" si="12"/>
        <v>4530.6566822902832</v>
      </c>
      <c r="N55">
        <f t="shared" si="12"/>
        <v>4398.6958080488184</v>
      </c>
      <c r="O55">
        <f t="shared" si="12"/>
        <v>4270.5784544163289</v>
      </c>
    </row>
    <row r="57" spans="3:26" x14ac:dyDescent="0.25">
      <c r="C57" t="s">
        <v>103</v>
      </c>
      <c r="D57">
        <f>27*300+27*100</f>
        <v>10800</v>
      </c>
    </row>
    <row r="61" spans="3:26" x14ac:dyDescent="0.25">
      <c r="C61" t="s">
        <v>104</v>
      </c>
      <c r="D61">
        <v>4300</v>
      </c>
      <c r="E61">
        <v>4300</v>
      </c>
      <c r="F61">
        <v>4300</v>
      </c>
      <c r="G61">
        <v>4300</v>
      </c>
      <c r="H61">
        <v>4300</v>
      </c>
      <c r="I61">
        <v>4300</v>
      </c>
      <c r="J61">
        <v>4300</v>
      </c>
      <c r="K61">
        <v>4300</v>
      </c>
      <c r="L61">
        <v>4300</v>
      </c>
      <c r="M61">
        <v>4300</v>
      </c>
      <c r="N61">
        <v>4300</v>
      </c>
      <c r="O61">
        <v>4300</v>
      </c>
      <c r="P61">
        <v>4300</v>
      </c>
      <c r="Q61">
        <v>4300</v>
      </c>
      <c r="R61">
        <v>4300</v>
      </c>
      <c r="S61">
        <v>4300</v>
      </c>
      <c r="T61">
        <v>4300</v>
      </c>
      <c r="U61">
        <v>4300</v>
      </c>
      <c r="V61">
        <v>4300</v>
      </c>
      <c r="W61">
        <v>4300</v>
      </c>
      <c r="X61">
        <v>4300</v>
      </c>
      <c r="Y61">
        <v>4300</v>
      </c>
      <c r="Z61">
        <v>4300</v>
      </c>
    </row>
    <row r="62" spans="3:26" x14ac:dyDescent="0.25">
      <c r="C62" t="s">
        <v>105</v>
      </c>
      <c r="D62">
        <f>D61/(1+0.03)^(D50-2019)</f>
        <v>4300</v>
      </c>
      <c r="E62">
        <f t="shared" ref="E62:O62" si="13">E61/(1+0.03)^(E50-2019)</f>
        <v>4174.7572815533977</v>
      </c>
      <c r="F62">
        <f t="shared" si="13"/>
        <v>4053.162409275144</v>
      </c>
      <c r="G62">
        <f t="shared" si="13"/>
        <v>3935.1091352185863</v>
      </c>
      <c r="H62">
        <f t="shared" si="13"/>
        <v>3820.4943060374626</v>
      </c>
      <c r="I62">
        <f t="shared" si="13"/>
        <v>3709.2177728519055</v>
      </c>
      <c r="J62">
        <f t="shared" si="13"/>
        <v>3601.1823037397139</v>
      </c>
      <c r="K62">
        <f t="shared" si="13"/>
        <v>3496.2934987764211</v>
      </c>
      <c r="L62">
        <f t="shared" si="13"/>
        <v>3394.4597075499237</v>
      </c>
      <c r="M62">
        <f t="shared" si="13"/>
        <v>3295.5919490775959</v>
      </c>
      <c r="N62">
        <f t="shared" si="13"/>
        <v>3199.6038340559185</v>
      </c>
      <c r="O62">
        <f t="shared" si="13"/>
        <v>3106.4114893746778</v>
      </c>
    </row>
    <row r="63" spans="3:26" x14ac:dyDescent="0.25">
      <c r="C63" t="s">
        <v>106</v>
      </c>
      <c r="D63" s="145">
        <f>SUM(D62:K62)</f>
        <v>31090.216707452633</v>
      </c>
      <c r="E63" s="145">
        <f>SUM(E62:L62)</f>
        <v>30184.676415002552</v>
      </c>
      <c r="F63" s="145">
        <f>SUM(F62:M62)</f>
        <v>29305.511082526751</v>
      </c>
      <c r="G63" s="145">
        <f t="shared" ref="G63:O63" si="14">SUM(G62:N62)</f>
        <v>28451.952507307524</v>
      </c>
      <c r="H63" s="145">
        <f t="shared" si="14"/>
        <v>27623.254861463614</v>
      </c>
      <c r="I63" s="145">
        <f t="shared" si="14"/>
        <v>23802.760555426157</v>
      </c>
      <c r="J63" s="145">
        <f t="shared" si="14"/>
        <v>20093.542782574252</v>
      </c>
      <c r="K63" s="145">
        <f t="shared" si="14"/>
        <v>16492.360478834536</v>
      </c>
      <c r="L63" s="145">
        <f t="shared" si="14"/>
        <v>12996.066980058116</v>
      </c>
      <c r="M63" s="145">
        <f t="shared" si="14"/>
        <v>9601.6072725081922</v>
      </c>
      <c r="N63" s="145">
        <f t="shared" si="14"/>
        <v>6306.0153234305963</v>
      </c>
      <c r="O63" s="145">
        <f t="shared" si="14"/>
        <v>3106.4114893746778</v>
      </c>
    </row>
    <row r="66" spans="3:26" x14ac:dyDescent="0.25">
      <c r="C66" t="s">
        <v>98</v>
      </c>
      <c r="D66" s="30">
        <f>$D$9*365</f>
        <v>7300</v>
      </c>
      <c r="E66" s="30">
        <f t="shared" ref="E66:Z66" si="15">$D$9*365</f>
        <v>7300</v>
      </c>
      <c r="F66" s="30">
        <f t="shared" si="15"/>
        <v>7300</v>
      </c>
      <c r="G66" s="30">
        <f t="shared" si="15"/>
        <v>7300</v>
      </c>
      <c r="H66" s="30">
        <f t="shared" si="15"/>
        <v>7300</v>
      </c>
      <c r="I66" s="30">
        <f t="shared" si="15"/>
        <v>7300</v>
      </c>
      <c r="J66" s="30">
        <f t="shared" si="15"/>
        <v>7300</v>
      </c>
      <c r="K66" s="30">
        <f t="shared" si="15"/>
        <v>7300</v>
      </c>
      <c r="L66" s="30">
        <f t="shared" si="15"/>
        <v>7300</v>
      </c>
      <c r="M66" s="30">
        <f t="shared" si="15"/>
        <v>7300</v>
      </c>
      <c r="N66" s="30">
        <f t="shared" si="15"/>
        <v>7300</v>
      </c>
      <c r="O66" s="30">
        <f t="shared" si="15"/>
        <v>7300</v>
      </c>
      <c r="P66" s="30">
        <f t="shared" si="15"/>
        <v>7300</v>
      </c>
      <c r="Q66" s="30">
        <f t="shared" si="15"/>
        <v>7300</v>
      </c>
      <c r="R66" s="30">
        <f t="shared" si="15"/>
        <v>7300</v>
      </c>
      <c r="S66" s="30">
        <f t="shared" si="15"/>
        <v>7300</v>
      </c>
      <c r="T66" s="30">
        <f t="shared" si="15"/>
        <v>7300</v>
      </c>
      <c r="U66" s="30">
        <f t="shared" si="15"/>
        <v>7300</v>
      </c>
      <c r="V66" s="30">
        <f t="shared" si="15"/>
        <v>7300</v>
      </c>
      <c r="W66" s="30">
        <f t="shared" si="15"/>
        <v>7300</v>
      </c>
      <c r="X66" s="30">
        <f t="shared" si="15"/>
        <v>7300</v>
      </c>
      <c r="Y66" s="30">
        <f t="shared" si="15"/>
        <v>7300</v>
      </c>
      <c r="Z66" s="30">
        <f t="shared" si="15"/>
        <v>7300</v>
      </c>
    </row>
    <row r="67" spans="3:26" x14ac:dyDescent="0.25">
      <c r="C67" t="s">
        <v>107</v>
      </c>
      <c r="D67" s="30">
        <f>($D$29/100)*D66</f>
        <v>511.00000000000006</v>
      </c>
      <c r="E67" s="30">
        <f t="shared" ref="E67:Z67" si="16">($D$29/100)*E66</f>
        <v>511.00000000000006</v>
      </c>
      <c r="F67" s="30">
        <f t="shared" si="16"/>
        <v>511.00000000000006</v>
      </c>
      <c r="G67" s="30">
        <f t="shared" si="16"/>
        <v>511.00000000000006</v>
      </c>
      <c r="H67" s="30">
        <f t="shared" si="16"/>
        <v>511.00000000000006</v>
      </c>
      <c r="I67" s="30">
        <f t="shared" si="16"/>
        <v>511.00000000000006</v>
      </c>
      <c r="J67" s="30">
        <f t="shared" si="16"/>
        <v>511.00000000000006</v>
      </c>
      <c r="K67" s="30">
        <f t="shared" si="16"/>
        <v>511.00000000000006</v>
      </c>
      <c r="L67" s="30">
        <f t="shared" si="16"/>
        <v>511.00000000000006</v>
      </c>
      <c r="M67" s="30">
        <f t="shared" si="16"/>
        <v>511.00000000000006</v>
      </c>
      <c r="N67" s="30">
        <f t="shared" si="16"/>
        <v>511.00000000000006</v>
      </c>
      <c r="O67" s="30">
        <f t="shared" si="16"/>
        <v>511.00000000000006</v>
      </c>
      <c r="P67" s="30">
        <f t="shared" si="16"/>
        <v>511.00000000000006</v>
      </c>
      <c r="Q67" s="30">
        <f t="shared" si="16"/>
        <v>511.00000000000006</v>
      </c>
      <c r="R67" s="30">
        <f t="shared" si="16"/>
        <v>511.00000000000006</v>
      </c>
      <c r="S67" s="30">
        <f t="shared" si="16"/>
        <v>511.00000000000006</v>
      </c>
      <c r="T67" s="30">
        <f t="shared" si="16"/>
        <v>511.00000000000006</v>
      </c>
      <c r="U67" s="30">
        <f t="shared" si="16"/>
        <v>511.00000000000006</v>
      </c>
      <c r="V67" s="30">
        <f t="shared" si="16"/>
        <v>511.00000000000006</v>
      </c>
      <c r="W67" s="30">
        <f t="shared" si="16"/>
        <v>511.00000000000006</v>
      </c>
      <c r="X67" s="30">
        <f t="shared" si="16"/>
        <v>511.00000000000006</v>
      </c>
      <c r="Y67" s="30">
        <f t="shared" si="16"/>
        <v>511.00000000000006</v>
      </c>
      <c r="Z67" s="30">
        <f t="shared" si="16"/>
        <v>511.00000000000006</v>
      </c>
    </row>
    <row r="68" spans="3:26" x14ac:dyDescent="0.25">
      <c r="C68" t="s">
        <v>108</v>
      </c>
      <c r="D68">
        <f>D67*$D$30</f>
        <v>3577.0000000000005</v>
      </c>
      <c r="E68">
        <f t="shared" ref="E68:Z68" si="17">E67*$D$30</f>
        <v>3577.0000000000005</v>
      </c>
      <c r="F68">
        <f t="shared" si="17"/>
        <v>3577.0000000000005</v>
      </c>
      <c r="G68">
        <f t="shared" si="17"/>
        <v>3577.0000000000005</v>
      </c>
      <c r="H68">
        <f t="shared" si="17"/>
        <v>3577.0000000000005</v>
      </c>
      <c r="I68">
        <f t="shared" si="17"/>
        <v>3577.0000000000005</v>
      </c>
      <c r="J68">
        <f t="shared" si="17"/>
        <v>3577.0000000000005</v>
      </c>
      <c r="K68">
        <f t="shared" si="17"/>
        <v>3577.0000000000005</v>
      </c>
      <c r="L68">
        <f t="shared" si="17"/>
        <v>3577.0000000000005</v>
      </c>
      <c r="M68">
        <f t="shared" si="17"/>
        <v>3577.0000000000005</v>
      </c>
      <c r="N68">
        <f t="shared" si="17"/>
        <v>3577.0000000000005</v>
      </c>
      <c r="O68">
        <f t="shared" si="17"/>
        <v>3577.0000000000005</v>
      </c>
      <c r="P68">
        <f t="shared" si="17"/>
        <v>3577.0000000000005</v>
      </c>
      <c r="Q68">
        <f t="shared" si="17"/>
        <v>3577.0000000000005</v>
      </c>
      <c r="R68">
        <f t="shared" si="17"/>
        <v>3577.0000000000005</v>
      </c>
      <c r="S68">
        <f t="shared" si="17"/>
        <v>3577.0000000000005</v>
      </c>
      <c r="T68">
        <f t="shared" si="17"/>
        <v>3577.0000000000005</v>
      </c>
      <c r="U68">
        <f t="shared" si="17"/>
        <v>3577.0000000000005</v>
      </c>
      <c r="V68">
        <f t="shared" si="17"/>
        <v>3577.0000000000005</v>
      </c>
      <c r="W68">
        <f t="shared" si="17"/>
        <v>3577.0000000000005</v>
      </c>
      <c r="X68">
        <f t="shared" si="17"/>
        <v>3577.0000000000005</v>
      </c>
      <c r="Y68">
        <f t="shared" si="17"/>
        <v>3577.0000000000005</v>
      </c>
      <c r="Z68">
        <f t="shared" si="17"/>
        <v>3577.0000000000005</v>
      </c>
    </row>
    <row r="69" spans="3:26" x14ac:dyDescent="0.25">
      <c r="C69" t="s">
        <v>109</v>
      </c>
      <c r="D69">
        <f>D68/(1+$D$31)^(D50-2019)</f>
        <v>3577.0000000000005</v>
      </c>
      <c r="E69">
        <f t="shared" ref="E69:Z69" si="18">E68/(1+$D$31)^(E50-2019)</f>
        <v>3472.815533980583</v>
      </c>
      <c r="F69">
        <f t="shared" si="18"/>
        <v>3371.6655669714401</v>
      </c>
      <c r="G69">
        <f t="shared" si="18"/>
        <v>3273.4617155062524</v>
      </c>
      <c r="H69">
        <f t="shared" si="18"/>
        <v>3178.1181703944198</v>
      </c>
      <c r="I69">
        <f t="shared" si="18"/>
        <v>3085.5516217421555</v>
      </c>
      <c r="J69">
        <f t="shared" si="18"/>
        <v>2995.6811861574324</v>
      </c>
      <c r="K69">
        <f t="shared" si="18"/>
        <v>2908.428336075177</v>
      </c>
      <c r="L69">
        <f t="shared" si="18"/>
        <v>2823.7168311409487</v>
      </c>
      <c r="M69">
        <f t="shared" si="18"/>
        <v>2741.4726515931538</v>
      </c>
      <c r="N69">
        <f t="shared" si="18"/>
        <v>2661.6239335855862</v>
      </c>
      <c r="O69">
        <f t="shared" si="18"/>
        <v>2584.1009063937731</v>
      </c>
      <c r="P69">
        <f t="shared" si="18"/>
        <v>2508.8358314502657</v>
      </c>
      <c r="Q69">
        <f t="shared" si="18"/>
        <v>2435.7629431555979</v>
      </c>
      <c r="R69">
        <f t="shared" si="18"/>
        <v>2364.8183914132014</v>
      </c>
      <c r="S69">
        <f t="shared" si="18"/>
        <v>2295.9401858380593</v>
      </c>
      <c r="T69">
        <f t="shared" si="18"/>
        <v>2229.0681415903496</v>
      </c>
      <c r="U69">
        <f t="shared" si="18"/>
        <v>2164.143826786747</v>
      </c>
      <c r="V69">
        <f t="shared" si="18"/>
        <v>2101.1105114434436</v>
      </c>
      <c r="W69">
        <f t="shared" si="18"/>
        <v>2039.913117906256</v>
      </c>
      <c r="X69">
        <f t="shared" si="18"/>
        <v>1980.4981727245204</v>
      </c>
      <c r="Y69">
        <f t="shared" si="18"/>
        <v>1922.8137599267191</v>
      </c>
      <c r="Z69">
        <f t="shared" si="18"/>
        <v>1866.8094756570088</v>
      </c>
    </row>
    <row r="70" spans="3:26" x14ac:dyDescent="0.25">
      <c r="C70" t="s">
        <v>110</v>
      </c>
      <c r="D70" s="1">
        <f>SUM(D69:K69)</f>
        <v>25862.722130827457</v>
      </c>
      <c r="E70" s="1">
        <f t="shared" ref="E70:O70" si="19">SUM(E69:L69)</f>
        <v>25109.438961968408</v>
      </c>
      <c r="F70" s="1">
        <f t="shared" si="19"/>
        <v>24378.096079580977</v>
      </c>
      <c r="G70" s="1">
        <f t="shared" si="19"/>
        <v>23668.054446195125</v>
      </c>
      <c r="H70" s="1">
        <f t="shared" si="19"/>
        <v>22978.693637082648</v>
      </c>
      <c r="I70" s="1">
        <f t="shared" si="19"/>
        <v>22309.411298138493</v>
      </c>
      <c r="J70" s="1">
        <f t="shared" si="19"/>
        <v>21659.622619551938</v>
      </c>
      <c r="K70" s="1">
        <f t="shared" si="19"/>
        <v>21028.759824807705</v>
      </c>
      <c r="L70" s="1">
        <f t="shared" si="19"/>
        <v>20416.271674570584</v>
      </c>
      <c r="M70" s="1">
        <f t="shared" si="19"/>
        <v>19821.622985019985</v>
      </c>
      <c r="N70" s="1">
        <f t="shared" si="19"/>
        <v>19244.294160213576</v>
      </c>
      <c r="O70" s="1">
        <f t="shared" si="19"/>
        <v>18683.780738071433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68"/>
  <sheetViews>
    <sheetView topLeftCell="A16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55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98">
        <v>97226.00791038938</v>
      </c>
    </row>
    <row r="7" spans="3:15" x14ac:dyDescent="0.25">
      <c r="C7" s="243" t="s">
        <v>24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99">
        <v>9722.600791038938</v>
      </c>
    </row>
    <row r="8" spans="3:15" x14ac:dyDescent="0.25">
      <c r="C8" s="243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0">
        <v>106948.60870142831</v>
      </c>
    </row>
    <row r="9" spans="3:15" x14ac:dyDescent="0.25">
      <c r="C9" s="243" t="s">
        <v>84</v>
      </c>
      <c r="D9" s="79">
        <v>30</v>
      </c>
      <c r="E9" s="90">
        <v>30</v>
      </c>
      <c r="F9" s="90">
        <v>30</v>
      </c>
      <c r="G9" s="90">
        <v>30</v>
      </c>
      <c r="H9" s="94">
        <v>30</v>
      </c>
      <c r="I9" s="94">
        <v>30</v>
      </c>
      <c r="J9" s="94">
        <v>30</v>
      </c>
      <c r="K9" s="95">
        <v>30</v>
      </c>
      <c r="L9" s="95">
        <v>30</v>
      </c>
      <c r="M9" s="95">
        <v>30</v>
      </c>
      <c r="N9" s="95">
        <v>30</v>
      </c>
      <c r="O9" s="101">
        <v>30</v>
      </c>
    </row>
    <row r="10" spans="3:15" x14ac:dyDescent="0.25">
      <c r="C10" s="243" t="s">
        <v>94</v>
      </c>
      <c r="D10" s="79">
        <v>8</v>
      </c>
      <c r="E10" s="90">
        <v>8</v>
      </c>
      <c r="F10" s="90">
        <v>8</v>
      </c>
      <c r="G10" s="90">
        <v>8</v>
      </c>
      <c r="H10" s="94">
        <v>8</v>
      </c>
      <c r="I10" s="94">
        <v>8</v>
      </c>
      <c r="J10" s="94">
        <v>8</v>
      </c>
      <c r="K10" s="95">
        <v>8</v>
      </c>
      <c r="L10" s="95">
        <v>8</v>
      </c>
      <c r="M10" s="95">
        <v>8</v>
      </c>
      <c r="N10" s="95">
        <v>8</v>
      </c>
      <c r="O10" s="101">
        <v>8</v>
      </c>
    </row>
    <row r="11" spans="3:15" x14ac:dyDescent="0.25">
      <c r="C11" s="243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243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8867.2190162837032</v>
      </c>
      <c r="E14" s="90">
        <v>8608.9505012463123</v>
      </c>
      <c r="F14" s="90">
        <v>8358.2043701420516</v>
      </c>
      <c r="G14" s="90">
        <v>8114.7615244097597</v>
      </c>
      <c r="H14" s="94">
        <v>7878.4092469997668</v>
      </c>
      <c r="I14" s="94">
        <v>7648.9410165046274</v>
      </c>
      <c r="J14" s="94">
        <v>7426.1563267035217</v>
      </c>
      <c r="K14" s="95">
        <v>7209.8605113626427</v>
      </c>
      <c r="L14" s="95">
        <v>6999.864574138488</v>
      </c>
      <c r="M14" s="95">
        <v>6795.9850234354253</v>
      </c>
      <c r="N14" s="95">
        <v>6598.0437120732286</v>
      </c>
      <c r="O14" s="101">
        <v>6405.8676816244933</v>
      </c>
    </row>
    <row r="15" spans="3:15" x14ac:dyDescent="0.25">
      <c r="C15" s="243" t="s">
        <v>89</v>
      </c>
      <c r="D15" s="79">
        <f>4*300+4*100</f>
        <v>1600</v>
      </c>
      <c r="E15" s="90">
        <f>D15*(1-$D$13)</f>
        <v>1552</v>
      </c>
      <c r="F15" s="90">
        <f t="shared" ref="F15:O15" si="0">E15*(1-$D$13)</f>
        <v>1505.44</v>
      </c>
      <c r="G15" s="90">
        <f t="shared" si="0"/>
        <v>1460.2768000000001</v>
      </c>
      <c r="H15" s="94">
        <f t="shared" si="0"/>
        <v>1416.468496</v>
      </c>
      <c r="I15" s="94">
        <f t="shared" si="0"/>
        <v>1373.9744411199999</v>
      </c>
      <c r="J15" s="94">
        <f t="shared" si="0"/>
        <v>1332.7552078863998</v>
      </c>
      <c r="K15" s="95">
        <f t="shared" si="0"/>
        <v>1292.7725516498078</v>
      </c>
      <c r="L15" s="95">
        <f t="shared" si="0"/>
        <v>1253.9893751003135</v>
      </c>
      <c r="M15" s="95">
        <f t="shared" si="0"/>
        <v>1216.369693847304</v>
      </c>
      <c r="N15" s="95">
        <f t="shared" si="0"/>
        <v>1179.8786030318849</v>
      </c>
      <c r="O15" s="101">
        <f t="shared" si="0"/>
        <v>1144.4822449409285</v>
      </c>
    </row>
    <row r="16" spans="3:15" x14ac:dyDescent="0.25">
      <c r="C16" s="243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101">
        <f t="shared" si="1"/>
        <v>14583.901186558407</v>
      </c>
    </row>
    <row r="19" spans="3:15" x14ac:dyDescent="0.25">
      <c r="C19" s="244" t="s">
        <v>93</v>
      </c>
      <c r="D19" s="161">
        <f>D8+D14+D15+D16+D17-D18</f>
        <v>195127.64405706967</v>
      </c>
      <c r="E19" s="158">
        <f t="shared" ref="E19:O19" si="2">E8+E14+E15+E16+E17-E18</f>
        <v>183681.83524958222</v>
      </c>
      <c r="F19" s="158">
        <f t="shared" si="2"/>
        <v>189055.24711933552</v>
      </c>
      <c r="G19" s="158">
        <f t="shared" si="2"/>
        <v>178612.20249838397</v>
      </c>
      <c r="H19" s="159">
        <f t="shared" si="2"/>
        <v>169113.55227113006</v>
      </c>
      <c r="I19" s="159">
        <f t="shared" si="2"/>
        <v>157451.28287971747</v>
      </c>
      <c r="J19" s="159">
        <f t="shared" si="2"/>
        <v>146646.22966383086</v>
      </c>
      <c r="K19" s="162">
        <f t="shared" si="2"/>
        <v>136621.12052051371</v>
      </c>
      <c r="L19" s="162">
        <f t="shared" si="2"/>
        <v>127306.16437676363</v>
      </c>
      <c r="M19" s="162">
        <f t="shared" si="2"/>
        <v>118638.31025917764</v>
      </c>
      <c r="N19" s="162">
        <f t="shared" si="2"/>
        <v>110560.58024765042</v>
      </c>
      <c r="O19" s="172">
        <f t="shared" si="2"/>
        <v>103021.46893081001</v>
      </c>
    </row>
    <row r="20" spans="3:15" x14ac:dyDescent="0.25">
      <c r="C20" s="131" t="s">
        <v>378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237"/>
      <c r="D21" s="238">
        <v>2019</v>
      </c>
      <c r="E21" s="239">
        <v>2020</v>
      </c>
      <c r="F21" s="239">
        <v>2021</v>
      </c>
      <c r="G21" s="239">
        <v>2022</v>
      </c>
      <c r="H21" s="240">
        <v>2023</v>
      </c>
      <c r="I21" s="240">
        <v>2024</v>
      </c>
      <c r="J21" s="240">
        <v>2025</v>
      </c>
      <c r="K21" s="241">
        <v>2026</v>
      </c>
      <c r="L21" s="241">
        <v>2027</v>
      </c>
      <c r="M21" s="241">
        <v>2028</v>
      </c>
      <c r="N21" s="241">
        <v>2029</v>
      </c>
      <c r="O21" s="242">
        <v>2030</v>
      </c>
    </row>
    <row r="22" spans="3:15" x14ac:dyDescent="0.25">
      <c r="C22" s="243" t="s">
        <v>55</v>
      </c>
      <c r="D22" s="70">
        <v>144616.66666666666</v>
      </c>
      <c r="E22" s="87">
        <v>145216.66666666666</v>
      </c>
      <c r="F22" s="87">
        <v>145828.66666666666</v>
      </c>
      <c r="G22" s="87">
        <v>146452.90666666665</v>
      </c>
      <c r="H22" s="88">
        <v>147089.63146666664</v>
      </c>
      <c r="I22" s="88">
        <v>147739.09076266666</v>
      </c>
      <c r="J22" s="88">
        <v>148401.53924458666</v>
      </c>
      <c r="K22" s="89">
        <v>149077.23669614506</v>
      </c>
      <c r="L22" s="89">
        <v>149766.44809673462</v>
      </c>
      <c r="M22" s="89">
        <v>150469.44372533596</v>
      </c>
      <c r="N22" s="89">
        <v>151186.49926650935</v>
      </c>
      <c r="O22" s="245">
        <v>151917.8959185062</v>
      </c>
    </row>
    <row r="23" spans="3:15" x14ac:dyDescent="0.25">
      <c r="C23" s="243" t="s">
        <v>24</v>
      </c>
      <c r="D23" s="117">
        <v>14461.666666666666</v>
      </c>
      <c r="E23" s="76">
        <v>14521.666666666666</v>
      </c>
      <c r="F23" s="76">
        <v>14582.866666666667</v>
      </c>
      <c r="G23" s="76">
        <v>14645.290666666666</v>
      </c>
      <c r="H23" s="77">
        <v>14708.963146666665</v>
      </c>
      <c r="I23" s="77">
        <v>14773.909076266667</v>
      </c>
      <c r="J23" s="77">
        <v>14840.153924458667</v>
      </c>
      <c r="K23" s="78">
        <v>14907.723669614506</v>
      </c>
      <c r="L23" s="78">
        <v>14976.644809673462</v>
      </c>
      <c r="M23" s="78">
        <v>15046.944372533597</v>
      </c>
      <c r="N23" s="78">
        <v>15118.649926650935</v>
      </c>
      <c r="O23" s="99">
        <v>15191.78959185062</v>
      </c>
    </row>
    <row r="24" spans="3:15" x14ac:dyDescent="0.25">
      <c r="C24" s="243" t="s">
        <v>48</v>
      </c>
      <c r="D24" s="93">
        <v>159078.33333333331</v>
      </c>
      <c r="E24" s="71">
        <v>159738.33333333331</v>
      </c>
      <c r="F24" s="71">
        <v>160411.53333333333</v>
      </c>
      <c r="G24" s="135">
        <v>161098.19733333332</v>
      </c>
      <c r="H24" s="72">
        <v>161798.59461333332</v>
      </c>
      <c r="I24" s="72">
        <v>162512.99983893332</v>
      </c>
      <c r="J24" s="72">
        <v>163241.69316904532</v>
      </c>
      <c r="K24" s="73">
        <v>163984.96036575956</v>
      </c>
      <c r="L24" s="73">
        <v>164743.09290640807</v>
      </c>
      <c r="M24" s="73">
        <v>165516.38809786955</v>
      </c>
      <c r="N24" s="73">
        <v>166305.14919316029</v>
      </c>
      <c r="O24" s="98">
        <v>167109.68551035682</v>
      </c>
    </row>
    <row r="25" spans="3:15" x14ac:dyDescent="0.25">
      <c r="C25" s="243" t="s">
        <v>84</v>
      </c>
      <c r="D25" s="79">
        <v>30</v>
      </c>
      <c r="E25" s="71">
        <v>30</v>
      </c>
      <c r="F25" s="71">
        <v>30</v>
      </c>
      <c r="G25" s="135">
        <v>30</v>
      </c>
      <c r="H25" s="72">
        <v>30</v>
      </c>
      <c r="I25" s="72">
        <v>30</v>
      </c>
      <c r="J25" s="72">
        <v>30</v>
      </c>
      <c r="K25" s="73">
        <v>30</v>
      </c>
      <c r="L25" s="73">
        <v>30</v>
      </c>
      <c r="M25" s="73">
        <v>30</v>
      </c>
      <c r="N25" s="73">
        <v>30</v>
      </c>
      <c r="O25" s="98">
        <v>30</v>
      </c>
    </row>
    <row r="26" spans="3:15" x14ac:dyDescent="0.25">
      <c r="C26" s="243" t="s">
        <v>94</v>
      </c>
      <c r="D26" s="79">
        <v>8</v>
      </c>
      <c r="E26" s="71">
        <v>8</v>
      </c>
      <c r="F26" s="71">
        <v>8</v>
      </c>
      <c r="G26" s="135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98">
        <v>8</v>
      </c>
    </row>
    <row r="27" spans="3:15" x14ac:dyDescent="0.25">
      <c r="C27" s="243" t="s">
        <v>95</v>
      </c>
      <c r="D27" s="83">
        <v>7</v>
      </c>
      <c r="E27" s="71">
        <v>7</v>
      </c>
      <c r="F27" s="71">
        <v>7</v>
      </c>
      <c r="G27" s="135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98">
        <v>7</v>
      </c>
    </row>
    <row r="28" spans="3:15" x14ac:dyDescent="0.25">
      <c r="C28" s="243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98">
        <v>7</v>
      </c>
    </row>
    <row r="29" spans="3:15" x14ac:dyDescent="0.25">
      <c r="C29" s="243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246">
        <v>0.03</v>
      </c>
    </row>
    <row r="30" spans="3:15" x14ac:dyDescent="0.25">
      <c r="C30" s="243" t="s">
        <v>88</v>
      </c>
      <c r="D30" s="70">
        <v>38794.08319624119</v>
      </c>
      <c r="E30" s="71">
        <v>37664.158442952605</v>
      </c>
      <c r="F30" s="71">
        <v>36567.144119371471</v>
      </c>
      <c r="G30" s="80">
        <v>35502.081669292689</v>
      </c>
      <c r="H30" s="72">
        <v>34468.040455623974</v>
      </c>
      <c r="I30" s="72">
        <v>33464.116947207738</v>
      </c>
      <c r="J30" s="72">
        <v>32489.433929327904</v>
      </c>
      <c r="K30" s="73">
        <v>31543.139737211557</v>
      </c>
      <c r="L30" s="73">
        <v>30624.407511855879</v>
      </c>
      <c r="M30" s="73">
        <v>29732.434477529983</v>
      </c>
      <c r="N30" s="73">
        <v>28866.441240320371</v>
      </c>
      <c r="O30" s="98">
        <v>28025.671107107159</v>
      </c>
    </row>
    <row r="31" spans="3:15" x14ac:dyDescent="0.25">
      <c r="C31" s="243" t="s">
        <v>89</v>
      </c>
      <c r="D31" s="70">
        <f>9*600+8*1200</f>
        <v>15000</v>
      </c>
      <c r="E31" s="71">
        <f>D31*(1-$D$29)</f>
        <v>14550</v>
      </c>
      <c r="F31" s="71">
        <f t="shared" ref="F31:O31" si="3">E31*(1-$D$29)</f>
        <v>14113.5</v>
      </c>
      <c r="G31" s="80">
        <f t="shared" si="3"/>
        <v>13690.094999999999</v>
      </c>
      <c r="H31" s="72">
        <f t="shared" si="3"/>
        <v>13279.39215</v>
      </c>
      <c r="I31" s="72">
        <f t="shared" si="3"/>
        <v>12881.0103855</v>
      </c>
      <c r="J31" s="72">
        <f t="shared" si="3"/>
        <v>12494.580073935</v>
      </c>
      <c r="K31" s="73">
        <f t="shared" si="3"/>
        <v>12119.742671716949</v>
      </c>
      <c r="L31" s="73">
        <f t="shared" si="3"/>
        <v>11756.150391565441</v>
      </c>
      <c r="M31" s="73">
        <f t="shared" si="3"/>
        <v>11403.465879818477</v>
      </c>
      <c r="N31" s="73">
        <f t="shared" si="3"/>
        <v>11061.361903423922</v>
      </c>
      <c r="O31" s="98">
        <f t="shared" si="3"/>
        <v>10729.521046321204</v>
      </c>
    </row>
    <row r="32" spans="3:15" x14ac:dyDescent="0.25">
      <c r="C32" s="243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98">
        <v>2889.6851063950494</v>
      </c>
    </row>
    <row r="33" spans="3:26" x14ac:dyDescent="0.25">
      <c r="C33" s="243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98">
        <f t="shared" si="4"/>
        <v>257.50850511170893</v>
      </c>
    </row>
    <row r="34" spans="3:26" x14ac:dyDescent="0.25">
      <c r="C34" s="243" t="s">
        <v>87</v>
      </c>
      <c r="D34" s="79">
        <f>0.35*D22</f>
        <v>50615.833333333328</v>
      </c>
      <c r="E34" s="71">
        <f t="shared" ref="E34:O34" si="5">0.35*E22</f>
        <v>50825.833333333328</v>
      </c>
      <c r="F34" s="71">
        <f t="shared" si="5"/>
        <v>51040.033333333326</v>
      </c>
      <c r="G34" s="80">
        <f t="shared" si="5"/>
        <v>51258.517333333322</v>
      </c>
      <c r="H34" s="72">
        <f t="shared" si="5"/>
        <v>51481.371013333322</v>
      </c>
      <c r="I34" s="72">
        <f t="shared" si="5"/>
        <v>51708.681766933325</v>
      </c>
      <c r="J34" s="72">
        <f t="shared" si="5"/>
        <v>51940.538735605325</v>
      </c>
      <c r="K34" s="73">
        <f t="shared" si="5"/>
        <v>52177.03284365077</v>
      </c>
      <c r="L34" s="73">
        <f t="shared" si="5"/>
        <v>52418.256833857115</v>
      </c>
      <c r="M34" s="73">
        <f t="shared" si="5"/>
        <v>52664.305303867586</v>
      </c>
      <c r="N34" s="73">
        <f t="shared" si="5"/>
        <v>52915.274743278271</v>
      </c>
      <c r="O34" s="98">
        <f t="shared" si="5"/>
        <v>53171.263571477168</v>
      </c>
    </row>
    <row r="35" spans="3:26" x14ac:dyDescent="0.25">
      <c r="C35" s="244" t="s">
        <v>93</v>
      </c>
      <c r="D35" s="163">
        <f>D24+D30+D31+D32-D34</f>
        <v>191177.71501712734</v>
      </c>
      <c r="E35" s="164">
        <f t="shared" ref="E35:O35" si="6">E24+E30+E31+E32-E34</f>
        <v>189205.42720109451</v>
      </c>
      <c r="F35" s="164">
        <f t="shared" si="6"/>
        <v>187313.08466125684</v>
      </c>
      <c r="G35" s="165">
        <f t="shared" si="6"/>
        <v>185498.78923422995</v>
      </c>
      <c r="H35" s="166">
        <f t="shared" si="6"/>
        <v>183760.70723954361</v>
      </c>
      <c r="I35" s="166">
        <f t="shared" si="6"/>
        <v>179291.54824696464</v>
      </c>
      <c r="J35" s="166">
        <f t="shared" si="6"/>
        <v>174976.83614142315</v>
      </c>
      <c r="K35" s="167">
        <f t="shared" si="6"/>
        <v>170812.54060902289</v>
      </c>
      <c r="L35" s="167">
        <f t="shared" si="6"/>
        <v>166794.75860858447</v>
      </c>
      <c r="M35" s="167">
        <f t="shared" si="6"/>
        <v>162919.7108467069</v>
      </c>
      <c r="N35" s="167">
        <f t="shared" si="6"/>
        <v>159183.73835960822</v>
      </c>
      <c r="O35" s="247">
        <f t="shared" si="6"/>
        <v>155583.29919870305</v>
      </c>
    </row>
    <row r="37" spans="3:26" x14ac:dyDescent="0.25">
      <c r="C37" t="s">
        <v>325</v>
      </c>
      <c r="D37" s="30">
        <f t="shared" ref="D37:O37" si="7">D19-D35</f>
        <v>3949.9290399423335</v>
      </c>
      <c r="E37" s="30">
        <f t="shared" si="7"/>
        <v>-5523.5919515122951</v>
      </c>
      <c r="F37" s="30">
        <f t="shared" si="7"/>
        <v>1742.1624580786738</v>
      </c>
      <c r="G37" s="30">
        <f t="shared" si="7"/>
        <v>-6886.58673584598</v>
      </c>
      <c r="H37" s="30">
        <f t="shared" si="7"/>
        <v>-14647.154968413553</v>
      </c>
      <c r="I37" s="30">
        <f t="shared" si="7"/>
        <v>-21840.265367247164</v>
      </c>
      <c r="J37" s="30">
        <f t="shared" si="7"/>
        <v>-28330.606477592286</v>
      </c>
      <c r="K37" s="30">
        <f t="shared" si="7"/>
        <v>-34191.420088509185</v>
      </c>
      <c r="L37" s="30">
        <f t="shared" si="7"/>
        <v>-39488.59423182084</v>
      </c>
      <c r="M37" s="30">
        <f t="shared" si="7"/>
        <v>-44281.400587529264</v>
      </c>
      <c r="N37" s="30">
        <f t="shared" si="7"/>
        <v>-48623.158111957804</v>
      </c>
      <c r="O37" s="30">
        <f t="shared" si="7"/>
        <v>-52561.830267893049</v>
      </c>
    </row>
    <row r="48" spans="3:26" x14ac:dyDescent="0.25">
      <c r="D48">
        <v>2019</v>
      </c>
      <c r="E48">
        <v>2020</v>
      </c>
      <c r="F48">
        <v>2021</v>
      </c>
      <c r="G48">
        <v>2022</v>
      </c>
      <c r="H48">
        <v>2023</v>
      </c>
      <c r="I48">
        <v>2024</v>
      </c>
      <c r="J48">
        <v>2025</v>
      </c>
      <c r="K48">
        <v>2026</v>
      </c>
      <c r="L48">
        <v>2027</v>
      </c>
      <c r="M48">
        <v>2028</v>
      </c>
      <c r="N48">
        <v>2029</v>
      </c>
      <c r="O48">
        <v>2030</v>
      </c>
      <c r="P48">
        <v>2031</v>
      </c>
      <c r="Q48">
        <v>2032</v>
      </c>
      <c r="R48">
        <v>2033</v>
      </c>
      <c r="S48">
        <v>2034</v>
      </c>
      <c r="T48">
        <v>2035</v>
      </c>
      <c r="U48">
        <v>2036</v>
      </c>
      <c r="V48">
        <v>2037</v>
      </c>
      <c r="W48">
        <v>2038</v>
      </c>
      <c r="X48">
        <v>2039</v>
      </c>
      <c r="Y48">
        <v>2040</v>
      </c>
      <c r="Z48">
        <v>2041</v>
      </c>
    </row>
    <row r="49" spans="3:26" x14ac:dyDescent="0.25">
      <c r="C49" t="s">
        <v>98</v>
      </c>
      <c r="D49">
        <f>30*365</f>
        <v>10950</v>
      </c>
      <c r="E49">
        <f t="shared" ref="E49:Z49" si="8">30*365</f>
        <v>10950</v>
      </c>
      <c r="F49">
        <f t="shared" si="8"/>
        <v>10950</v>
      </c>
      <c r="G49">
        <f t="shared" si="8"/>
        <v>10950</v>
      </c>
      <c r="H49">
        <f t="shared" si="8"/>
        <v>10950</v>
      </c>
      <c r="I49">
        <f t="shared" si="8"/>
        <v>10950</v>
      </c>
      <c r="J49">
        <f t="shared" si="8"/>
        <v>10950</v>
      </c>
      <c r="K49">
        <f t="shared" si="8"/>
        <v>10950</v>
      </c>
      <c r="L49">
        <f t="shared" si="8"/>
        <v>10950</v>
      </c>
      <c r="M49">
        <f t="shared" si="8"/>
        <v>10950</v>
      </c>
      <c r="N49">
        <f t="shared" si="8"/>
        <v>10950</v>
      </c>
      <c r="O49">
        <f t="shared" si="8"/>
        <v>10950</v>
      </c>
      <c r="P49">
        <f t="shared" si="8"/>
        <v>10950</v>
      </c>
      <c r="Q49">
        <f t="shared" si="8"/>
        <v>10950</v>
      </c>
      <c r="R49">
        <f t="shared" si="8"/>
        <v>10950</v>
      </c>
      <c r="S49">
        <f t="shared" si="8"/>
        <v>10950</v>
      </c>
      <c r="T49">
        <f t="shared" si="8"/>
        <v>10950</v>
      </c>
      <c r="U49">
        <f t="shared" si="8"/>
        <v>10950</v>
      </c>
      <c r="V49">
        <f t="shared" si="8"/>
        <v>10950</v>
      </c>
      <c r="W49">
        <f t="shared" si="8"/>
        <v>10950</v>
      </c>
      <c r="X49">
        <f t="shared" si="8"/>
        <v>10950</v>
      </c>
      <c r="Y49">
        <f t="shared" si="8"/>
        <v>10950</v>
      </c>
      <c r="Z49">
        <f t="shared" si="8"/>
        <v>10950</v>
      </c>
    </row>
    <row r="50" spans="3:26" x14ac:dyDescent="0.25">
      <c r="C50" t="s">
        <v>99</v>
      </c>
      <c r="D50" s="30">
        <f>($D$11/100)*D49</f>
        <v>1533.0000000000002</v>
      </c>
      <c r="E50" s="30">
        <f t="shared" ref="E50:Z50" si="9">($D$11/100)*E49</f>
        <v>1533.0000000000002</v>
      </c>
      <c r="F50" s="30">
        <f t="shared" si="9"/>
        <v>1533.0000000000002</v>
      </c>
      <c r="G50" s="30">
        <f t="shared" si="9"/>
        <v>1533.0000000000002</v>
      </c>
      <c r="H50" s="30">
        <f t="shared" si="9"/>
        <v>1533.0000000000002</v>
      </c>
      <c r="I50" s="30">
        <f t="shared" si="9"/>
        <v>1533.0000000000002</v>
      </c>
      <c r="J50" s="30">
        <f t="shared" si="9"/>
        <v>1533.0000000000002</v>
      </c>
      <c r="K50" s="30">
        <f t="shared" si="9"/>
        <v>1533.0000000000002</v>
      </c>
      <c r="L50" s="30">
        <f t="shared" si="9"/>
        <v>1533.0000000000002</v>
      </c>
      <c r="M50" s="30">
        <f t="shared" si="9"/>
        <v>1533.0000000000002</v>
      </c>
      <c r="N50" s="30">
        <f t="shared" si="9"/>
        <v>1533.0000000000002</v>
      </c>
      <c r="O50" s="30">
        <f t="shared" si="9"/>
        <v>1533.0000000000002</v>
      </c>
      <c r="P50" s="30">
        <f t="shared" si="9"/>
        <v>1533.0000000000002</v>
      </c>
      <c r="Q50" s="30">
        <f t="shared" si="9"/>
        <v>1533.0000000000002</v>
      </c>
      <c r="R50" s="30">
        <f t="shared" si="9"/>
        <v>1533.0000000000002</v>
      </c>
      <c r="S50" s="30">
        <f t="shared" si="9"/>
        <v>1533.0000000000002</v>
      </c>
      <c r="T50" s="30">
        <f t="shared" si="9"/>
        <v>1533.0000000000002</v>
      </c>
      <c r="U50" s="30">
        <f t="shared" si="9"/>
        <v>1533.0000000000002</v>
      </c>
      <c r="V50" s="30">
        <f t="shared" si="9"/>
        <v>1533.0000000000002</v>
      </c>
      <c r="W50" s="30">
        <f t="shared" si="9"/>
        <v>1533.0000000000002</v>
      </c>
      <c r="X50" s="30">
        <f t="shared" si="9"/>
        <v>1533.0000000000002</v>
      </c>
      <c r="Y50" s="30">
        <f t="shared" si="9"/>
        <v>1533.0000000000002</v>
      </c>
      <c r="Z50" s="30">
        <f t="shared" si="9"/>
        <v>1533.0000000000002</v>
      </c>
    </row>
    <row r="51" spans="3:26" x14ac:dyDescent="0.25">
      <c r="C51" t="s">
        <v>101</v>
      </c>
      <c r="D51" s="1">
        <f>D50*$D$12</f>
        <v>1226.4000000000003</v>
      </c>
      <c r="E51" s="1">
        <f t="shared" ref="E51:Z51" si="10">E50*$D$12</f>
        <v>1226.4000000000003</v>
      </c>
      <c r="F51" s="1">
        <f t="shared" si="10"/>
        <v>1226.4000000000003</v>
      </c>
      <c r="G51" s="1">
        <f t="shared" si="10"/>
        <v>1226.4000000000003</v>
      </c>
      <c r="H51" s="1">
        <f t="shared" si="10"/>
        <v>1226.4000000000003</v>
      </c>
      <c r="I51" s="1">
        <f t="shared" si="10"/>
        <v>1226.4000000000003</v>
      </c>
      <c r="J51" s="1">
        <f t="shared" si="10"/>
        <v>1226.4000000000003</v>
      </c>
      <c r="K51" s="1">
        <f t="shared" si="10"/>
        <v>1226.4000000000003</v>
      </c>
      <c r="L51" s="1">
        <f t="shared" si="10"/>
        <v>1226.4000000000003</v>
      </c>
      <c r="M51" s="1">
        <f t="shared" si="10"/>
        <v>1226.4000000000003</v>
      </c>
      <c r="N51" s="1">
        <f t="shared" si="10"/>
        <v>1226.4000000000003</v>
      </c>
      <c r="O51" s="1">
        <f t="shared" si="10"/>
        <v>1226.4000000000003</v>
      </c>
      <c r="P51" s="1">
        <f t="shared" si="10"/>
        <v>1226.4000000000003</v>
      </c>
      <c r="Q51" s="1">
        <f t="shared" si="10"/>
        <v>1226.4000000000003</v>
      </c>
      <c r="R51" s="1">
        <f t="shared" si="10"/>
        <v>1226.4000000000003</v>
      </c>
      <c r="S51" s="1">
        <f t="shared" si="10"/>
        <v>1226.4000000000003</v>
      </c>
      <c r="T51" s="1">
        <f t="shared" si="10"/>
        <v>1226.4000000000003</v>
      </c>
      <c r="U51" s="1">
        <f t="shared" si="10"/>
        <v>1226.4000000000003</v>
      </c>
      <c r="V51" s="1">
        <f t="shared" si="10"/>
        <v>1226.4000000000003</v>
      </c>
      <c r="W51" s="1">
        <f t="shared" si="10"/>
        <v>1226.4000000000003</v>
      </c>
      <c r="X51" s="1">
        <f t="shared" si="10"/>
        <v>1226.4000000000003</v>
      </c>
      <c r="Y51" s="1">
        <f t="shared" si="10"/>
        <v>1226.4000000000003</v>
      </c>
      <c r="Z51" s="1">
        <f t="shared" si="10"/>
        <v>1226.4000000000003</v>
      </c>
    </row>
    <row r="52" spans="3:26" x14ac:dyDescent="0.25">
      <c r="C52" t="s">
        <v>100</v>
      </c>
      <c r="D52">
        <f>D51/(1+$D$13)^(D48-2019)</f>
        <v>1226.4000000000003</v>
      </c>
      <c r="E52">
        <f t="shared" ref="E52:Z52" si="11">E51/(1+$D$13)^(E48-2019)</f>
        <v>1190.6796116504856</v>
      </c>
      <c r="F52">
        <f t="shared" si="11"/>
        <v>1155.9996229616368</v>
      </c>
      <c r="G52">
        <f t="shared" si="11"/>
        <v>1122.3297310307153</v>
      </c>
      <c r="H52">
        <f t="shared" si="11"/>
        <v>1089.6405155638013</v>
      </c>
      <c r="I52">
        <f t="shared" si="11"/>
        <v>1057.9034131687392</v>
      </c>
      <c r="J52">
        <f t="shared" si="11"/>
        <v>1027.0906923968341</v>
      </c>
      <c r="K52">
        <f t="shared" si="11"/>
        <v>997.17542951148926</v>
      </c>
      <c r="L52">
        <f t="shared" si="11"/>
        <v>968.13148496261113</v>
      </c>
      <c r="M52">
        <f t="shared" si="11"/>
        <v>939.93348054622436</v>
      </c>
      <c r="N52">
        <f t="shared" si="11"/>
        <v>912.55677722934399</v>
      </c>
      <c r="O52">
        <f t="shared" si="11"/>
        <v>885.97745362072226</v>
      </c>
      <c r="P52">
        <f t="shared" si="11"/>
        <v>860.17228506866252</v>
      </c>
      <c r="Q52">
        <f t="shared" si="11"/>
        <v>835.11872336763361</v>
      </c>
      <c r="R52">
        <f t="shared" si="11"/>
        <v>810.79487705595488</v>
      </c>
      <c r="S52">
        <f t="shared" si="11"/>
        <v>787.17949228733482</v>
      </c>
      <c r="T52">
        <f t="shared" si="11"/>
        <v>764.25193425954842</v>
      </c>
      <c r="U52">
        <f t="shared" si="11"/>
        <v>741.9921691840276</v>
      </c>
      <c r="V52">
        <f t="shared" si="11"/>
        <v>720.38074678060934</v>
      </c>
      <c r="W52">
        <f t="shared" si="11"/>
        <v>699.39878328214502</v>
      </c>
      <c r="X52">
        <f t="shared" si="11"/>
        <v>679.02794493412136</v>
      </c>
      <c r="Y52">
        <f t="shared" si="11"/>
        <v>659.25043197487526</v>
      </c>
      <c r="Z52">
        <f t="shared" si="11"/>
        <v>640.04896308240302</v>
      </c>
    </row>
    <row r="53" spans="3:26" x14ac:dyDescent="0.25">
      <c r="C53" t="s">
        <v>102</v>
      </c>
      <c r="D53">
        <f>SUM(D52:K52)</f>
        <v>8867.2190162837032</v>
      </c>
      <c r="E53">
        <f>SUM(E52:L52)</f>
        <v>8608.9505012463123</v>
      </c>
      <c r="F53">
        <f t="shared" ref="F53:O53" si="12">SUM(F52:M52)</f>
        <v>8358.2043701420516</v>
      </c>
      <c r="G53">
        <f t="shared" si="12"/>
        <v>8114.7615244097597</v>
      </c>
      <c r="H53">
        <f t="shared" si="12"/>
        <v>7878.4092469997668</v>
      </c>
      <c r="I53">
        <f t="shared" si="12"/>
        <v>7648.9410165046274</v>
      </c>
      <c r="J53">
        <f t="shared" si="12"/>
        <v>7426.1563267035217</v>
      </c>
      <c r="K53">
        <f t="shared" si="12"/>
        <v>7209.8605113626427</v>
      </c>
      <c r="L53">
        <f t="shared" si="12"/>
        <v>6999.864574138488</v>
      </c>
      <c r="M53">
        <f t="shared" si="12"/>
        <v>6795.9850234354253</v>
      </c>
      <c r="N53">
        <f t="shared" si="12"/>
        <v>6598.0437120732286</v>
      </c>
      <c r="O53">
        <f t="shared" si="12"/>
        <v>6405.8676816244933</v>
      </c>
    </row>
    <row r="55" spans="3:26" x14ac:dyDescent="0.25">
      <c r="C55" t="s">
        <v>103</v>
      </c>
      <c r="D55">
        <f>27*300+27*100</f>
        <v>10800</v>
      </c>
    </row>
    <row r="59" spans="3:26" x14ac:dyDescent="0.25">
      <c r="C59" t="s">
        <v>104</v>
      </c>
      <c r="D59">
        <v>4300</v>
      </c>
      <c r="E59">
        <v>4300</v>
      </c>
      <c r="F59">
        <v>4300</v>
      </c>
      <c r="G59">
        <v>4300</v>
      </c>
      <c r="H59">
        <v>4300</v>
      </c>
      <c r="I59">
        <v>4300</v>
      </c>
      <c r="J59">
        <v>4300</v>
      </c>
      <c r="K59">
        <v>4300</v>
      </c>
      <c r="L59">
        <v>4300</v>
      </c>
      <c r="M59">
        <v>4300</v>
      </c>
      <c r="N59">
        <v>4300</v>
      </c>
      <c r="O59">
        <v>4300</v>
      </c>
      <c r="P59">
        <v>4300</v>
      </c>
      <c r="Q59">
        <v>4300</v>
      </c>
      <c r="R59">
        <v>4300</v>
      </c>
      <c r="S59">
        <v>4300</v>
      </c>
      <c r="T59">
        <v>4300</v>
      </c>
      <c r="U59">
        <v>4300</v>
      </c>
      <c r="V59">
        <v>4300</v>
      </c>
      <c r="W59">
        <v>4300</v>
      </c>
      <c r="X59">
        <v>4300</v>
      </c>
      <c r="Y59">
        <v>4300</v>
      </c>
      <c r="Z59">
        <v>4300</v>
      </c>
    </row>
    <row r="60" spans="3:26" x14ac:dyDescent="0.25">
      <c r="C60" t="s">
        <v>105</v>
      </c>
      <c r="D60">
        <f>D59/(1+0.03)^(D48-2019)</f>
        <v>4300</v>
      </c>
      <c r="E60">
        <f t="shared" ref="E60:O60" si="13">E59/(1+0.03)^(E48-2019)</f>
        <v>4174.7572815533977</v>
      </c>
      <c r="F60">
        <f t="shared" si="13"/>
        <v>4053.162409275144</v>
      </c>
      <c r="G60">
        <f t="shared" si="13"/>
        <v>3935.1091352185863</v>
      </c>
      <c r="H60">
        <f t="shared" si="13"/>
        <v>3820.4943060374626</v>
      </c>
      <c r="I60">
        <f t="shared" si="13"/>
        <v>3709.2177728519055</v>
      </c>
      <c r="J60">
        <f t="shared" si="13"/>
        <v>3601.1823037397139</v>
      </c>
      <c r="K60">
        <f t="shared" si="13"/>
        <v>3496.2934987764211</v>
      </c>
      <c r="L60">
        <f t="shared" si="13"/>
        <v>3394.4597075499237</v>
      </c>
      <c r="M60">
        <f t="shared" si="13"/>
        <v>3295.5919490775959</v>
      </c>
      <c r="N60">
        <f t="shared" si="13"/>
        <v>3199.6038340559185</v>
      </c>
      <c r="O60">
        <f t="shared" si="13"/>
        <v>3106.4114893746778</v>
      </c>
    </row>
    <row r="61" spans="3:26" x14ac:dyDescent="0.25">
      <c r="C61" t="s">
        <v>106</v>
      </c>
      <c r="D61" s="145">
        <f>SUM(D60:K60)</f>
        <v>31090.216707452633</v>
      </c>
      <c r="E61" s="145">
        <f>SUM(E60:L60)</f>
        <v>30184.676415002552</v>
      </c>
      <c r="F61" s="145">
        <f>SUM(F60:M60)</f>
        <v>29305.511082526751</v>
      </c>
      <c r="G61" s="145">
        <f t="shared" ref="G61:O61" si="14">SUM(G60:N60)</f>
        <v>28451.952507307524</v>
      </c>
      <c r="H61" s="145">
        <f t="shared" si="14"/>
        <v>27623.254861463614</v>
      </c>
      <c r="I61" s="145">
        <f t="shared" si="14"/>
        <v>23802.760555426157</v>
      </c>
      <c r="J61" s="145">
        <f t="shared" si="14"/>
        <v>20093.542782574252</v>
      </c>
      <c r="K61" s="145">
        <f t="shared" si="14"/>
        <v>16492.360478834536</v>
      </c>
      <c r="L61" s="145">
        <f t="shared" si="14"/>
        <v>12996.066980058116</v>
      </c>
      <c r="M61" s="145">
        <f t="shared" si="14"/>
        <v>9601.6072725081922</v>
      </c>
      <c r="N61" s="145">
        <f t="shared" si="14"/>
        <v>6306.0153234305963</v>
      </c>
      <c r="O61" s="145">
        <f t="shared" si="14"/>
        <v>3106.4114893746778</v>
      </c>
    </row>
    <row r="64" spans="3:26" x14ac:dyDescent="0.25">
      <c r="C64" t="s">
        <v>98</v>
      </c>
      <c r="D64" s="30">
        <f>$D$9*365</f>
        <v>10950</v>
      </c>
      <c r="E64" s="30">
        <f t="shared" ref="E64:Z64" si="15">$D$9*365</f>
        <v>10950</v>
      </c>
      <c r="F64" s="30">
        <f t="shared" si="15"/>
        <v>10950</v>
      </c>
      <c r="G64" s="30">
        <f t="shared" si="15"/>
        <v>10950</v>
      </c>
      <c r="H64" s="30">
        <f t="shared" si="15"/>
        <v>10950</v>
      </c>
      <c r="I64" s="30">
        <f t="shared" si="15"/>
        <v>10950</v>
      </c>
      <c r="J64" s="30">
        <f t="shared" si="15"/>
        <v>10950</v>
      </c>
      <c r="K64" s="30">
        <f t="shared" si="15"/>
        <v>10950</v>
      </c>
      <c r="L64" s="30">
        <f t="shared" si="15"/>
        <v>10950</v>
      </c>
      <c r="M64" s="30">
        <f t="shared" si="15"/>
        <v>10950</v>
      </c>
      <c r="N64" s="30">
        <f t="shared" si="15"/>
        <v>10950</v>
      </c>
      <c r="O64" s="30">
        <f t="shared" si="15"/>
        <v>10950</v>
      </c>
      <c r="P64" s="30">
        <f t="shared" si="15"/>
        <v>10950</v>
      </c>
      <c r="Q64" s="30">
        <f t="shared" si="15"/>
        <v>10950</v>
      </c>
      <c r="R64" s="30">
        <f t="shared" si="15"/>
        <v>10950</v>
      </c>
      <c r="S64" s="30">
        <f t="shared" si="15"/>
        <v>10950</v>
      </c>
      <c r="T64" s="30">
        <f t="shared" si="15"/>
        <v>10950</v>
      </c>
      <c r="U64" s="30">
        <f t="shared" si="15"/>
        <v>10950</v>
      </c>
      <c r="V64" s="30">
        <f t="shared" si="15"/>
        <v>10950</v>
      </c>
      <c r="W64" s="30">
        <f t="shared" si="15"/>
        <v>10950</v>
      </c>
      <c r="X64" s="30">
        <f t="shared" si="15"/>
        <v>10950</v>
      </c>
      <c r="Y64" s="30">
        <f t="shared" si="15"/>
        <v>10950</v>
      </c>
      <c r="Z64" s="30">
        <f t="shared" si="15"/>
        <v>10950</v>
      </c>
    </row>
    <row r="65" spans="3:26" x14ac:dyDescent="0.25">
      <c r="C65" t="s">
        <v>107</v>
      </c>
      <c r="D65" s="30">
        <f>($D$27/100)*D64</f>
        <v>766.50000000000011</v>
      </c>
      <c r="E65" s="30">
        <f t="shared" ref="E65:Z65" si="16">($D$27/100)*E64</f>
        <v>766.50000000000011</v>
      </c>
      <c r="F65" s="30">
        <f t="shared" si="16"/>
        <v>766.50000000000011</v>
      </c>
      <c r="G65" s="30">
        <f t="shared" si="16"/>
        <v>766.50000000000011</v>
      </c>
      <c r="H65" s="30">
        <f t="shared" si="16"/>
        <v>766.50000000000011</v>
      </c>
      <c r="I65" s="30">
        <f t="shared" si="16"/>
        <v>766.50000000000011</v>
      </c>
      <c r="J65" s="30">
        <f t="shared" si="16"/>
        <v>766.50000000000011</v>
      </c>
      <c r="K65" s="30">
        <f t="shared" si="16"/>
        <v>766.50000000000011</v>
      </c>
      <c r="L65" s="30">
        <f t="shared" si="16"/>
        <v>766.50000000000011</v>
      </c>
      <c r="M65" s="30">
        <f t="shared" si="16"/>
        <v>766.50000000000011</v>
      </c>
      <c r="N65" s="30">
        <f t="shared" si="16"/>
        <v>766.50000000000011</v>
      </c>
      <c r="O65" s="30">
        <f t="shared" si="16"/>
        <v>766.50000000000011</v>
      </c>
      <c r="P65" s="30">
        <f t="shared" si="16"/>
        <v>766.50000000000011</v>
      </c>
      <c r="Q65" s="30">
        <f t="shared" si="16"/>
        <v>766.50000000000011</v>
      </c>
      <c r="R65" s="30">
        <f t="shared" si="16"/>
        <v>766.50000000000011</v>
      </c>
      <c r="S65" s="30">
        <f t="shared" si="16"/>
        <v>766.50000000000011</v>
      </c>
      <c r="T65" s="30">
        <f t="shared" si="16"/>
        <v>766.50000000000011</v>
      </c>
      <c r="U65" s="30">
        <f t="shared" si="16"/>
        <v>766.50000000000011</v>
      </c>
      <c r="V65" s="30">
        <f t="shared" si="16"/>
        <v>766.50000000000011</v>
      </c>
      <c r="W65" s="30">
        <f t="shared" si="16"/>
        <v>766.50000000000011</v>
      </c>
      <c r="X65" s="30">
        <f t="shared" si="16"/>
        <v>766.50000000000011</v>
      </c>
      <c r="Y65" s="30">
        <f t="shared" si="16"/>
        <v>766.50000000000011</v>
      </c>
      <c r="Z65" s="30">
        <f t="shared" si="16"/>
        <v>766.50000000000011</v>
      </c>
    </row>
    <row r="66" spans="3:26" x14ac:dyDescent="0.25">
      <c r="C66" t="s">
        <v>108</v>
      </c>
      <c r="D66">
        <f>D65*$D$28</f>
        <v>5365.5000000000009</v>
      </c>
      <c r="E66">
        <f t="shared" ref="E66:Z66" si="17">E65*$D$28</f>
        <v>5365.5000000000009</v>
      </c>
      <c r="F66">
        <f t="shared" si="17"/>
        <v>5365.5000000000009</v>
      </c>
      <c r="G66">
        <f t="shared" si="17"/>
        <v>5365.5000000000009</v>
      </c>
      <c r="H66">
        <f t="shared" si="17"/>
        <v>5365.5000000000009</v>
      </c>
      <c r="I66">
        <f t="shared" si="17"/>
        <v>5365.5000000000009</v>
      </c>
      <c r="J66">
        <f t="shared" si="17"/>
        <v>5365.5000000000009</v>
      </c>
      <c r="K66">
        <f t="shared" si="17"/>
        <v>5365.5000000000009</v>
      </c>
      <c r="L66">
        <f t="shared" si="17"/>
        <v>5365.5000000000009</v>
      </c>
      <c r="M66">
        <f t="shared" si="17"/>
        <v>5365.5000000000009</v>
      </c>
      <c r="N66">
        <f t="shared" si="17"/>
        <v>5365.5000000000009</v>
      </c>
      <c r="O66">
        <f t="shared" si="17"/>
        <v>5365.5000000000009</v>
      </c>
      <c r="P66">
        <f t="shared" si="17"/>
        <v>5365.5000000000009</v>
      </c>
      <c r="Q66">
        <f t="shared" si="17"/>
        <v>5365.5000000000009</v>
      </c>
      <c r="R66">
        <f t="shared" si="17"/>
        <v>5365.5000000000009</v>
      </c>
      <c r="S66">
        <f t="shared" si="17"/>
        <v>5365.5000000000009</v>
      </c>
      <c r="T66">
        <f t="shared" si="17"/>
        <v>5365.5000000000009</v>
      </c>
      <c r="U66">
        <f t="shared" si="17"/>
        <v>5365.5000000000009</v>
      </c>
      <c r="V66">
        <f t="shared" si="17"/>
        <v>5365.5000000000009</v>
      </c>
      <c r="W66">
        <f t="shared" si="17"/>
        <v>5365.5000000000009</v>
      </c>
      <c r="X66">
        <f t="shared" si="17"/>
        <v>5365.5000000000009</v>
      </c>
      <c r="Y66">
        <f t="shared" si="17"/>
        <v>5365.5000000000009</v>
      </c>
      <c r="Z66">
        <f t="shared" si="17"/>
        <v>5365.5000000000009</v>
      </c>
    </row>
    <row r="67" spans="3:26" x14ac:dyDescent="0.25">
      <c r="C67" t="s">
        <v>109</v>
      </c>
      <c r="D67">
        <f>D66/(1+$D$29)^(D48-2019)</f>
        <v>5365.5000000000009</v>
      </c>
      <c r="E67">
        <f t="shared" ref="E67:Z67" si="18">E66/(1+$D$29)^(E48-2019)</f>
        <v>5209.2233009708743</v>
      </c>
      <c r="F67">
        <f t="shared" si="18"/>
        <v>5057.4983504571601</v>
      </c>
      <c r="G67">
        <f t="shared" si="18"/>
        <v>4910.1925732593782</v>
      </c>
      <c r="H67">
        <f t="shared" si="18"/>
        <v>4767.1772555916295</v>
      </c>
      <c r="I67">
        <f t="shared" si="18"/>
        <v>4628.3274326132332</v>
      </c>
      <c r="J67">
        <f t="shared" si="18"/>
        <v>4493.5217792361482</v>
      </c>
      <c r="K67">
        <f t="shared" si="18"/>
        <v>4362.642504112765</v>
      </c>
      <c r="L67">
        <f t="shared" si="18"/>
        <v>4235.5752467114235</v>
      </c>
      <c r="M67">
        <f t="shared" si="18"/>
        <v>4112.2089773897314</v>
      </c>
      <c r="N67">
        <f t="shared" si="18"/>
        <v>3992.4359003783798</v>
      </c>
      <c r="O67">
        <f t="shared" si="18"/>
        <v>3876.1513595906599</v>
      </c>
      <c r="P67">
        <f t="shared" si="18"/>
        <v>3763.2537471753985</v>
      </c>
      <c r="Q67">
        <f t="shared" si="18"/>
        <v>3653.6444147333968</v>
      </c>
      <c r="R67">
        <f t="shared" si="18"/>
        <v>3547.2275871198021</v>
      </c>
      <c r="S67">
        <f t="shared" si="18"/>
        <v>3443.9102787570891</v>
      </c>
      <c r="T67">
        <f t="shared" si="18"/>
        <v>3343.6022123855241</v>
      </c>
      <c r="U67">
        <f t="shared" si="18"/>
        <v>3246.2157401801205</v>
      </c>
      <c r="V67">
        <f t="shared" si="18"/>
        <v>3151.6657671651656</v>
      </c>
      <c r="W67">
        <f t="shared" si="18"/>
        <v>3059.8696768593841</v>
      </c>
      <c r="X67">
        <f t="shared" si="18"/>
        <v>2970.7472590867806</v>
      </c>
      <c r="Y67">
        <f t="shared" si="18"/>
        <v>2884.2206398900789</v>
      </c>
      <c r="Z67">
        <f t="shared" si="18"/>
        <v>2800.214213485513</v>
      </c>
    </row>
    <row r="68" spans="3:26" x14ac:dyDescent="0.25">
      <c r="C68" t="s">
        <v>110</v>
      </c>
      <c r="D68" s="1">
        <f>SUM(D67:K67)</f>
        <v>38794.08319624119</v>
      </c>
      <c r="E68" s="1">
        <f t="shared" ref="E68:O68" si="19">SUM(E67:L67)</f>
        <v>37664.158442952605</v>
      </c>
      <c r="F68" s="1">
        <f t="shared" si="19"/>
        <v>36567.144119371471</v>
      </c>
      <c r="G68" s="1">
        <f t="shared" si="19"/>
        <v>35502.081669292689</v>
      </c>
      <c r="H68" s="1">
        <f t="shared" si="19"/>
        <v>34468.040455623974</v>
      </c>
      <c r="I68" s="1">
        <f t="shared" si="19"/>
        <v>33464.116947207738</v>
      </c>
      <c r="J68" s="1">
        <f t="shared" si="19"/>
        <v>32489.433929327904</v>
      </c>
      <c r="K68" s="1">
        <f t="shared" si="19"/>
        <v>31543.139737211557</v>
      </c>
      <c r="L68" s="1">
        <f t="shared" si="19"/>
        <v>30624.407511855879</v>
      </c>
      <c r="M68" s="1">
        <f t="shared" si="19"/>
        <v>29732.434477529983</v>
      </c>
      <c r="N68" s="1">
        <f t="shared" si="19"/>
        <v>28866.441240320371</v>
      </c>
      <c r="O68" s="1">
        <f t="shared" si="19"/>
        <v>28025.671107107159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0"/>
  <sheetViews>
    <sheetView topLeftCell="A10" zoomScaleNormal="10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103">
        <v>97226.00791038938</v>
      </c>
    </row>
    <row r="7" spans="3:15" x14ac:dyDescent="0.25">
      <c r="C7" s="102" t="s">
        <v>46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104">
        <v>9722.600791038938</v>
      </c>
    </row>
    <row r="8" spans="3:15" x14ac:dyDescent="0.25">
      <c r="C8" s="102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5">
        <v>106948.60870142831</v>
      </c>
    </row>
    <row r="9" spans="3:15" x14ac:dyDescent="0.25">
      <c r="C9" s="102" t="s">
        <v>84</v>
      </c>
      <c r="D9" s="79">
        <v>40</v>
      </c>
      <c r="E9" s="79">
        <v>40</v>
      </c>
      <c r="F9" s="79">
        <v>40</v>
      </c>
      <c r="G9" s="79">
        <v>40</v>
      </c>
      <c r="H9" s="79">
        <v>40</v>
      </c>
      <c r="I9" s="79">
        <v>40</v>
      </c>
      <c r="J9" s="79">
        <v>40</v>
      </c>
      <c r="K9" s="79">
        <v>40</v>
      </c>
      <c r="L9" s="79">
        <v>40</v>
      </c>
      <c r="M9" s="79">
        <v>40</v>
      </c>
      <c r="N9" s="79">
        <v>40</v>
      </c>
      <c r="O9" s="79">
        <v>40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4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11822.958688378269</v>
      </c>
      <c r="E14" s="90">
        <v>11478.600668328416</v>
      </c>
      <c r="F14" s="90">
        <v>11144.272493522734</v>
      </c>
      <c r="G14" s="90">
        <v>10819.682032546343</v>
      </c>
      <c r="H14" s="94">
        <v>10504.545662666353</v>
      </c>
      <c r="I14" s="94">
        <v>10198.588022006168</v>
      </c>
      <c r="J14" s="94">
        <v>9901.5417689380265</v>
      </c>
      <c r="K14" s="95">
        <v>9613.1473484835205</v>
      </c>
      <c r="L14" s="95">
        <v>9333.1527655179816</v>
      </c>
      <c r="M14" s="95">
        <v>9061.3133645805665</v>
      </c>
      <c r="N14" s="95">
        <v>8797.3916160976369</v>
      </c>
      <c r="O14" s="95">
        <v>8541.1569088326578</v>
      </c>
    </row>
    <row r="15" spans="3:15" x14ac:dyDescent="0.25">
      <c r="C15" s="102" t="s">
        <v>89</v>
      </c>
      <c r="D15" s="79">
        <f>5*300+6*100</f>
        <v>2100</v>
      </c>
      <c r="E15" s="90">
        <f>D15*(1-$D$13)</f>
        <v>2037</v>
      </c>
      <c r="F15" s="90">
        <f t="shared" ref="F15:O15" si="0">E15*(1-$D$13)</f>
        <v>1975.8899999999999</v>
      </c>
      <c r="G15" s="90">
        <f t="shared" si="0"/>
        <v>1916.6132999999998</v>
      </c>
      <c r="H15" s="94">
        <f t="shared" si="0"/>
        <v>1859.1149009999997</v>
      </c>
      <c r="I15" s="94">
        <f t="shared" si="0"/>
        <v>1803.3414539699997</v>
      </c>
      <c r="J15" s="94">
        <f t="shared" si="0"/>
        <v>1749.2412103508998</v>
      </c>
      <c r="K15" s="95">
        <f t="shared" si="0"/>
        <v>1696.7639740403727</v>
      </c>
      <c r="L15" s="95">
        <f t="shared" si="0"/>
        <v>1645.8610548191614</v>
      </c>
      <c r="M15" s="95">
        <f t="shared" si="0"/>
        <v>1596.4852231745865</v>
      </c>
      <c r="N15" s="95">
        <f t="shared" si="0"/>
        <v>1548.5906664793488</v>
      </c>
      <c r="O15" s="95">
        <f t="shared" si="0"/>
        <v>1502.1329464849682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95">
        <f t="shared" si="1"/>
        <v>14583.901186558407</v>
      </c>
    </row>
    <row r="19" spans="3:15" x14ac:dyDescent="0.25">
      <c r="C19" s="109" t="s">
        <v>93</v>
      </c>
      <c r="D19" s="70">
        <f>D8+D14+D15+D16+D17-D18</f>
        <v>198583.38372916426</v>
      </c>
      <c r="E19" s="90">
        <f t="shared" ref="E19:O19" si="2">E8+E14+E15+E16+E17-E18</f>
        <v>187036.48541666431</v>
      </c>
      <c r="F19" s="90">
        <f t="shared" si="2"/>
        <v>192311.76524271621</v>
      </c>
      <c r="G19" s="90">
        <f t="shared" si="2"/>
        <v>181773.45950652056</v>
      </c>
      <c r="H19" s="94">
        <f t="shared" si="2"/>
        <v>172182.33509179665</v>
      </c>
      <c r="I19" s="94">
        <f t="shared" si="2"/>
        <v>160430.29689806903</v>
      </c>
      <c r="J19" s="94">
        <f t="shared" si="2"/>
        <v>149538.1011085299</v>
      </c>
      <c r="K19" s="95">
        <f t="shared" si="2"/>
        <v>139428.39878002516</v>
      </c>
      <c r="L19" s="95">
        <f t="shared" si="2"/>
        <v>130031.32424786198</v>
      </c>
      <c r="M19" s="95">
        <f t="shared" si="2"/>
        <v>121283.75412965007</v>
      </c>
      <c r="N19" s="95">
        <f t="shared" si="2"/>
        <v>113128.64021512229</v>
      </c>
      <c r="O19" s="95">
        <f t="shared" si="2"/>
        <v>105514.40885956222</v>
      </c>
    </row>
    <row r="22" spans="3:15" x14ac:dyDescent="0.25">
      <c r="C22" s="131" t="s">
        <v>382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55</v>
      </c>
      <c r="D24" s="70">
        <v>144616.66666666666</v>
      </c>
      <c r="E24" s="87">
        <v>145216.66666666666</v>
      </c>
      <c r="F24" s="87">
        <v>145828.66666666666</v>
      </c>
      <c r="G24" s="87">
        <v>146452.90666666665</v>
      </c>
      <c r="H24" s="88">
        <v>147089.63146666664</v>
      </c>
      <c r="I24" s="88">
        <v>147739.09076266666</v>
      </c>
      <c r="J24" s="88">
        <v>148401.53924458666</v>
      </c>
      <c r="K24" s="89">
        <v>149077.23669614506</v>
      </c>
      <c r="L24" s="89">
        <v>149766.44809673462</v>
      </c>
      <c r="M24" s="89">
        <v>150469.44372533596</v>
      </c>
      <c r="N24" s="89">
        <v>151186.49926650935</v>
      </c>
      <c r="O24" s="107">
        <v>151917.8959185062</v>
      </c>
    </row>
    <row r="25" spans="3:15" x14ac:dyDescent="0.25">
      <c r="C25" s="102" t="s">
        <v>46</v>
      </c>
      <c r="D25" s="117">
        <v>14461.666666666666</v>
      </c>
      <c r="E25" s="76">
        <v>14521.666666666666</v>
      </c>
      <c r="F25" s="76">
        <v>14582.866666666667</v>
      </c>
      <c r="G25" s="76">
        <v>14645.290666666666</v>
      </c>
      <c r="H25" s="77">
        <v>14708.963146666665</v>
      </c>
      <c r="I25" s="77">
        <v>14773.909076266667</v>
      </c>
      <c r="J25" s="77">
        <v>14840.153924458667</v>
      </c>
      <c r="K25" s="78">
        <v>14907.723669614506</v>
      </c>
      <c r="L25" s="78">
        <v>14976.644809673462</v>
      </c>
      <c r="M25" s="78">
        <v>15046.944372533597</v>
      </c>
      <c r="N25" s="78">
        <v>15118.649926650935</v>
      </c>
      <c r="O25" s="104">
        <v>15191.78959185062</v>
      </c>
    </row>
    <row r="26" spans="3:15" x14ac:dyDescent="0.25">
      <c r="C26" s="102" t="s">
        <v>56</v>
      </c>
      <c r="D26" s="93">
        <v>159078.33333333331</v>
      </c>
      <c r="E26" s="71">
        <v>159738.33333333331</v>
      </c>
      <c r="F26" s="71">
        <v>160411.53333333333</v>
      </c>
      <c r="G26" s="135">
        <v>161098.19733333332</v>
      </c>
      <c r="H26" s="72">
        <v>161798.59461333332</v>
      </c>
      <c r="I26" s="72">
        <v>162512.99983893332</v>
      </c>
      <c r="J26" s="72">
        <v>163241.69316904532</v>
      </c>
      <c r="K26" s="73">
        <v>163984.96036575956</v>
      </c>
      <c r="L26" s="73">
        <v>164743.09290640807</v>
      </c>
      <c r="M26" s="73">
        <v>165516.38809786955</v>
      </c>
      <c r="N26" s="73">
        <v>166305.14919316029</v>
      </c>
      <c r="O26" s="103">
        <v>167109.68551035682</v>
      </c>
    </row>
    <row r="27" spans="3:15" x14ac:dyDescent="0.25">
      <c r="C27" s="102" t="s">
        <v>84</v>
      </c>
      <c r="D27" s="79">
        <v>40</v>
      </c>
      <c r="E27" s="79">
        <v>40</v>
      </c>
      <c r="F27" s="79">
        <v>40</v>
      </c>
      <c r="G27" s="79">
        <v>40</v>
      </c>
      <c r="H27" s="79">
        <v>40</v>
      </c>
      <c r="I27" s="79">
        <v>40</v>
      </c>
      <c r="J27" s="79">
        <v>40</v>
      </c>
      <c r="K27" s="79">
        <v>40</v>
      </c>
      <c r="L27" s="79">
        <v>40</v>
      </c>
      <c r="M27" s="79">
        <v>40</v>
      </c>
      <c r="N27" s="79">
        <v>40</v>
      </c>
      <c r="O27" s="79">
        <v>40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97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51725.444261654913</v>
      </c>
      <c r="E32" s="71">
        <v>50218.877923936816</v>
      </c>
      <c r="F32" s="71">
        <v>48756.192159161954</v>
      </c>
      <c r="G32" s="80">
        <v>47336.10889239025</v>
      </c>
      <c r="H32" s="72">
        <v>45957.387274165296</v>
      </c>
      <c r="I32" s="72">
        <v>44618.822596276987</v>
      </c>
      <c r="J32" s="72">
        <v>43319.245239103875</v>
      </c>
      <c r="K32" s="73">
        <v>42057.519649615409</v>
      </c>
      <c r="L32" s="73">
        <v>40832.543349141168</v>
      </c>
      <c r="M32" s="73">
        <v>39643.24597003997</v>
      </c>
      <c r="N32" s="73">
        <v>38488.588320427152</v>
      </c>
      <c r="O32" s="103">
        <v>37367.561476142866</v>
      </c>
    </row>
    <row r="33" spans="3:15" x14ac:dyDescent="0.25">
      <c r="C33" s="102" t="s">
        <v>89</v>
      </c>
      <c r="D33" s="70">
        <f>12*600+11*1200</f>
        <v>20400</v>
      </c>
      <c r="E33" s="71">
        <f>D33*(1-$D$31)</f>
        <v>19788</v>
      </c>
      <c r="F33" s="71">
        <f t="shared" ref="F33:O33" si="3">E33*(1-$D$31)</f>
        <v>19194.36</v>
      </c>
      <c r="G33" s="80">
        <f t="shared" si="3"/>
        <v>18618.529200000001</v>
      </c>
      <c r="H33" s="72">
        <f t="shared" si="3"/>
        <v>18059.973323999999</v>
      </c>
      <c r="I33" s="72">
        <f t="shared" si="3"/>
        <v>17518.174124279998</v>
      </c>
      <c r="J33" s="72">
        <f t="shared" si="3"/>
        <v>16992.628900551597</v>
      </c>
      <c r="K33" s="73">
        <f t="shared" si="3"/>
        <v>16482.850033535047</v>
      </c>
      <c r="L33" s="73">
        <f t="shared" si="3"/>
        <v>15988.364532528996</v>
      </c>
      <c r="M33" s="73">
        <f t="shared" si="3"/>
        <v>15508.713596553125</v>
      </c>
      <c r="N33" s="73">
        <f t="shared" si="3"/>
        <v>15043.452188656531</v>
      </c>
      <c r="O33" s="103">
        <f t="shared" si="3"/>
        <v>14592.148622996834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50615.833333333328</v>
      </c>
      <c r="E36" s="71">
        <f t="shared" ref="E36:O36" si="5">0.35*E24</f>
        <v>50825.833333333328</v>
      </c>
      <c r="F36" s="71">
        <f t="shared" si="5"/>
        <v>51040.033333333326</v>
      </c>
      <c r="G36" s="80">
        <f t="shared" si="5"/>
        <v>51258.517333333322</v>
      </c>
      <c r="H36" s="72">
        <f t="shared" si="5"/>
        <v>51481.371013333322</v>
      </c>
      <c r="I36" s="72">
        <f t="shared" si="5"/>
        <v>51708.681766933325</v>
      </c>
      <c r="J36" s="72">
        <f t="shared" si="5"/>
        <v>51940.538735605325</v>
      </c>
      <c r="K36" s="73">
        <f t="shared" si="5"/>
        <v>52177.03284365077</v>
      </c>
      <c r="L36" s="73">
        <f t="shared" si="5"/>
        <v>52418.256833857115</v>
      </c>
      <c r="M36" s="73">
        <f t="shared" si="5"/>
        <v>52664.305303867586</v>
      </c>
      <c r="N36" s="73">
        <f t="shared" si="5"/>
        <v>52915.274743278271</v>
      </c>
      <c r="O36" s="103">
        <f t="shared" si="5"/>
        <v>53171.263571477168</v>
      </c>
    </row>
    <row r="37" spans="3:15" x14ac:dyDescent="0.25">
      <c r="C37" s="109" t="s">
        <v>93</v>
      </c>
      <c r="D37" s="79">
        <f>D26+D32+D33+D34-D36</f>
        <v>209509.07608254108</v>
      </c>
      <c r="E37" s="71">
        <f t="shared" ref="E37:O37" si="6">E26+E32+E33+E34-E36</f>
        <v>206998.14668207872</v>
      </c>
      <c r="F37" s="71">
        <f t="shared" si="6"/>
        <v>204582.9927010473</v>
      </c>
      <c r="G37" s="80">
        <f t="shared" si="6"/>
        <v>202261.25065732747</v>
      </c>
      <c r="H37" s="72">
        <f t="shared" si="6"/>
        <v>200030.63523208493</v>
      </c>
      <c r="I37" s="72">
        <f t="shared" si="6"/>
        <v>195083.41763481387</v>
      </c>
      <c r="J37" s="72">
        <f t="shared" si="6"/>
        <v>190304.69627781567</v>
      </c>
      <c r="K37" s="73">
        <f t="shared" si="6"/>
        <v>185690.02788324485</v>
      </c>
      <c r="L37" s="73">
        <f t="shared" si="6"/>
        <v>181235.10858683335</v>
      </c>
      <c r="M37" s="73">
        <f t="shared" si="6"/>
        <v>176935.77005595152</v>
      </c>
      <c r="N37" s="73">
        <f t="shared" si="6"/>
        <v>172787.97572494764</v>
      </c>
      <c r="O37" s="103">
        <f t="shared" si="6"/>
        <v>168787.81714441441</v>
      </c>
    </row>
    <row r="39" spans="3:15" x14ac:dyDescent="0.25">
      <c r="C39" t="s">
        <v>317</v>
      </c>
      <c r="D39" s="30">
        <f>D19-D37</f>
        <v>-10925.692353376828</v>
      </c>
      <c r="E39" s="30">
        <f t="shared" ref="E39:O39" si="7">E19-E37</f>
        <v>-19961.661265414412</v>
      </c>
      <c r="F39" s="30">
        <f t="shared" si="7"/>
        <v>-12271.227458331094</v>
      </c>
      <c r="G39" s="30">
        <f t="shared" si="7"/>
        <v>-20487.791150806908</v>
      </c>
      <c r="H39" s="30">
        <f t="shared" si="7"/>
        <v>-27848.30014028828</v>
      </c>
      <c r="I39" s="30">
        <f t="shared" si="7"/>
        <v>-34653.120736744837</v>
      </c>
      <c r="J39" s="30">
        <f t="shared" si="7"/>
        <v>-40766.595169285778</v>
      </c>
      <c r="K39" s="30">
        <f t="shared" si="7"/>
        <v>-46261.62910321969</v>
      </c>
      <c r="L39" s="30">
        <f t="shared" si="7"/>
        <v>-51203.784338971367</v>
      </c>
      <c r="M39" s="30">
        <f t="shared" si="7"/>
        <v>-55652.01592630145</v>
      </c>
      <c r="N39" s="30">
        <f t="shared" si="7"/>
        <v>-59659.335509825352</v>
      </c>
      <c r="O39" s="30">
        <f t="shared" si="7"/>
        <v>-63273.408284852194</v>
      </c>
    </row>
    <row r="50" spans="3:26" x14ac:dyDescent="0.25">
      <c r="D50">
        <v>2019</v>
      </c>
      <c r="E50">
        <v>2020</v>
      </c>
      <c r="F50">
        <v>2021</v>
      </c>
      <c r="G50">
        <v>2022</v>
      </c>
      <c r="H50">
        <v>2023</v>
      </c>
      <c r="I50">
        <v>2024</v>
      </c>
      <c r="J50">
        <v>2025</v>
      </c>
      <c r="K50">
        <v>2026</v>
      </c>
      <c r="L50">
        <v>2027</v>
      </c>
      <c r="M50">
        <v>2028</v>
      </c>
      <c r="N50">
        <v>2029</v>
      </c>
      <c r="O50">
        <v>2030</v>
      </c>
      <c r="P50">
        <v>2031</v>
      </c>
      <c r="Q50">
        <v>2032</v>
      </c>
      <c r="R50">
        <v>2033</v>
      </c>
      <c r="S50">
        <v>2034</v>
      </c>
      <c r="T50">
        <v>2035</v>
      </c>
      <c r="U50">
        <v>2036</v>
      </c>
      <c r="V50">
        <v>2037</v>
      </c>
      <c r="W50">
        <v>2038</v>
      </c>
      <c r="X50">
        <v>2039</v>
      </c>
      <c r="Y50">
        <v>2040</v>
      </c>
      <c r="Z50">
        <v>2041</v>
      </c>
    </row>
    <row r="51" spans="3:26" x14ac:dyDescent="0.25">
      <c r="C51" t="s">
        <v>98</v>
      </c>
      <c r="D51">
        <f>40*365</f>
        <v>14600</v>
      </c>
      <c r="E51">
        <f t="shared" ref="E51:Z51" si="8">40*365</f>
        <v>14600</v>
      </c>
      <c r="F51">
        <f t="shared" si="8"/>
        <v>14600</v>
      </c>
      <c r="G51">
        <f t="shared" si="8"/>
        <v>14600</v>
      </c>
      <c r="H51">
        <f t="shared" si="8"/>
        <v>14600</v>
      </c>
      <c r="I51">
        <f t="shared" si="8"/>
        <v>14600</v>
      </c>
      <c r="J51">
        <f t="shared" si="8"/>
        <v>14600</v>
      </c>
      <c r="K51">
        <f t="shared" si="8"/>
        <v>14600</v>
      </c>
      <c r="L51">
        <f t="shared" si="8"/>
        <v>14600</v>
      </c>
      <c r="M51">
        <f t="shared" si="8"/>
        <v>14600</v>
      </c>
      <c r="N51">
        <f t="shared" si="8"/>
        <v>14600</v>
      </c>
      <c r="O51">
        <f t="shared" si="8"/>
        <v>14600</v>
      </c>
      <c r="P51">
        <f t="shared" si="8"/>
        <v>14600</v>
      </c>
      <c r="Q51">
        <f t="shared" si="8"/>
        <v>14600</v>
      </c>
      <c r="R51">
        <f t="shared" si="8"/>
        <v>14600</v>
      </c>
      <c r="S51">
        <f t="shared" si="8"/>
        <v>14600</v>
      </c>
      <c r="T51">
        <f t="shared" si="8"/>
        <v>14600</v>
      </c>
      <c r="U51">
        <f t="shared" si="8"/>
        <v>14600</v>
      </c>
      <c r="V51">
        <f t="shared" si="8"/>
        <v>14600</v>
      </c>
      <c r="W51">
        <f t="shared" si="8"/>
        <v>14600</v>
      </c>
      <c r="X51">
        <f t="shared" si="8"/>
        <v>14600</v>
      </c>
      <c r="Y51">
        <f t="shared" si="8"/>
        <v>14600</v>
      </c>
      <c r="Z51">
        <f t="shared" si="8"/>
        <v>14600</v>
      </c>
    </row>
    <row r="52" spans="3:26" x14ac:dyDescent="0.25">
      <c r="C52" t="s">
        <v>99</v>
      </c>
      <c r="D52" s="30">
        <f>($D$11/100)*D51</f>
        <v>2044.0000000000002</v>
      </c>
      <c r="E52" s="30">
        <f t="shared" ref="E52:Z52" si="9">($D$11/100)*E51</f>
        <v>2044.0000000000002</v>
      </c>
      <c r="F52" s="30">
        <f t="shared" si="9"/>
        <v>2044.0000000000002</v>
      </c>
      <c r="G52" s="30">
        <f t="shared" si="9"/>
        <v>2044.0000000000002</v>
      </c>
      <c r="H52" s="30">
        <f t="shared" si="9"/>
        <v>2044.0000000000002</v>
      </c>
      <c r="I52" s="30">
        <f t="shared" si="9"/>
        <v>2044.0000000000002</v>
      </c>
      <c r="J52" s="30">
        <f t="shared" si="9"/>
        <v>2044.0000000000002</v>
      </c>
      <c r="K52" s="30">
        <f t="shared" si="9"/>
        <v>2044.0000000000002</v>
      </c>
      <c r="L52" s="30">
        <f t="shared" si="9"/>
        <v>2044.0000000000002</v>
      </c>
      <c r="M52" s="30">
        <f t="shared" si="9"/>
        <v>2044.0000000000002</v>
      </c>
      <c r="N52" s="30">
        <f t="shared" si="9"/>
        <v>2044.0000000000002</v>
      </c>
      <c r="O52" s="30">
        <f t="shared" si="9"/>
        <v>2044.0000000000002</v>
      </c>
      <c r="P52" s="30">
        <f t="shared" si="9"/>
        <v>2044.0000000000002</v>
      </c>
      <c r="Q52" s="30">
        <f t="shared" si="9"/>
        <v>2044.0000000000002</v>
      </c>
      <c r="R52" s="30">
        <f t="shared" si="9"/>
        <v>2044.0000000000002</v>
      </c>
      <c r="S52" s="30">
        <f t="shared" si="9"/>
        <v>2044.0000000000002</v>
      </c>
      <c r="T52" s="30">
        <f t="shared" si="9"/>
        <v>2044.0000000000002</v>
      </c>
      <c r="U52" s="30">
        <f t="shared" si="9"/>
        <v>2044.0000000000002</v>
      </c>
      <c r="V52" s="30">
        <f t="shared" si="9"/>
        <v>2044.0000000000002</v>
      </c>
      <c r="W52" s="30">
        <f t="shared" si="9"/>
        <v>2044.0000000000002</v>
      </c>
      <c r="X52" s="30">
        <f t="shared" si="9"/>
        <v>2044.0000000000002</v>
      </c>
      <c r="Y52" s="30">
        <f t="shared" si="9"/>
        <v>2044.0000000000002</v>
      </c>
      <c r="Z52" s="30">
        <f t="shared" si="9"/>
        <v>2044.0000000000002</v>
      </c>
    </row>
    <row r="53" spans="3:26" x14ac:dyDescent="0.25">
      <c r="C53" t="s">
        <v>101</v>
      </c>
      <c r="D53" s="1">
        <f>D52*$D$12</f>
        <v>1635.2000000000003</v>
      </c>
      <c r="E53" s="1">
        <f t="shared" ref="E53:Z53" si="10">E52*$D$12</f>
        <v>1635.2000000000003</v>
      </c>
      <c r="F53" s="1">
        <f t="shared" si="10"/>
        <v>1635.2000000000003</v>
      </c>
      <c r="G53" s="1">
        <f t="shared" si="10"/>
        <v>1635.2000000000003</v>
      </c>
      <c r="H53" s="1">
        <f t="shared" si="10"/>
        <v>1635.2000000000003</v>
      </c>
      <c r="I53" s="1">
        <f t="shared" si="10"/>
        <v>1635.2000000000003</v>
      </c>
      <c r="J53" s="1">
        <f t="shared" si="10"/>
        <v>1635.2000000000003</v>
      </c>
      <c r="K53" s="1">
        <f t="shared" si="10"/>
        <v>1635.2000000000003</v>
      </c>
      <c r="L53" s="1">
        <f t="shared" si="10"/>
        <v>1635.2000000000003</v>
      </c>
      <c r="M53" s="1">
        <f t="shared" si="10"/>
        <v>1635.2000000000003</v>
      </c>
      <c r="N53" s="1">
        <f t="shared" si="10"/>
        <v>1635.2000000000003</v>
      </c>
      <c r="O53" s="1">
        <f t="shared" si="10"/>
        <v>1635.2000000000003</v>
      </c>
      <c r="P53" s="1">
        <f t="shared" si="10"/>
        <v>1635.2000000000003</v>
      </c>
      <c r="Q53" s="1">
        <f t="shared" si="10"/>
        <v>1635.2000000000003</v>
      </c>
      <c r="R53" s="1">
        <f t="shared" si="10"/>
        <v>1635.2000000000003</v>
      </c>
      <c r="S53" s="1">
        <f t="shared" si="10"/>
        <v>1635.2000000000003</v>
      </c>
      <c r="T53" s="1">
        <f t="shared" si="10"/>
        <v>1635.2000000000003</v>
      </c>
      <c r="U53" s="1">
        <f t="shared" si="10"/>
        <v>1635.2000000000003</v>
      </c>
      <c r="V53" s="1">
        <f t="shared" si="10"/>
        <v>1635.2000000000003</v>
      </c>
      <c r="W53" s="1">
        <f t="shared" si="10"/>
        <v>1635.2000000000003</v>
      </c>
      <c r="X53" s="1">
        <f t="shared" si="10"/>
        <v>1635.2000000000003</v>
      </c>
      <c r="Y53" s="1">
        <f t="shared" si="10"/>
        <v>1635.2000000000003</v>
      </c>
      <c r="Z53" s="1">
        <f t="shared" si="10"/>
        <v>1635.2000000000003</v>
      </c>
    </row>
    <row r="54" spans="3:26" x14ac:dyDescent="0.25">
      <c r="C54" t="s">
        <v>100</v>
      </c>
      <c r="D54">
        <f>D53/(1+$D$13)^(D50-2019)</f>
        <v>1635.2000000000003</v>
      </c>
      <c r="E54">
        <f t="shared" ref="E54:Z54" si="11">E53/(1+$D$13)^(E50-2019)</f>
        <v>1587.5728155339807</v>
      </c>
      <c r="F54">
        <f t="shared" si="11"/>
        <v>1541.3328306155154</v>
      </c>
      <c r="G54">
        <f t="shared" si="11"/>
        <v>1496.4396413742868</v>
      </c>
      <c r="H54">
        <f t="shared" si="11"/>
        <v>1452.8540207517349</v>
      </c>
      <c r="I54">
        <f t="shared" si="11"/>
        <v>1410.5378842249854</v>
      </c>
      <c r="J54">
        <f t="shared" si="11"/>
        <v>1369.4542565291119</v>
      </c>
      <c r="K54">
        <f t="shared" si="11"/>
        <v>1329.5672393486523</v>
      </c>
      <c r="L54">
        <f t="shared" si="11"/>
        <v>1290.841979950148</v>
      </c>
      <c r="M54">
        <f t="shared" si="11"/>
        <v>1253.2446407282989</v>
      </c>
      <c r="N54">
        <f t="shared" si="11"/>
        <v>1216.7423696391252</v>
      </c>
      <c r="O54">
        <f t="shared" si="11"/>
        <v>1181.3032714942963</v>
      </c>
      <c r="P54">
        <f t="shared" si="11"/>
        <v>1146.8963800915499</v>
      </c>
      <c r="Q54">
        <f t="shared" si="11"/>
        <v>1113.4916311568447</v>
      </c>
      <c r="R54">
        <f t="shared" si="11"/>
        <v>1081.0598360746064</v>
      </c>
      <c r="S54">
        <f t="shared" si="11"/>
        <v>1049.5726563831129</v>
      </c>
      <c r="T54">
        <f t="shared" si="11"/>
        <v>1019.0025790127312</v>
      </c>
      <c r="U54">
        <f t="shared" si="11"/>
        <v>989.3228922453701</v>
      </c>
      <c r="V54">
        <f t="shared" si="11"/>
        <v>960.50766237414564</v>
      </c>
      <c r="W54">
        <f t="shared" si="11"/>
        <v>932.53171104285991</v>
      </c>
      <c r="X54">
        <f t="shared" si="11"/>
        <v>905.37059324549512</v>
      </c>
      <c r="Y54">
        <f t="shared" si="11"/>
        <v>879.00057596650015</v>
      </c>
      <c r="Z54">
        <f t="shared" si="11"/>
        <v>853.39861744320399</v>
      </c>
    </row>
    <row r="55" spans="3:26" x14ac:dyDescent="0.25">
      <c r="C55" t="s">
        <v>102</v>
      </c>
      <c r="D55">
        <f>SUM(D54:K54)</f>
        <v>11822.958688378269</v>
      </c>
      <c r="E55">
        <f>SUM(E54:L54)</f>
        <v>11478.600668328416</v>
      </c>
      <c r="F55">
        <f t="shared" ref="F55:O55" si="12">SUM(F54:M54)</f>
        <v>11144.272493522734</v>
      </c>
      <c r="G55">
        <f t="shared" si="12"/>
        <v>10819.682032546343</v>
      </c>
      <c r="H55">
        <f t="shared" si="12"/>
        <v>10504.545662666353</v>
      </c>
      <c r="I55">
        <f t="shared" si="12"/>
        <v>10198.588022006168</v>
      </c>
      <c r="J55">
        <f t="shared" si="12"/>
        <v>9901.5417689380265</v>
      </c>
      <c r="K55">
        <f t="shared" si="12"/>
        <v>9613.1473484835205</v>
      </c>
      <c r="L55">
        <f t="shared" si="12"/>
        <v>9333.1527655179816</v>
      </c>
      <c r="M55">
        <f t="shared" si="12"/>
        <v>9061.3133645805665</v>
      </c>
      <c r="N55">
        <f t="shared" si="12"/>
        <v>8797.3916160976369</v>
      </c>
      <c r="O55">
        <f t="shared" si="12"/>
        <v>8541.1569088326578</v>
      </c>
    </row>
    <row r="57" spans="3:26" x14ac:dyDescent="0.25">
      <c r="C57" t="s">
        <v>103</v>
      </c>
      <c r="D57">
        <f>27*300+27*100</f>
        <v>10800</v>
      </c>
    </row>
    <row r="61" spans="3:26" x14ac:dyDescent="0.25">
      <c r="C61" t="s">
        <v>104</v>
      </c>
      <c r="D61">
        <v>4300</v>
      </c>
      <c r="E61">
        <v>4300</v>
      </c>
      <c r="F61">
        <v>4300</v>
      </c>
      <c r="G61">
        <v>4300</v>
      </c>
      <c r="H61">
        <v>4300</v>
      </c>
      <c r="I61">
        <v>4300</v>
      </c>
      <c r="J61">
        <v>4300</v>
      </c>
      <c r="K61">
        <v>4300</v>
      </c>
      <c r="L61">
        <v>4300</v>
      </c>
      <c r="M61">
        <v>4300</v>
      </c>
      <c r="N61">
        <v>4300</v>
      </c>
      <c r="O61">
        <v>4300</v>
      </c>
      <c r="P61">
        <v>4300</v>
      </c>
      <c r="Q61">
        <v>4300</v>
      </c>
      <c r="R61">
        <v>4300</v>
      </c>
      <c r="S61">
        <v>4300</v>
      </c>
      <c r="T61">
        <v>4300</v>
      </c>
      <c r="U61">
        <v>4300</v>
      </c>
      <c r="V61">
        <v>4300</v>
      </c>
      <c r="W61">
        <v>4300</v>
      </c>
      <c r="X61">
        <v>4300</v>
      </c>
      <c r="Y61">
        <v>4300</v>
      </c>
      <c r="Z61">
        <v>4300</v>
      </c>
    </row>
    <row r="62" spans="3:26" x14ac:dyDescent="0.25">
      <c r="C62" t="s">
        <v>105</v>
      </c>
      <c r="D62">
        <f>D61/(1+0.03)^(D50-2019)</f>
        <v>4300</v>
      </c>
      <c r="E62">
        <f t="shared" ref="E62:O62" si="13">E61/(1+0.03)^(E50-2019)</f>
        <v>4174.7572815533977</v>
      </c>
      <c r="F62">
        <f t="shared" si="13"/>
        <v>4053.162409275144</v>
      </c>
      <c r="G62">
        <f t="shared" si="13"/>
        <v>3935.1091352185863</v>
      </c>
      <c r="H62">
        <f t="shared" si="13"/>
        <v>3820.4943060374626</v>
      </c>
      <c r="I62">
        <f t="shared" si="13"/>
        <v>3709.2177728519055</v>
      </c>
      <c r="J62">
        <f t="shared" si="13"/>
        <v>3601.1823037397139</v>
      </c>
      <c r="K62">
        <f t="shared" si="13"/>
        <v>3496.2934987764211</v>
      </c>
      <c r="L62">
        <f t="shared" si="13"/>
        <v>3394.4597075499237</v>
      </c>
      <c r="M62">
        <f t="shared" si="13"/>
        <v>3295.5919490775959</v>
      </c>
      <c r="N62">
        <f t="shared" si="13"/>
        <v>3199.6038340559185</v>
      </c>
      <c r="O62">
        <f t="shared" si="13"/>
        <v>3106.4114893746778</v>
      </c>
    </row>
    <row r="63" spans="3:26" x14ac:dyDescent="0.25">
      <c r="C63" t="s">
        <v>106</v>
      </c>
      <c r="D63" s="145">
        <f>SUM(D62:K62)</f>
        <v>31090.216707452633</v>
      </c>
      <c r="E63" s="145">
        <f>SUM(E62:L62)</f>
        <v>30184.676415002552</v>
      </c>
      <c r="F63" s="145">
        <f>SUM(F62:M62)</f>
        <v>29305.511082526751</v>
      </c>
      <c r="G63" s="145">
        <f t="shared" ref="G63:O63" si="14">SUM(G62:N62)</f>
        <v>28451.952507307524</v>
      </c>
      <c r="H63" s="145">
        <f t="shared" si="14"/>
        <v>27623.254861463614</v>
      </c>
      <c r="I63" s="145">
        <f t="shared" si="14"/>
        <v>23802.760555426157</v>
      </c>
      <c r="J63" s="145">
        <f t="shared" si="14"/>
        <v>20093.542782574252</v>
      </c>
      <c r="K63" s="145">
        <f t="shared" si="14"/>
        <v>16492.360478834536</v>
      </c>
      <c r="L63" s="145">
        <f t="shared" si="14"/>
        <v>12996.066980058116</v>
      </c>
      <c r="M63" s="145">
        <f t="shared" si="14"/>
        <v>9601.6072725081922</v>
      </c>
      <c r="N63" s="145">
        <f t="shared" si="14"/>
        <v>6306.0153234305963</v>
      </c>
      <c r="O63" s="145">
        <f t="shared" si="14"/>
        <v>3106.4114893746778</v>
      </c>
    </row>
    <row r="66" spans="3:26" x14ac:dyDescent="0.25">
      <c r="C66" t="s">
        <v>98</v>
      </c>
      <c r="D66">
        <v>14600</v>
      </c>
      <c r="E66">
        <v>14600</v>
      </c>
      <c r="F66">
        <v>14600</v>
      </c>
      <c r="G66">
        <v>14600</v>
      </c>
      <c r="H66">
        <v>14600</v>
      </c>
      <c r="I66">
        <v>14600</v>
      </c>
      <c r="J66">
        <v>14600</v>
      </c>
      <c r="K66">
        <v>14600</v>
      </c>
      <c r="L66">
        <v>14600</v>
      </c>
      <c r="M66">
        <v>14600</v>
      </c>
      <c r="N66">
        <v>14600</v>
      </c>
      <c r="O66">
        <v>14600</v>
      </c>
      <c r="P66">
        <v>14600</v>
      </c>
      <c r="Q66">
        <v>14600</v>
      </c>
      <c r="R66">
        <v>14600</v>
      </c>
      <c r="S66">
        <v>14600</v>
      </c>
      <c r="T66">
        <v>14600</v>
      </c>
      <c r="U66">
        <v>14600</v>
      </c>
      <c r="V66">
        <v>14600</v>
      </c>
      <c r="W66">
        <v>14600</v>
      </c>
      <c r="X66">
        <v>14600</v>
      </c>
      <c r="Y66">
        <v>14600</v>
      </c>
      <c r="Z66">
        <v>14600</v>
      </c>
    </row>
    <row r="67" spans="3:26" x14ac:dyDescent="0.25">
      <c r="C67" t="s">
        <v>107</v>
      </c>
      <c r="D67" s="30">
        <f>($D$29/100)*D66</f>
        <v>1022.0000000000001</v>
      </c>
      <c r="E67" s="30">
        <f t="shared" ref="E67:Z67" si="15">($D$29/100)*E66</f>
        <v>1022.0000000000001</v>
      </c>
      <c r="F67" s="30">
        <f t="shared" si="15"/>
        <v>1022.0000000000001</v>
      </c>
      <c r="G67" s="30">
        <f t="shared" si="15"/>
        <v>1022.0000000000001</v>
      </c>
      <c r="H67" s="30">
        <f t="shared" si="15"/>
        <v>1022.0000000000001</v>
      </c>
      <c r="I67" s="30">
        <f t="shared" si="15"/>
        <v>1022.0000000000001</v>
      </c>
      <c r="J67" s="30">
        <f t="shared" si="15"/>
        <v>1022.0000000000001</v>
      </c>
      <c r="K67" s="30">
        <f t="shared" si="15"/>
        <v>1022.0000000000001</v>
      </c>
      <c r="L67" s="30">
        <f t="shared" si="15"/>
        <v>1022.0000000000001</v>
      </c>
      <c r="M67" s="30">
        <f t="shared" si="15"/>
        <v>1022.0000000000001</v>
      </c>
      <c r="N67" s="30">
        <f t="shared" si="15"/>
        <v>1022.0000000000001</v>
      </c>
      <c r="O67" s="30">
        <f t="shared" si="15"/>
        <v>1022.0000000000001</v>
      </c>
      <c r="P67" s="30">
        <f t="shared" si="15"/>
        <v>1022.0000000000001</v>
      </c>
      <c r="Q67" s="30">
        <f t="shared" si="15"/>
        <v>1022.0000000000001</v>
      </c>
      <c r="R67" s="30">
        <f t="shared" si="15"/>
        <v>1022.0000000000001</v>
      </c>
      <c r="S67" s="30">
        <f t="shared" si="15"/>
        <v>1022.0000000000001</v>
      </c>
      <c r="T67" s="30">
        <f t="shared" si="15"/>
        <v>1022.0000000000001</v>
      </c>
      <c r="U67" s="30">
        <f t="shared" si="15"/>
        <v>1022.0000000000001</v>
      </c>
      <c r="V67" s="30">
        <f t="shared" si="15"/>
        <v>1022.0000000000001</v>
      </c>
      <c r="W67" s="30">
        <f t="shared" si="15"/>
        <v>1022.0000000000001</v>
      </c>
      <c r="X67" s="30">
        <f t="shared" si="15"/>
        <v>1022.0000000000001</v>
      </c>
      <c r="Y67" s="30">
        <f t="shared" si="15"/>
        <v>1022.0000000000001</v>
      </c>
      <c r="Z67" s="30">
        <f t="shared" si="15"/>
        <v>1022.0000000000001</v>
      </c>
    </row>
    <row r="68" spans="3:26" x14ac:dyDescent="0.25">
      <c r="C68" t="s">
        <v>108</v>
      </c>
      <c r="D68">
        <f>D67*$D$30</f>
        <v>7154.0000000000009</v>
      </c>
      <c r="E68">
        <f t="shared" ref="E68:Z68" si="16">E67*$D$30</f>
        <v>7154.0000000000009</v>
      </c>
      <c r="F68">
        <f t="shared" si="16"/>
        <v>7154.0000000000009</v>
      </c>
      <c r="G68">
        <f t="shared" si="16"/>
        <v>7154.0000000000009</v>
      </c>
      <c r="H68">
        <f t="shared" si="16"/>
        <v>7154.0000000000009</v>
      </c>
      <c r="I68">
        <f t="shared" si="16"/>
        <v>7154.0000000000009</v>
      </c>
      <c r="J68">
        <f t="shared" si="16"/>
        <v>7154.0000000000009</v>
      </c>
      <c r="K68">
        <f t="shared" si="16"/>
        <v>7154.0000000000009</v>
      </c>
      <c r="L68">
        <f t="shared" si="16"/>
        <v>7154.0000000000009</v>
      </c>
      <c r="M68">
        <f t="shared" si="16"/>
        <v>7154.0000000000009</v>
      </c>
      <c r="N68">
        <f t="shared" si="16"/>
        <v>7154.0000000000009</v>
      </c>
      <c r="O68">
        <f t="shared" si="16"/>
        <v>7154.0000000000009</v>
      </c>
      <c r="P68">
        <f t="shared" si="16"/>
        <v>7154.0000000000009</v>
      </c>
      <c r="Q68">
        <f t="shared" si="16"/>
        <v>7154.0000000000009</v>
      </c>
      <c r="R68">
        <f t="shared" si="16"/>
        <v>7154.0000000000009</v>
      </c>
      <c r="S68">
        <f t="shared" si="16"/>
        <v>7154.0000000000009</v>
      </c>
      <c r="T68">
        <f t="shared" si="16"/>
        <v>7154.0000000000009</v>
      </c>
      <c r="U68">
        <f t="shared" si="16"/>
        <v>7154.0000000000009</v>
      </c>
      <c r="V68">
        <f t="shared" si="16"/>
        <v>7154.0000000000009</v>
      </c>
      <c r="W68">
        <f t="shared" si="16"/>
        <v>7154.0000000000009</v>
      </c>
      <c r="X68">
        <f t="shared" si="16"/>
        <v>7154.0000000000009</v>
      </c>
      <c r="Y68">
        <f t="shared" si="16"/>
        <v>7154.0000000000009</v>
      </c>
      <c r="Z68">
        <f t="shared" si="16"/>
        <v>7154.0000000000009</v>
      </c>
    </row>
    <row r="69" spans="3:26" x14ac:dyDescent="0.25">
      <c r="C69" t="s">
        <v>109</v>
      </c>
      <c r="D69">
        <f>D68/(1+$D$31)^(D50-2019)</f>
        <v>7154.0000000000009</v>
      </c>
      <c r="E69">
        <f t="shared" ref="E69:Z69" si="17">E68/(1+$D$31)^(E50-2019)</f>
        <v>6945.6310679611661</v>
      </c>
      <c r="F69">
        <f t="shared" si="17"/>
        <v>6743.3311339428801</v>
      </c>
      <c r="G69">
        <f t="shared" si="17"/>
        <v>6546.9234310125048</v>
      </c>
      <c r="H69">
        <f t="shared" si="17"/>
        <v>6356.2363407888397</v>
      </c>
      <c r="I69">
        <f t="shared" si="17"/>
        <v>6171.103243484311</v>
      </c>
      <c r="J69">
        <f t="shared" si="17"/>
        <v>5991.3623723148648</v>
      </c>
      <c r="K69">
        <f t="shared" si="17"/>
        <v>5816.8566721503539</v>
      </c>
      <c r="L69">
        <f t="shared" si="17"/>
        <v>5647.4336622818973</v>
      </c>
      <c r="M69">
        <f t="shared" si="17"/>
        <v>5482.9453031863077</v>
      </c>
      <c r="N69">
        <f t="shared" si="17"/>
        <v>5323.2478671711724</v>
      </c>
      <c r="O69">
        <f t="shared" si="17"/>
        <v>5168.2018127875463</v>
      </c>
      <c r="P69">
        <f t="shared" si="17"/>
        <v>5017.6716629005314</v>
      </c>
      <c r="Q69">
        <f t="shared" si="17"/>
        <v>4871.5258863111958</v>
      </c>
      <c r="R69">
        <f t="shared" si="17"/>
        <v>4729.6367828264029</v>
      </c>
      <c r="S69">
        <f t="shared" si="17"/>
        <v>4591.8803716761186</v>
      </c>
      <c r="T69">
        <f t="shared" si="17"/>
        <v>4458.1362831806991</v>
      </c>
      <c r="U69">
        <f t="shared" si="17"/>
        <v>4328.287653573494</v>
      </c>
      <c r="V69">
        <f t="shared" si="17"/>
        <v>4202.2210228868871</v>
      </c>
      <c r="W69">
        <f t="shared" si="17"/>
        <v>4079.8262358125121</v>
      </c>
      <c r="X69">
        <f t="shared" si="17"/>
        <v>3960.9963454490407</v>
      </c>
      <c r="Y69">
        <f t="shared" si="17"/>
        <v>3845.6275198534381</v>
      </c>
      <c r="Z69">
        <f t="shared" si="17"/>
        <v>3733.6189513140175</v>
      </c>
    </row>
    <row r="70" spans="3:26" x14ac:dyDescent="0.25">
      <c r="C70" t="s">
        <v>110</v>
      </c>
      <c r="D70" s="1">
        <f>SUM(D69:K69)</f>
        <v>51725.444261654913</v>
      </c>
      <c r="E70" s="1">
        <f t="shared" ref="E70:O70" si="18">SUM(E69:L69)</f>
        <v>50218.877923936816</v>
      </c>
      <c r="F70" s="1">
        <f t="shared" si="18"/>
        <v>48756.192159161954</v>
      </c>
      <c r="G70" s="1">
        <f t="shared" si="18"/>
        <v>47336.10889239025</v>
      </c>
      <c r="H70" s="1">
        <f t="shared" si="18"/>
        <v>45957.387274165296</v>
      </c>
      <c r="I70" s="1">
        <f t="shared" si="18"/>
        <v>44618.822596276987</v>
      </c>
      <c r="J70" s="1">
        <f t="shared" si="18"/>
        <v>43319.245239103875</v>
      </c>
      <c r="K70" s="1">
        <f t="shared" si="18"/>
        <v>42057.519649615409</v>
      </c>
      <c r="L70" s="1">
        <f t="shared" si="18"/>
        <v>40832.543349141168</v>
      </c>
      <c r="M70" s="1">
        <f t="shared" si="18"/>
        <v>39643.24597003997</v>
      </c>
      <c r="N70" s="1">
        <f t="shared" si="18"/>
        <v>38488.588320427152</v>
      </c>
      <c r="O70" s="1">
        <f t="shared" si="18"/>
        <v>37367.561476142866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8"/>
  <sheetViews>
    <sheetView topLeftCell="A13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73">
        <v>2030</v>
      </c>
    </row>
    <row r="6" spans="3:15" x14ac:dyDescent="0.25">
      <c r="C6" s="102" t="s">
        <v>62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98">
        <v>97226.00791038938</v>
      </c>
    </row>
    <row r="7" spans="3:15" x14ac:dyDescent="0.25">
      <c r="C7" s="102" t="s">
        <v>46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99">
        <v>9722.600791038938</v>
      </c>
    </row>
    <row r="8" spans="3:15" x14ac:dyDescent="0.25">
      <c r="C8" s="102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0">
        <v>106948.60870142831</v>
      </c>
    </row>
    <row r="9" spans="3:15" x14ac:dyDescent="0.25">
      <c r="C9" s="102" t="s">
        <v>84</v>
      </c>
      <c r="D9" s="79">
        <v>60</v>
      </c>
      <c r="E9" s="147">
        <v>60</v>
      </c>
      <c r="F9" s="147">
        <v>60</v>
      </c>
      <c r="G9" s="147">
        <v>60</v>
      </c>
      <c r="H9" s="148">
        <v>60</v>
      </c>
      <c r="I9" s="148">
        <v>60</v>
      </c>
      <c r="J9" s="148">
        <v>60</v>
      </c>
      <c r="K9" s="149">
        <v>60</v>
      </c>
      <c r="L9" s="149">
        <v>60</v>
      </c>
      <c r="M9" s="149">
        <v>60</v>
      </c>
      <c r="N9" s="149">
        <v>60</v>
      </c>
      <c r="O9" s="169">
        <v>60</v>
      </c>
    </row>
    <row r="10" spans="3:15" x14ac:dyDescent="0.25">
      <c r="C10" s="102" t="s">
        <v>94</v>
      </c>
      <c r="D10" s="79">
        <v>8</v>
      </c>
      <c r="E10" s="147">
        <v>8</v>
      </c>
      <c r="F10" s="147">
        <v>8</v>
      </c>
      <c r="G10" s="147">
        <v>8</v>
      </c>
      <c r="H10" s="148">
        <v>8</v>
      </c>
      <c r="I10" s="148">
        <v>8</v>
      </c>
      <c r="J10" s="148">
        <v>8</v>
      </c>
      <c r="K10" s="149">
        <v>8</v>
      </c>
      <c r="L10" s="149">
        <v>8</v>
      </c>
      <c r="M10" s="149">
        <v>8</v>
      </c>
      <c r="N10" s="149">
        <v>8</v>
      </c>
      <c r="O10" s="16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17734.438032567406</v>
      </c>
      <c r="E14" s="90">
        <v>17217.901002492625</v>
      </c>
      <c r="F14" s="90">
        <v>16716.408740284103</v>
      </c>
      <c r="G14" s="90">
        <v>16229.523048819519</v>
      </c>
      <c r="H14" s="94">
        <v>15756.818493999534</v>
      </c>
      <c r="I14" s="94">
        <v>15297.882033009255</v>
      </c>
      <c r="J14" s="94">
        <v>14852.312653407043</v>
      </c>
      <c r="K14" s="95">
        <v>14419.721022725285</v>
      </c>
      <c r="L14" s="95">
        <v>13999.729148276976</v>
      </c>
      <c r="M14" s="95">
        <v>13591.970046870851</v>
      </c>
      <c r="N14" s="95">
        <v>13196.087424146457</v>
      </c>
      <c r="O14" s="101">
        <v>12811.735363248987</v>
      </c>
    </row>
    <row r="15" spans="3:15" x14ac:dyDescent="0.25">
      <c r="C15" s="102" t="s">
        <v>89</v>
      </c>
      <c r="D15" s="79">
        <f>8*300+9*100</f>
        <v>3300</v>
      </c>
      <c r="E15" s="90">
        <f>D15*(1-$D$13)</f>
        <v>3201</v>
      </c>
      <c r="F15" s="90">
        <f t="shared" ref="F15:O15" si="0">E15*(1-$D$13)</f>
        <v>3104.97</v>
      </c>
      <c r="G15" s="90">
        <f t="shared" si="0"/>
        <v>3011.8208999999997</v>
      </c>
      <c r="H15" s="94">
        <f t="shared" si="0"/>
        <v>2921.4662729999995</v>
      </c>
      <c r="I15" s="94">
        <f t="shared" si="0"/>
        <v>2833.8222848099995</v>
      </c>
      <c r="J15" s="94">
        <f t="shared" si="0"/>
        <v>2748.8076162656994</v>
      </c>
      <c r="K15" s="95">
        <f t="shared" si="0"/>
        <v>2666.3433877777284</v>
      </c>
      <c r="L15" s="95">
        <f t="shared" si="0"/>
        <v>2586.3530861443965</v>
      </c>
      <c r="M15" s="95">
        <f t="shared" si="0"/>
        <v>2508.7624935600643</v>
      </c>
      <c r="N15" s="95">
        <f t="shared" si="0"/>
        <v>2433.4996187532624</v>
      </c>
      <c r="O15" s="101">
        <f t="shared" si="0"/>
        <v>2360.4946301906643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101">
        <f t="shared" si="1"/>
        <v>14583.901186558407</v>
      </c>
    </row>
    <row r="19" spans="3:15" x14ac:dyDescent="0.25">
      <c r="C19" s="160" t="s">
        <v>93</v>
      </c>
      <c r="D19" s="161">
        <f>D8+D14+D15+D16+D17-D18</f>
        <v>205694.86307335339</v>
      </c>
      <c r="E19" s="158">
        <f t="shared" ref="E19:O19" si="2">E8+E14+E15+E16+E17-E18</f>
        <v>193939.78575082851</v>
      </c>
      <c r="F19" s="158">
        <f t="shared" si="2"/>
        <v>199012.98148947756</v>
      </c>
      <c r="G19" s="158">
        <f t="shared" si="2"/>
        <v>188278.50812279372</v>
      </c>
      <c r="H19" s="159">
        <f t="shared" si="2"/>
        <v>178496.95929512984</v>
      </c>
      <c r="I19" s="159">
        <f t="shared" si="2"/>
        <v>166560.07173991212</v>
      </c>
      <c r="J19" s="159">
        <f t="shared" si="2"/>
        <v>155488.43839891368</v>
      </c>
      <c r="K19" s="162">
        <f t="shared" si="2"/>
        <v>145204.55186800429</v>
      </c>
      <c r="L19" s="162">
        <f t="shared" si="2"/>
        <v>135638.39266194621</v>
      </c>
      <c r="M19" s="162">
        <f t="shared" si="2"/>
        <v>126726.68808232583</v>
      </c>
      <c r="N19" s="162">
        <f t="shared" si="2"/>
        <v>118412.24497544504</v>
      </c>
      <c r="O19" s="172">
        <f t="shared" si="2"/>
        <v>110643.34899768422</v>
      </c>
    </row>
    <row r="20" spans="3:15" x14ac:dyDescent="0.25">
      <c r="C20" s="131" t="s">
        <v>383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144616.66666666666</v>
      </c>
      <c r="E22" s="87">
        <v>145216.66666666666</v>
      </c>
      <c r="F22" s="87">
        <v>145828.66666666666</v>
      </c>
      <c r="G22" s="87">
        <v>146452.90666666665</v>
      </c>
      <c r="H22" s="88">
        <v>147089.63146666664</v>
      </c>
      <c r="I22" s="88">
        <v>147739.09076266666</v>
      </c>
      <c r="J22" s="88">
        <v>148401.53924458666</v>
      </c>
      <c r="K22" s="89">
        <v>149077.23669614506</v>
      </c>
      <c r="L22" s="89">
        <v>149766.44809673462</v>
      </c>
      <c r="M22" s="89">
        <v>150469.44372533596</v>
      </c>
      <c r="N22" s="89">
        <v>151186.49926650935</v>
      </c>
      <c r="O22" s="107">
        <v>151917.8959185062</v>
      </c>
    </row>
    <row r="23" spans="3:15" x14ac:dyDescent="0.25">
      <c r="C23" s="102" t="s">
        <v>46</v>
      </c>
      <c r="D23" s="117">
        <v>14461.666666666666</v>
      </c>
      <c r="E23" s="76">
        <v>14521.666666666666</v>
      </c>
      <c r="F23" s="76">
        <v>14582.866666666667</v>
      </c>
      <c r="G23" s="76">
        <v>14645.290666666666</v>
      </c>
      <c r="H23" s="77">
        <v>14708.963146666665</v>
      </c>
      <c r="I23" s="77">
        <v>14773.909076266667</v>
      </c>
      <c r="J23" s="77">
        <v>14840.153924458667</v>
      </c>
      <c r="K23" s="78">
        <v>14907.723669614506</v>
      </c>
      <c r="L23" s="78">
        <v>14976.644809673462</v>
      </c>
      <c r="M23" s="78">
        <v>15046.944372533597</v>
      </c>
      <c r="N23" s="78">
        <v>15118.649926650935</v>
      </c>
      <c r="O23" s="104">
        <v>15191.78959185062</v>
      </c>
    </row>
    <row r="24" spans="3:15" x14ac:dyDescent="0.25">
      <c r="C24" s="102" t="s">
        <v>56</v>
      </c>
      <c r="D24" s="93">
        <v>159078.33333333331</v>
      </c>
      <c r="E24" s="71">
        <v>159738.33333333331</v>
      </c>
      <c r="F24" s="71">
        <v>160411.53333333333</v>
      </c>
      <c r="G24" s="135">
        <v>161098.19733333332</v>
      </c>
      <c r="H24" s="72">
        <v>161798.59461333332</v>
      </c>
      <c r="I24" s="72">
        <v>162512.99983893332</v>
      </c>
      <c r="J24" s="72">
        <v>163241.69316904532</v>
      </c>
      <c r="K24" s="73">
        <v>163984.96036575956</v>
      </c>
      <c r="L24" s="73">
        <v>164743.09290640807</v>
      </c>
      <c r="M24" s="73">
        <v>165516.38809786955</v>
      </c>
      <c r="N24" s="73">
        <v>166305.14919316029</v>
      </c>
      <c r="O24" s="103">
        <v>167109.68551035682</v>
      </c>
    </row>
    <row r="25" spans="3:15" x14ac:dyDescent="0.25">
      <c r="C25" s="102" t="s">
        <v>84</v>
      </c>
      <c r="D25" s="70">
        <v>60</v>
      </c>
      <c r="E25" s="71">
        <v>60</v>
      </c>
      <c r="F25" s="71">
        <v>60</v>
      </c>
      <c r="G25" s="80">
        <v>60</v>
      </c>
      <c r="H25" s="72">
        <v>60</v>
      </c>
      <c r="I25" s="72">
        <v>60</v>
      </c>
      <c r="J25" s="72">
        <v>60</v>
      </c>
      <c r="K25" s="73">
        <v>60</v>
      </c>
      <c r="L25" s="73">
        <v>60</v>
      </c>
      <c r="M25" s="73">
        <v>60</v>
      </c>
      <c r="N25" s="73">
        <v>60</v>
      </c>
      <c r="O25" s="103">
        <v>60</v>
      </c>
    </row>
    <row r="26" spans="3:15" x14ac:dyDescent="0.25">
      <c r="C26" s="102" t="s">
        <v>94</v>
      </c>
      <c r="D26" s="70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70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77588.166392482381</v>
      </c>
      <c r="E30" s="71">
        <v>75328.316885905209</v>
      </c>
      <c r="F30" s="71">
        <v>73134.288238742942</v>
      </c>
      <c r="G30" s="80">
        <v>71004.163338585378</v>
      </c>
      <c r="H30" s="72">
        <v>68936.080911247947</v>
      </c>
      <c r="I30" s="72">
        <v>66928.233894415476</v>
      </c>
      <c r="J30" s="72">
        <v>64978.867858655809</v>
      </c>
      <c r="K30" s="73">
        <v>63086.279474423114</v>
      </c>
      <c r="L30" s="73">
        <v>61248.815023711759</v>
      </c>
      <c r="M30" s="73">
        <v>59464.868955059967</v>
      </c>
      <c r="N30" s="73">
        <v>57732.882480640743</v>
      </c>
      <c r="O30" s="103">
        <v>56051.342214214317</v>
      </c>
    </row>
    <row r="31" spans="3:15" x14ac:dyDescent="0.25">
      <c r="C31" s="102" t="s">
        <v>89</v>
      </c>
      <c r="D31" s="70">
        <f>18*600+17*1200</f>
        <v>31200</v>
      </c>
      <c r="E31" s="71">
        <f>D31*(1-$D$29)</f>
        <v>30264</v>
      </c>
      <c r="F31" s="71">
        <f t="shared" ref="F31:O31" si="3">E31*(1-$D$29)</f>
        <v>29356.079999999998</v>
      </c>
      <c r="G31" s="80">
        <f t="shared" si="3"/>
        <v>28475.397599999997</v>
      </c>
      <c r="H31" s="72">
        <f t="shared" si="3"/>
        <v>27621.135671999997</v>
      </c>
      <c r="I31" s="72">
        <f t="shared" si="3"/>
        <v>26792.501601839995</v>
      </c>
      <c r="J31" s="72">
        <f t="shared" si="3"/>
        <v>25988.726553784792</v>
      </c>
      <c r="K31" s="73">
        <f t="shared" si="3"/>
        <v>25209.064757171247</v>
      </c>
      <c r="L31" s="73">
        <f t="shared" si="3"/>
        <v>24452.792814456108</v>
      </c>
      <c r="M31" s="73">
        <f t="shared" si="3"/>
        <v>23719.209030022423</v>
      </c>
      <c r="N31" s="73">
        <f t="shared" si="3"/>
        <v>23007.632759121749</v>
      </c>
      <c r="O31" s="103">
        <f t="shared" si="3"/>
        <v>22317.403776348096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50615.833333333328</v>
      </c>
      <c r="E34" s="71">
        <f t="shared" ref="E34:O34" si="5">0.35*E22</f>
        <v>50825.833333333328</v>
      </c>
      <c r="F34" s="71">
        <f t="shared" si="5"/>
        <v>51040.033333333326</v>
      </c>
      <c r="G34" s="80">
        <f t="shared" si="5"/>
        <v>51258.517333333322</v>
      </c>
      <c r="H34" s="72">
        <f t="shared" si="5"/>
        <v>51481.371013333322</v>
      </c>
      <c r="I34" s="72">
        <f t="shared" si="5"/>
        <v>51708.681766933325</v>
      </c>
      <c r="J34" s="72">
        <f t="shared" si="5"/>
        <v>51940.538735605325</v>
      </c>
      <c r="K34" s="73">
        <f t="shared" si="5"/>
        <v>52177.03284365077</v>
      </c>
      <c r="L34" s="73">
        <f t="shared" si="5"/>
        <v>52418.256833857115</v>
      </c>
      <c r="M34" s="73">
        <f t="shared" si="5"/>
        <v>52664.305303867586</v>
      </c>
      <c r="N34" s="73">
        <f t="shared" si="5"/>
        <v>52915.274743278271</v>
      </c>
      <c r="O34" s="103">
        <f t="shared" si="5"/>
        <v>53171.263571477168</v>
      </c>
    </row>
    <row r="35" spans="3:15" x14ac:dyDescent="0.25">
      <c r="C35" s="160" t="s">
        <v>93</v>
      </c>
      <c r="D35" s="163">
        <f>D24+D30+D31+D32-D34</f>
        <v>246171.79821336857</v>
      </c>
      <c r="E35" s="164">
        <f t="shared" ref="E35:O35" si="6">E24+E30+E31+E32-E34</f>
        <v>242583.58564404713</v>
      </c>
      <c r="F35" s="164">
        <f t="shared" si="6"/>
        <v>239122.80878062826</v>
      </c>
      <c r="G35" s="165">
        <f t="shared" si="6"/>
        <v>235786.17350352259</v>
      </c>
      <c r="H35" s="166">
        <f t="shared" si="6"/>
        <v>232570.49121716758</v>
      </c>
      <c r="I35" s="166">
        <f t="shared" si="6"/>
        <v>226667.15641051231</v>
      </c>
      <c r="J35" s="166">
        <f t="shared" si="6"/>
        <v>220960.41655060084</v>
      </c>
      <c r="K35" s="167">
        <f t="shared" si="6"/>
        <v>215445.00243168871</v>
      </c>
      <c r="L35" s="167">
        <f t="shared" si="6"/>
        <v>210115.80854333105</v>
      </c>
      <c r="M35" s="167">
        <f t="shared" si="6"/>
        <v>204967.88847444081</v>
      </c>
      <c r="N35" s="167">
        <f t="shared" si="6"/>
        <v>199996.45045562647</v>
      </c>
      <c r="O35" s="168">
        <f t="shared" si="6"/>
        <v>195196.85303583712</v>
      </c>
    </row>
    <row r="37" spans="3:15" x14ac:dyDescent="0.25">
      <c r="C37" t="s">
        <v>319</v>
      </c>
      <c r="D37" s="30">
        <f>D19-D35</f>
        <v>-40476.935140015179</v>
      </c>
      <c r="E37" s="30">
        <f t="shared" ref="E37:O37" si="7">E19-E35</f>
        <v>-48643.799893218616</v>
      </c>
      <c r="F37" s="30">
        <f t="shared" si="7"/>
        <v>-40109.827291150694</v>
      </c>
      <c r="G37" s="30">
        <f t="shared" si="7"/>
        <v>-47507.665380728868</v>
      </c>
      <c r="H37" s="30">
        <f t="shared" si="7"/>
        <v>-54073.531922037742</v>
      </c>
      <c r="I37" s="30">
        <f t="shared" si="7"/>
        <v>-60107.08467060019</v>
      </c>
      <c r="J37" s="30">
        <f t="shared" si="7"/>
        <v>-65471.978151687159</v>
      </c>
      <c r="K37" s="30">
        <f t="shared" si="7"/>
        <v>-70240.450563684426</v>
      </c>
      <c r="L37" s="30">
        <f t="shared" si="7"/>
        <v>-74477.415881384833</v>
      </c>
      <c r="M37" s="30">
        <f t="shared" si="7"/>
        <v>-78241.200392114988</v>
      </c>
      <c r="N37" s="30">
        <f t="shared" si="7"/>
        <v>-81584.205480181437</v>
      </c>
      <c r="O37" s="30">
        <f t="shared" si="7"/>
        <v>-84553.504038152896</v>
      </c>
    </row>
    <row r="58" spans="3:26" x14ac:dyDescent="0.25">
      <c r="D58">
        <v>2019</v>
      </c>
      <c r="E58">
        <v>2020</v>
      </c>
      <c r="F58">
        <v>2021</v>
      </c>
      <c r="G58">
        <v>2022</v>
      </c>
      <c r="H58">
        <v>2023</v>
      </c>
      <c r="I58">
        <v>2024</v>
      </c>
      <c r="J58">
        <v>2025</v>
      </c>
      <c r="K58">
        <v>2026</v>
      </c>
      <c r="L58">
        <v>2027</v>
      </c>
      <c r="M58">
        <v>2028</v>
      </c>
      <c r="N58">
        <v>2029</v>
      </c>
      <c r="O58">
        <v>2030</v>
      </c>
      <c r="P58">
        <v>2031</v>
      </c>
      <c r="Q58">
        <v>2032</v>
      </c>
      <c r="R58">
        <v>2033</v>
      </c>
      <c r="S58">
        <v>2034</v>
      </c>
      <c r="T58">
        <v>2035</v>
      </c>
      <c r="U58">
        <v>2036</v>
      </c>
      <c r="V58">
        <v>2037</v>
      </c>
      <c r="W58">
        <v>2038</v>
      </c>
      <c r="X58">
        <v>2039</v>
      </c>
      <c r="Y58">
        <v>2040</v>
      </c>
      <c r="Z58">
        <v>2041</v>
      </c>
    </row>
    <row r="59" spans="3:26" x14ac:dyDescent="0.25">
      <c r="C59" t="s">
        <v>98</v>
      </c>
      <c r="D59">
        <f>60*365</f>
        <v>21900</v>
      </c>
      <c r="E59">
        <f t="shared" ref="E59:Z59" si="8">60*365</f>
        <v>21900</v>
      </c>
      <c r="F59">
        <f t="shared" si="8"/>
        <v>21900</v>
      </c>
      <c r="G59">
        <f t="shared" si="8"/>
        <v>21900</v>
      </c>
      <c r="H59">
        <f t="shared" si="8"/>
        <v>21900</v>
      </c>
      <c r="I59">
        <f t="shared" si="8"/>
        <v>21900</v>
      </c>
      <c r="J59">
        <f t="shared" si="8"/>
        <v>21900</v>
      </c>
      <c r="K59">
        <f t="shared" si="8"/>
        <v>21900</v>
      </c>
      <c r="L59">
        <f t="shared" si="8"/>
        <v>21900</v>
      </c>
      <c r="M59">
        <f t="shared" si="8"/>
        <v>21900</v>
      </c>
      <c r="N59">
        <f t="shared" si="8"/>
        <v>21900</v>
      </c>
      <c r="O59">
        <f t="shared" si="8"/>
        <v>21900</v>
      </c>
      <c r="P59">
        <f t="shared" si="8"/>
        <v>21900</v>
      </c>
      <c r="Q59">
        <f t="shared" si="8"/>
        <v>21900</v>
      </c>
      <c r="R59">
        <f t="shared" si="8"/>
        <v>21900</v>
      </c>
      <c r="S59">
        <f t="shared" si="8"/>
        <v>21900</v>
      </c>
      <c r="T59">
        <f t="shared" si="8"/>
        <v>21900</v>
      </c>
      <c r="U59">
        <f t="shared" si="8"/>
        <v>21900</v>
      </c>
      <c r="V59">
        <f t="shared" si="8"/>
        <v>21900</v>
      </c>
      <c r="W59">
        <f t="shared" si="8"/>
        <v>21900</v>
      </c>
      <c r="X59">
        <f t="shared" si="8"/>
        <v>21900</v>
      </c>
      <c r="Y59">
        <f t="shared" si="8"/>
        <v>21900</v>
      </c>
      <c r="Z59">
        <f t="shared" si="8"/>
        <v>21900</v>
      </c>
    </row>
    <row r="60" spans="3:26" x14ac:dyDescent="0.25">
      <c r="C60" t="s">
        <v>99</v>
      </c>
      <c r="D60" s="30">
        <f>($D$11/100)*D59</f>
        <v>3066.0000000000005</v>
      </c>
      <c r="E60" s="30">
        <f t="shared" ref="E60:Z60" si="9">($D$11/100)*E59</f>
        <v>3066.0000000000005</v>
      </c>
      <c r="F60" s="30">
        <f t="shared" si="9"/>
        <v>3066.0000000000005</v>
      </c>
      <c r="G60" s="30">
        <f t="shared" si="9"/>
        <v>3066.0000000000005</v>
      </c>
      <c r="H60" s="30">
        <f t="shared" si="9"/>
        <v>3066.0000000000005</v>
      </c>
      <c r="I60" s="30">
        <f t="shared" si="9"/>
        <v>3066.0000000000005</v>
      </c>
      <c r="J60" s="30">
        <f t="shared" si="9"/>
        <v>3066.0000000000005</v>
      </c>
      <c r="K60" s="30">
        <f t="shared" si="9"/>
        <v>3066.0000000000005</v>
      </c>
      <c r="L60" s="30">
        <f t="shared" si="9"/>
        <v>3066.0000000000005</v>
      </c>
      <c r="M60" s="30">
        <f t="shared" si="9"/>
        <v>3066.0000000000005</v>
      </c>
      <c r="N60" s="30">
        <f t="shared" si="9"/>
        <v>3066.0000000000005</v>
      </c>
      <c r="O60" s="30">
        <f t="shared" si="9"/>
        <v>3066.0000000000005</v>
      </c>
      <c r="P60" s="30">
        <f t="shared" si="9"/>
        <v>3066.0000000000005</v>
      </c>
      <c r="Q60" s="30">
        <f t="shared" si="9"/>
        <v>3066.0000000000005</v>
      </c>
      <c r="R60" s="30">
        <f t="shared" si="9"/>
        <v>3066.0000000000005</v>
      </c>
      <c r="S60" s="30">
        <f t="shared" si="9"/>
        <v>3066.0000000000005</v>
      </c>
      <c r="T60" s="30">
        <f t="shared" si="9"/>
        <v>3066.0000000000005</v>
      </c>
      <c r="U60" s="30">
        <f t="shared" si="9"/>
        <v>3066.0000000000005</v>
      </c>
      <c r="V60" s="30">
        <f t="shared" si="9"/>
        <v>3066.0000000000005</v>
      </c>
      <c r="W60" s="30">
        <f t="shared" si="9"/>
        <v>3066.0000000000005</v>
      </c>
      <c r="X60" s="30">
        <f t="shared" si="9"/>
        <v>3066.0000000000005</v>
      </c>
      <c r="Y60" s="30">
        <f t="shared" si="9"/>
        <v>3066.0000000000005</v>
      </c>
      <c r="Z60" s="30">
        <f t="shared" si="9"/>
        <v>3066.0000000000005</v>
      </c>
    </row>
    <row r="61" spans="3:26" x14ac:dyDescent="0.25">
      <c r="C61" t="s">
        <v>101</v>
      </c>
      <c r="D61" s="1">
        <f>D60*$D$12</f>
        <v>2452.8000000000006</v>
      </c>
      <c r="E61" s="1">
        <f t="shared" ref="E61:Z61" si="10">E60*$D$12</f>
        <v>2452.8000000000006</v>
      </c>
      <c r="F61" s="1">
        <f t="shared" si="10"/>
        <v>2452.8000000000006</v>
      </c>
      <c r="G61" s="1">
        <f t="shared" si="10"/>
        <v>2452.8000000000006</v>
      </c>
      <c r="H61" s="1">
        <f t="shared" si="10"/>
        <v>2452.8000000000006</v>
      </c>
      <c r="I61" s="1">
        <f t="shared" si="10"/>
        <v>2452.8000000000006</v>
      </c>
      <c r="J61" s="1">
        <f t="shared" si="10"/>
        <v>2452.8000000000006</v>
      </c>
      <c r="K61" s="1">
        <f t="shared" si="10"/>
        <v>2452.8000000000006</v>
      </c>
      <c r="L61" s="1">
        <f t="shared" si="10"/>
        <v>2452.8000000000006</v>
      </c>
      <c r="M61" s="1">
        <f t="shared" si="10"/>
        <v>2452.8000000000006</v>
      </c>
      <c r="N61" s="1">
        <f t="shared" si="10"/>
        <v>2452.8000000000006</v>
      </c>
      <c r="O61" s="1">
        <f t="shared" si="10"/>
        <v>2452.8000000000006</v>
      </c>
      <c r="P61" s="1">
        <f t="shared" si="10"/>
        <v>2452.8000000000006</v>
      </c>
      <c r="Q61" s="1">
        <f t="shared" si="10"/>
        <v>2452.8000000000006</v>
      </c>
      <c r="R61" s="1">
        <f t="shared" si="10"/>
        <v>2452.8000000000006</v>
      </c>
      <c r="S61" s="1">
        <f t="shared" si="10"/>
        <v>2452.8000000000006</v>
      </c>
      <c r="T61" s="1">
        <f t="shared" si="10"/>
        <v>2452.8000000000006</v>
      </c>
      <c r="U61" s="1">
        <f t="shared" si="10"/>
        <v>2452.8000000000006</v>
      </c>
      <c r="V61" s="1">
        <f t="shared" si="10"/>
        <v>2452.8000000000006</v>
      </c>
      <c r="W61" s="1">
        <f t="shared" si="10"/>
        <v>2452.8000000000006</v>
      </c>
      <c r="X61" s="1">
        <f t="shared" si="10"/>
        <v>2452.8000000000006</v>
      </c>
      <c r="Y61" s="1">
        <f t="shared" si="10"/>
        <v>2452.8000000000006</v>
      </c>
      <c r="Z61" s="1">
        <f t="shared" si="10"/>
        <v>2452.8000000000006</v>
      </c>
    </row>
    <row r="62" spans="3:26" x14ac:dyDescent="0.25">
      <c r="C62" t="s">
        <v>100</v>
      </c>
      <c r="D62">
        <f>D61/(1+$D$13)^(D58-2019)</f>
        <v>2452.8000000000006</v>
      </c>
      <c r="E62">
        <f t="shared" ref="E62:Z62" si="11">E61/(1+$D$13)^(E58-2019)</f>
        <v>2381.3592233009713</v>
      </c>
      <c r="F62">
        <f t="shared" si="11"/>
        <v>2311.9992459232735</v>
      </c>
      <c r="G62">
        <f t="shared" si="11"/>
        <v>2244.6594620614305</v>
      </c>
      <c r="H62">
        <f t="shared" si="11"/>
        <v>2179.2810311276025</v>
      </c>
      <c r="I62">
        <f t="shared" si="11"/>
        <v>2115.8068263374785</v>
      </c>
      <c r="J62">
        <f t="shared" si="11"/>
        <v>2054.1813847936683</v>
      </c>
      <c r="K62">
        <f t="shared" si="11"/>
        <v>1994.3508590229785</v>
      </c>
      <c r="L62">
        <f t="shared" si="11"/>
        <v>1936.2629699252223</v>
      </c>
      <c r="M62">
        <f t="shared" si="11"/>
        <v>1879.8669610924487</v>
      </c>
      <c r="N62">
        <f t="shared" si="11"/>
        <v>1825.113554458688</v>
      </c>
      <c r="O62">
        <f t="shared" si="11"/>
        <v>1771.9549072414445</v>
      </c>
      <c r="P62">
        <f t="shared" si="11"/>
        <v>1720.344570137325</v>
      </c>
      <c r="Q62">
        <f t="shared" si="11"/>
        <v>1670.2374467352672</v>
      </c>
      <c r="R62">
        <f t="shared" si="11"/>
        <v>1621.5897541119098</v>
      </c>
      <c r="S62">
        <f t="shared" si="11"/>
        <v>1574.3589845746696</v>
      </c>
      <c r="T62">
        <f t="shared" si="11"/>
        <v>1528.5038685190968</v>
      </c>
      <c r="U62">
        <f t="shared" si="11"/>
        <v>1483.9843383680552</v>
      </c>
      <c r="V62">
        <f t="shared" si="11"/>
        <v>1440.7614935612187</v>
      </c>
      <c r="W62">
        <f t="shared" si="11"/>
        <v>1398.79756656429</v>
      </c>
      <c r="X62">
        <f t="shared" si="11"/>
        <v>1358.0558898682427</v>
      </c>
      <c r="Y62">
        <f t="shared" si="11"/>
        <v>1318.5008639497505</v>
      </c>
      <c r="Z62">
        <f t="shared" si="11"/>
        <v>1280.097926164806</v>
      </c>
    </row>
    <row r="63" spans="3:26" x14ac:dyDescent="0.25">
      <c r="C63" t="s">
        <v>102</v>
      </c>
      <c r="D63">
        <f>SUM(D62:K62)</f>
        <v>17734.438032567406</v>
      </c>
      <c r="E63">
        <f>SUM(E62:L62)</f>
        <v>17217.901002492625</v>
      </c>
      <c r="F63">
        <f t="shared" ref="F63:O63" si="12">SUM(F62:M62)</f>
        <v>16716.408740284103</v>
      </c>
      <c r="G63">
        <f t="shared" si="12"/>
        <v>16229.523048819519</v>
      </c>
      <c r="H63">
        <f t="shared" si="12"/>
        <v>15756.818493999534</v>
      </c>
      <c r="I63">
        <f t="shared" si="12"/>
        <v>15297.882033009255</v>
      </c>
      <c r="J63">
        <f t="shared" si="12"/>
        <v>14852.312653407043</v>
      </c>
      <c r="K63">
        <f t="shared" si="12"/>
        <v>14419.721022725285</v>
      </c>
      <c r="L63">
        <f t="shared" si="12"/>
        <v>13999.729148276976</v>
      </c>
      <c r="M63">
        <f t="shared" si="12"/>
        <v>13591.970046870851</v>
      </c>
      <c r="N63">
        <f t="shared" si="12"/>
        <v>13196.087424146457</v>
      </c>
      <c r="O63">
        <f t="shared" si="12"/>
        <v>12811.735363248987</v>
      </c>
    </row>
    <row r="65" spans="3:26" x14ac:dyDescent="0.25">
      <c r="C65" t="s">
        <v>103</v>
      </c>
      <c r="D65">
        <f>27*300+27*100</f>
        <v>10800</v>
      </c>
    </row>
    <row r="69" spans="3:26" x14ac:dyDescent="0.25">
      <c r="C69" t="s">
        <v>104</v>
      </c>
      <c r="D69">
        <v>4300</v>
      </c>
      <c r="E69">
        <v>4300</v>
      </c>
      <c r="F69">
        <v>4300</v>
      </c>
      <c r="G69">
        <v>4300</v>
      </c>
      <c r="H69">
        <v>4300</v>
      </c>
      <c r="I69">
        <v>4300</v>
      </c>
      <c r="J69">
        <v>4300</v>
      </c>
      <c r="K69">
        <v>4300</v>
      </c>
      <c r="L69">
        <v>4300</v>
      </c>
      <c r="M69">
        <v>4300</v>
      </c>
      <c r="N69">
        <v>4300</v>
      </c>
      <c r="O69">
        <v>4300</v>
      </c>
      <c r="P69">
        <v>4300</v>
      </c>
      <c r="Q69">
        <v>4300</v>
      </c>
      <c r="R69">
        <v>4300</v>
      </c>
      <c r="S69">
        <v>4300</v>
      </c>
      <c r="T69">
        <v>4300</v>
      </c>
      <c r="U69">
        <v>4300</v>
      </c>
      <c r="V69">
        <v>4300</v>
      </c>
      <c r="W69">
        <v>4300</v>
      </c>
      <c r="X69">
        <v>4300</v>
      </c>
      <c r="Y69">
        <v>4300</v>
      </c>
      <c r="Z69">
        <v>4300</v>
      </c>
    </row>
    <row r="70" spans="3:26" x14ac:dyDescent="0.25">
      <c r="C70" t="s">
        <v>105</v>
      </c>
      <c r="D70">
        <f>D69/(1+0.03)^(D58-2019)</f>
        <v>4300</v>
      </c>
      <c r="E70">
        <f t="shared" ref="E70:O70" si="13">E69/(1+0.03)^(E58-2019)</f>
        <v>4174.7572815533977</v>
      </c>
      <c r="F70">
        <f t="shared" si="13"/>
        <v>4053.162409275144</v>
      </c>
      <c r="G70">
        <f t="shared" si="13"/>
        <v>3935.1091352185863</v>
      </c>
      <c r="H70">
        <f t="shared" si="13"/>
        <v>3820.4943060374626</v>
      </c>
      <c r="I70">
        <f t="shared" si="13"/>
        <v>3709.2177728519055</v>
      </c>
      <c r="J70">
        <f t="shared" si="13"/>
        <v>3601.1823037397139</v>
      </c>
      <c r="K70">
        <f t="shared" si="13"/>
        <v>3496.2934987764211</v>
      </c>
      <c r="L70">
        <f t="shared" si="13"/>
        <v>3394.4597075499237</v>
      </c>
      <c r="M70">
        <f t="shared" si="13"/>
        <v>3295.5919490775959</v>
      </c>
      <c r="N70">
        <f t="shared" si="13"/>
        <v>3199.6038340559185</v>
      </c>
      <c r="O70">
        <f t="shared" si="13"/>
        <v>3106.4114893746778</v>
      </c>
    </row>
    <row r="71" spans="3:26" x14ac:dyDescent="0.25">
      <c r="C71" t="s">
        <v>106</v>
      </c>
      <c r="D71" s="145">
        <f>SUM(D70:K70)</f>
        <v>31090.216707452633</v>
      </c>
      <c r="E71" s="145">
        <f>SUM(E70:L70)</f>
        <v>30184.676415002552</v>
      </c>
      <c r="F71" s="145">
        <f>SUM(F70:M70)</f>
        <v>29305.511082526751</v>
      </c>
      <c r="G71" s="145">
        <f t="shared" ref="G71:O71" si="14">SUM(G70:N70)</f>
        <v>28451.952507307524</v>
      </c>
      <c r="H71" s="145">
        <f t="shared" si="14"/>
        <v>27623.254861463614</v>
      </c>
      <c r="I71" s="145">
        <f t="shared" si="14"/>
        <v>23802.760555426157</v>
      </c>
      <c r="J71" s="145">
        <f t="shared" si="14"/>
        <v>20093.542782574252</v>
      </c>
      <c r="K71" s="145">
        <f t="shared" si="14"/>
        <v>16492.360478834536</v>
      </c>
      <c r="L71" s="145">
        <f t="shared" si="14"/>
        <v>12996.066980058116</v>
      </c>
      <c r="M71" s="145">
        <f t="shared" si="14"/>
        <v>9601.6072725081922</v>
      </c>
      <c r="N71" s="145">
        <f t="shared" si="14"/>
        <v>6306.0153234305963</v>
      </c>
      <c r="O71" s="145">
        <f t="shared" si="14"/>
        <v>3106.4114893746778</v>
      </c>
    </row>
    <row r="74" spans="3:26" x14ac:dyDescent="0.25">
      <c r="C74" t="s">
        <v>98</v>
      </c>
      <c r="D74">
        <f>D59</f>
        <v>21900</v>
      </c>
      <c r="E74">
        <f t="shared" ref="E74:Z74" si="15">E59</f>
        <v>21900</v>
      </c>
      <c r="F74">
        <f t="shared" si="15"/>
        <v>21900</v>
      </c>
      <c r="G74">
        <f t="shared" si="15"/>
        <v>21900</v>
      </c>
      <c r="H74">
        <f t="shared" si="15"/>
        <v>21900</v>
      </c>
      <c r="I74">
        <f t="shared" si="15"/>
        <v>21900</v>
      </c>
      <c r="J74">
        <f t="shared" si="15"/>
        <v>21900</v>
      </c>
      <c r="K74">
        <f t="shared" si="15"/>
        <v>21900</v>
      </c>
      <c r="L74">
        <f t="shared" si="15"/>
        <v>21900</v>
      </c>
      <c r="M74">
        <f t="shared" si="15"/>
        <v>21900</v>
      </c>
      <c r="N74">
        <f t="shared" si="15"/>
        <v>21900</v>
      </c>
      <c r="O74">
        <f t="shared" si="15"/>
        <v>21900</v>
      </c>
      <c r="P74">
        <f t="shared" si="15"/>
        <v>21900</v>
      </c>
      <c r="Q74">
        <f t="shared" si="15"/>
        <v>21900</v>
      </c>
      <c r="R74">
        <f t="shared" si="15"/>
        <v>21900</v>
      </c>
      <c r="S74">
        <f t="shared" si="15"/>
        <v>21900</v>
      </c>
      <c r="T74">
        <f t="shared" si="15"/>
        <v>21900</v>
      </c>
      <c r="U74">
        <f t="shared" si="15"/>
        <v>21900</v>
      </c>
      <c r="V74">
        <f t="shared" si="15"/>
        <v>21900</v>
      </c>
      <c r="W74">
        <f t="shared" si="15"/>
        <v>21900</v>
      </c>
      <c r="X74">
        <f t="shared" si="15"/>
        <v>21900</v>
      </c>
      <c r="Y74">
        <f t="shared" si="15"/>
        <v>21900</v>
      </c>
      <c r="Z74">
        <f t="shared" si="15"/>
        <v>21900</v>
      </c>
    </row>
    <row r="75" spans="3:26" x14ac:dyDescent="0.25">
      <c r="C75" t="s">
        <v>107</v>
      </c>
      <c r="D75" s="30">
        <f>($D$27/100)*D74</f>
        <v>1533.0000000000002</v>
      </c>
      <c r="E75" s="30">
        <f t="shared" ref="E75:Z75" si="16">($D$27/100)*E74</f>
        <v>1533.0000000000002</v>
      </c>
      <c r="F75" s="30">
        <f t="shared" si="16"/>
        <v>1533.0000000000002</v>
      </c>
      <c r="G75" s="30">
        <f t="shared" si="16"/>
        <v>1533.0000000000002</v>
      </c>
      <c r="H75" s="30">
        <f t="shared" si="16"/>
        <v>1533.0000000000002</v>
      </c>
      <c r="I75" s="30">
        <f t="shared" si="16"/>
        <v>1533.0000000000002</v>
      </c>
      <c r="J75" s="30">
        <f t="shared" si="16"/>
        <v>1533.0000000000002</v>
      </c>
      <c r="K75" s="30">
        <f t="shared" si="16"/>
        <v>1533.0000000000002</v>
      </c>
      <c r="L75" s="30">
        <f t="shared" si="16"/>
        <v>1533.0000000000002</v>
      </c>
      <c r="M75" s="30">
        <f t="shared" si="16"/>
        <v>1533.0000000000002</v>
      </c>
      <c r="N75" s="30">
        <f t="shared" si="16"/>
        <v>1533.0000000000002</v>
      </c>
      <c r="O75" s="30">
        <f t="shared" si="16"/>
        <v>1533.0000000000002</v>
      </c>
      <c r="P75" s="30">
        <f t="shared" si="16"/>
        <v>1533.0000000000002</v>
      </c>
      <c r="Q75" s="30">
        <f t="shared" si="16"/>
        <v>1533.0000000000002</v>
      </c>
      <c r="R75" s="30">
        <f t="shared" si="16"/>
        <v>1533.0000000000002</v>
      </c>
      <c r="S75" s="30">
        <f t="shared" si="16"/>
        <v>1533.0000000000002</v>
      </c>
      <c r="T75" s="30">
        <f t="shared" si="16"/>
        <v>1533.0000000000002</v>
      </c>
      <c r="U75" s="30">
        <f t="shared" si="16"/>
        <v>1533.0000000000002</v>
      </c>
      <c r="V75" s="30">
        <f t="shared" si="16"/>
        <v>1533.0000000000002</v>
      </c>
      <c r="W75" s="30">
        <f t="shared" si="16"/>
        <v>1533.0000000000002</v>
      </c>
      <c r="X75" s="30">
        <f t="shared" si="16"/>
        <v>1533.0000000000002</v>
      </c>
      <c r="Y75" s="30">
        <f t="shared" si="16"/>
        <v>1533.0000000000002</v>
      </c>
      <c r="Z75" s="30">
        <f t="shared" si="16"/>
        <v>1533.0000000000002</v>
      </c>
    </row>
    <row r="76" spans="3:26" x14ac:dyDescent="0.25">
      <c r="C76" t="s">
        <v>108</v>
      </c>
      <c r="D76">
        <f>D75*$D$28</f>
        <v>10731.000000000002</v>
      </c>
      <c r="E76">
        <f t="shared" ref="E76:Z76" si="17">E75*$D$28</f>
        <v>10731.000000000002</v>
      </c>
      <c r="F76">
        <f t="shared" si="17"/>
        <v>10731.000000000002</v>
      </c>
      <c r="G76">
        <f t="shared" si="17"/>
        <v>10731.000000000002</v>
      </c>
      <c r="H76">
        <f t="shared" si="17"/>
        <v>10731.000000000002</v>
      </c>
      <c r="I76">
        <f t="shared" si="17"/>
        <v>10731.000000000002</v>
      </c>
      <c r="J76">
        <f t="shared" si="17"/>
        <v>10731.000000000002</v>
      </c>
      <c r="K76">
        <f t="shared" si="17"/>
        <v>10731.000000000002</v>
      </c>
      <c r="L76">
        <f t="shared" si="17"/>
        <v>10731.000000000002</v>
      </c>
      <c r="M76">
        <f t="shared" si="17"/>
        <v>10731.000000000002</v>
      </c>
      <c r="N76">
        <f t="shared" si="17"/>
        <v>10731.000000000002</v>
      </c>
      <c r="O76">
        <f t="shared" si="17"/>
        <v>10731.000000000002</v>
      </c>
      <c r="P76">
        <f t="shared" si="17"/>
        <v>10731.000000000002</v>
      </c>
      <c r="Q76">
        <f t="shared" si="17"/>
        <v>10731.000000000002</v>
      </c>
      <c r="R76">
        <f t="shared" si="17"/>
        <v>10731.000000000002</v>
      </c>
      <c r="S76">
        <f t="shared" si="17"/>
        <v>10731.000000000002</v>
      </c>
      <c r="T76">
        <f t="shared" si="17"/>
        <v>10731.000000000002</v>
      </c>
      <c r="U76">
        <f t="shared" si="17"/>
        <v>10731.000000000002</v>
      </c>
      <c r="V76">
        <f t="shared" si="17"/>
        <v>10731.000000000002</v>
      </c>
      <c r="W76">
        <f t="shared" si="17"/>
        <v>10731.000000000002</v>
      </c>
      <c r="X76">
        <f t="shared" si="17"/>
        <v>10731.000000000002</v>
      </c>
      <c r="Y76">
        <f t="shared" si="17"/>
        <v>10731.000000000002</v>
      </c>
      <c r="Z76">
        <f t="shared" si="17"/>
        <v>10731.000000000002</v>
      </c>
    </row>
    <row r="77" spans="3:26" x14ac:dyDescent="0.25">
      <c r="C77" t="s">
        <v>109</v>
      </c>
      <c r="D77">
        <f>D76/(1+$D$29)^(D58-2019)</f>
        <v>10731.000000000002</v>
      </c>
      <c r="E77">
        <f t="shared" ref="E77:Z77" si="18">E76/(1+$D$29)^(E58-2019)</f>
        <v>10418.446601941749</v>
      </c>
      <c r="F77">
        <f t="shared" si="18"/>
        <v>10114.99670091432</v>
      </c>
      <c r="G77">
        <f t="shared" si="18"/>
        <v>9820.3851465187563</v>
      </c>
      <c r="H77">
        <f t="shared" si="18"/>
        <v>9534.3545111832591</v>
      </c>
      <c r="I77">
        <f t="shared" si="18"/>
        <v>9256.6548652264664</v>
      </c>
      <c r="J77">
        <f t="shared" si="18"/>
        <v>8987.0435584722964</v>
      </c>
      <c r="K77">
        <f t="shared" si="18"/>
        <v>8725.28500822553</v>
      </c>
      <c r="L77">
        <f t="shared" si="18"/>
        <v>8471.1504934228469</v>
      </c>
      <c r="M77">
        <f t="shared" si="18"/>
        <v>8224.4179547794629</v>
      </c>
      <c r="N77">
        <f t="shared" si="18"/>
        <v>7984.8718007567595</v>
      </c>
      <c r="O77">
        <f t="shared" si="18"/>
        <v>7752.3027191813198</v>
      </c>
      <c r="P77">
        <f t="shared" si="18"/>
        <v>7526.5074943507971</v>
      </c>
      <c r="Q77">
        <f t="shared" si="18"/>
        <v>7307.2888294667937</v>
      </c>
      <c r="R77">
        <f t="shared" si="18"/>
        <v>7094.4551742396043</v>
      </c>
      <c r="S77">
        <f t="shared" si="18"/>
        <v>6887.8205575141783</v>
      </c>
      <c r="T77">
        <f t="shared" si="18"/>
        <v>6687.2044247710483</v>
      </c>
      <c r="U77">
        <f t="shared" si="18"/>
        <v>6492.431480360241</v>
      </c>
      <c r="V77">
        <f t="shared" si="18"/>
        <v>6303.3315343303311</v>
      </c>
      <c r="W77">
        <f t="shared" si="18"/>
        <v>6119.7393537187681</v>
      </c>
      <c r="X77">
        <f t="shared" si="18"/>
        <v>5941.4945181735611</v>
      </c>
      <c r="Y77">
        <f t="shared" si="18"/>
        <v>5768.4412797801579</v>
      </c>
      <c r="Z77">
        <f t="shared" si="18"/>
        <v>5600.4284269710261</v>
      </c>
    </row>
    <row r="78" spans="3:26" x14ac:dyDescent="0.25">
      <c r="C78" t="s">
        <v>110</v>
      </c>
      <c r="D78" s="1">
        <f>SUM(D77:K77)</f>
        <v>77588.166392482381</v>
      </c>
      <c r="E78" s="1">
        <f t="shared" ref="E78:O78" si="19">SUM(E77:L77)</f>
        <v>75328.316885905209</v>
      </c>
      <c r="F78" s="1">
        <f t="shared" si="19"/>
        <v>73134.288238742942</v>
      </c>
      <c r="G78" s="1">
        <f t="shared" si="19"/>
        <v>71004.163338585378</v>
      </c>
      <c r="H78" s="1">
        <f t="shared" si="19"/>
        <v>68936.080911247947</v>
      </c>
      <c r="I78" s="1">
        <f t="shared" si="19"/>
        <v>66928.233894415476</v>
      </c>
      <c r="J78" s="1">
        <f t="shared" si="19"/>
        <v>64978.867858655809</v>
      </c>
      <c r="K78" s="1">
        <f t="shared" si="19"/>
        <v>63086.279474423114</v>
      </c>
      <c r="L78" s="1">
        <f t="shared" si="19"/>
        <v>61248.815023711759</v>
      </c>
      <c r="M78" s="1">
        <f t="shared" si="19"/>
        <v>59464.868955059967</v>
      </c>
      <c r="N78" s="1">
        <f t="shared" si="19"/>
        <v>57732.882480640743</v>
      </c>
      <c r="O78" s="1">
        <f t="shared" si="19"/>
        <v>56051.342214214317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9"/>
  <sheetViews>
    <sheetView topLeftCell="A7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9" width="15" bestFit="1" customWidth="1"/>
    <col min="10" max="10" width="12.77734375" customWidth="1"/>
    <col min="11" max="12" width="15" bestFit="1" customWidth="1"/>
    <col min="13" max="15" width="15.109375" bestFit="1" customWidth="1"/>
    <col min="16" max="16" width="10.5546875" bestFit="1" customWidth="1"/>
  </cols>
  <sheetData>
    <row r="4" spans="3:15" x14ac:dyDescent="0.25">
      <c r="C4" s="131" t="s">
        <v>376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62</v>
      </c>
      <c r="D6" s="70">
        <v>180670.83333333334</v>
      </c>
      <c r="E6" s="71">
        <v>168630.83333333334</v>
      </c>
      <c r="F6" s="71">
        <v>157774.83333333337</v>
      </c>
      <c r="G6" s="71">
        <v>147984.43333333338</v>
      </c>
      <c r="H6" s="72">
        <v>139153.07333333336</v>
      </c>
      <c r="I6" s="72">
        <v>131184.84933333338</v>
      </c>
      <c r="J6" s="72">
        <v>123993.44773333338</v>
      </c>
      <c r="K6" s="73">
        <v>117501.18629333338</v>
      </c>
      <c r="L6" s="73">
        <v>111638.15099733337</v>
      </c>
      <c r="M6" s="73">
        <v>106341.41923093337</v>
      </c>
      <c r="N6" s="73">
        <v>101554.36064117338</v>
      </c>
      <c r="O6" s="103">
        <v>97226.00791038938</v>
      </c>
    </row>
    <row r="7" spans="3:15" x14ac:dyDescent="0.25">
      <c r="C7" s="102" t="s">
        <v>46</v>
      </c>
      <c r="D7" s="74">
        <v>0</v>
      </c>
      <c r="E7" s="75">
        <v>0</v>
      </c>
      <c r="F7" s="76">
        <v>15777.483333333337</v>
      </c>
      <c r="G7" s="76">
        <v>14798.443333333338</v>
      </c>
      <c r="H7" s="77">
        <v>13915.307333333338</v>
      </c>
      <c r="I7" s="77">
        <v>13118.484933333339</v>
      </c>
      <c r="J7" s="77">
        <v>12399.344773333338</v>
      </c>
      <c r="K7" s="78">
        <v>11750.118629333338</v>
      </c>
      <c r="L7" s="78">
        <v>11163.815099733338</v>
      </c>
      <c r="M7" s="78">
        <v>10634.141923093339</v>
      </c>
      <c r="N7" s="78">
        <v>10155.436064117339</v>
      </c>
      <c r="O7" s="104">
        <v>9722.600791038938</v>
      </c>
    </row>
    <row r="8" spans="3:15" x14ac:dyDescent="0.25">
      <c r="C8" s="102" t="s">
        <v>48</v>
      </c>
      <c r="D8" s="79">
        <v>180670.83333333334</v>
      </c>
      <c r="E8" s="80">
        <v>168630.83333333334</v>
      </c>
      <c r="F8" s="80">
        <v>173552.31666666671</v>
      </c>
      <c r="G8" s="80">
        <v>162782.87666666671</v>
      </c>
      <c r="H8" s="81">
        <v>153068.38066666669</v>
      </c>
      <c r="I8" s="81">
        <v>144303.3342666667</v>
      </c>
      <c r="J8" s="81">
        <v>136392.79250666671</v>
      </c>
      <c r="K8" s="82">
        <v>129251.30492266672</v>
      </c>
      <c r="L8" s="82">
        <v>122801.96609706672</v>
      </c>
      <c r="M8" s="82">
        <v>116975.56115402671</v>
      </c>
      <c r="N8" s="82">
        <v>111709.79670529072</v>
      </c>
      <c r="O8" s="100">
        <v>106948.60870142831</v>
      </c>
    </row>
    <row r="9" spans="3:15" x14ac:dyDescent="0.25">
      <c r="C9" s="102" t="s">
        <v>84</v>
      </c>
      <c r="D9" s="83">
        <v>80</v>
      </c>
      <c r="E9" s="147">
        <v>80</v>
      </c>
      <c r="F9" s="147">
        <v>80</v>
      </c>
      <c r="G9" s="147">
        <v>80</v>
      </c>
      <c r="H9" s="148">
        <v>80</v>
      </c>
      <c r="I9" s="148">
        <v>80</v>
      </c>
      <c r="J9" s="148">
        <v>80</v>
      </c>
      <c r="K9" s="149">
        <v>80</v>
      </c>
      <c r="L9" s="149">
        <v>80</v>
      </c>
      <c r="M9" s="149">
        <v>80</v>
      </c>
      <c r="N9" s="149">
        <v>80</v>
      </c>
      <c r="O9" s="169">
        <v>80</v>
      </c>
    </row>
    <row r="10" spans="3:15" x14ac:dyDescent="0.25">
      <c r="C10" s="102" t="s">
        <v>94</v>
      </c>
      <c r="D10" s="83">
        <v>8</v>
      </c>
      <c r="E10" s="147">
        <v>8</v>
      </c>
      <c r="F10" s="147">
        <v>8</v>
      </c>
      <c r="G10" s="147">
        <v>8</v>
      </c>
      <c r="H10" s="148">
        <v>8</v>
      </c>
      <c r="I10" s="148">
        <v>8</v>
      </c>
      <c r="J10" s="148">
        <v>8</v>
      </c>
      <c r="K10" s="149">
        <v>8</v>
      </c>
      <c r="L10" s="149">
        <v>8</v>
      </c>
      <c r="M10" s="149">
        <v>8</v>
      </c>
      <c r="N10" s="149">
        <v>8</v>
      </c>
      <c r="O10" s="169">
        <v>8</v>
      </c>
    </row>
    <row r="11" spans="3:15" x14ac:dyDescent="0.25">
      <c r="C11" s="102" t="s">
        <v>85</v>
      </c>
      <c r="D11" s="83">
        <v>14</v>
      </c>
      <c r="E11" s="147">
        <v>14</v>
      </c>
      <c r="F11" s="147">
        <v>14</v>
      </c>
      <c r="G11" s="147">
        <v>14</v>
      </c>
      <c r="H11" s="148">
        <v>14</v>
      </c>
      <c r="I11" s="148">
        <v>14</v>
      </c>
      <c r="J11" s="148">
        <v>14</v>
      </c>
      <c r="K11" s="149">
        <v>14</v>
      </c>
      <c r="L11" s="149">
        <v>14</v>
      </c>
      <c r="M11" s="149">
        <v>14</v>
      </c>
      <c r="N11" s="149">
        <v>14</v>
      </c>
      <c r="O11" s="169">
        <v>14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23645.917376756537</v>
      </c>
      <c r="E14" s="90">
        <v>22957.201336656832</v>
      </c>
      <c r="F14" s="90">
        <v>22288.544987045469</v>
      </c>
      <c r="G14" s="90">
        <v>21639.364065092686</v>
      </c>
      <c r="H14" s="94">
        <v>21009.091325332705</v>
      </c>
      <c r="I14" s="94">
        <v>20397.176044012336</v>
      </c>
      <c r="J14" s="94">
        <v>19803.083537876053</v>
      </c>
      <c r="K14" s="95">
        <v>19226.294696967041</v>
      </c>
      <c r="L14" s="95">
        <v>18666.305531035963</v>
      </c>
      <c r="M14" s="95">
        <v>18122.626729161133</v>
      </c>
      <c r="N14" s="95">
        <v>17594.783232195274</v>
      </c>
      <c r="O14" s="101">
        <v>17082.313817665316</v>
      </c>
    </row>
    <row r="15" spans="3:15" x14ac:dyDescent="0.25">
      <c r="C15" s="102" t="s">
        <v>89</v>
      </c>
      <c r="D15" s="79">
        <v>4500</v>
      </c>
      <c r="E15" s="90">
        <f>D15*(1-$D$13)</f>
        <v>4365</v>
      </c>
      <c r="F15" s="90">
        <f t="shared" ref="F15:O15" si="0">E15*(1-$D$13)</f>
        <v>4234.05</v>
      </c>
      <c r="G15" s="90">
        <f t="shared" si="0"/>
        <v>4107.0285000000003</v>
      </c>
      <c r="H15" s="94">
        <f t="shared" si="0"/>
        <v>3983.8176450000001</v>
      </c>
      <c r="I15" s="94">
        <f t="shared" si="0"/>
        <v>3864.3031156500001</v>
      </c>
      <c r="J15" s="94">
        <f t="shared" si="0"/>
        <v>3748.3740221805001</v>
      </c>
      <c r="K15" s="95">
        <f t="shared" si="0"/>
        <v>3635.9228015150852</v>
      </c>
      <c r="L15" s="95">
        <f t="shared" si="0"/>
        <v>3526.8451174696324</v>
      </c>
      <c r="M15" s="95">
        <f t="shared" si="0"/>
        <v>3421.0397639455432</v>
      </c>
      <c r="N15" s="95">
        <f t="shared" si="0"/>
        <v>3318.408571027177</v>
      </c>
      <c r="O15" s="101">
        <f t="shared" si="0"/>
        <v>3218.8563138963618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27100.625</v>
      </c>
      <c r="E18" s="90">
        <f t="shared" ref="E18:O18" si="1">0.15*E6</f>
        <v>25294.625</v>
      </c>
      <c r="F18" s="90">
        <f t="shared" si="1"/>
        <v>23666.225000000006</v>
      </c>
      <c r="G18" s="90">
        <f t="shared" si="1"/>
        <v>22197.665000000005</v>
      </c>
      <c r="H18" s="94">
        <f t="shared" si="1"/>
        <v>20872.961000000003</v>
      </c>
      <c r="I18" s="94">
        <f t="shared" si="1"/>
        <v>19677.727400000007</v>
      </c>
      <c r="J18" s="94">
        <f t="shared" si="1"/>
        <v>18599.017160000007</v>
      </c>
      <c r="K18" s="95">
        <f t="shared" si="1"/>
        <v>17625.177944000006</v>
      </c>
      <c r="L18" s="95">
        <f t="shared" si="1"/>
        <v>16745.722649600004</v>
      </c>
      <c r="M18" s="95">
        <f t="shared" si="1"/>
        <v>15951.212884640005</v>
      </c>
      <c r="N18" s="95">
        <f t="shared" si="1"/>
        <v>15233.154096176006</v>
      </c>
      <c r="O18" s="101">
        <f t="shared" si="1"/>
        <v>14583.901186558407</v>
      </c>
    </row>
    <row r="19" spans="3:15" x14ac:dyDescent="0.25">
      <c r="C19" s="160" t="s">
        <v>93</v>
      </c>
      <c r="D19" s="161">
        <f>D8+D14+D15+D16+D17-D18</f>
        <v>212806.3424175425</v>
      </c>
      <c r="E19" s="158">
        <f t="shared" ref="E19:O19" si="2">E8+E14+E15+E16+E17-E18</f>
        <v>200843.08608499274</v>
      </c>
      <c r="F19" s="158">
        <f t="shared" si="2"/>
        <v>205714.19773623892</v>
      </c>
      <c r="G19" s="158">
        <f t="shared" si="2"/>
        <v>194783.55673906693</v>
      </c>
      <c r="H19" s="159">
        <f t="shared" si="2"/>
        <v>184811.58349846301</v>
      </c>
      <c r="I19" s="159">
        <f t="shared" si="2"/>
        <v>172689.84658175518</v>
      </c>
      <c r="J19" s="159">
        <f t="shared" si="2"/>
        <v>161438.7756892975</v>
      </c>
      <c r="K19" s="162">
        <f t="shared" si="2"/>
        <v>150980.70495598338</v>
      </c>
      <c r="L19" s="162">
        <f t="shared" si="2"/>
        <v>141245.46107603045</v>
      </c>
      <c r="M19" s="162">
        <f t="shared" si="2"/>
        <v>132169.62203500158</v>
      </c>
      <c r="N19" s="162">
        <f t="shared" si="2"/>
        <v>123695.84973576776</v>
      </c>
      <c r="O19" s="172">
        <f t="shared" si="2"/>
        <v>115772.28913580626</v>
      </c>
    </row>
    <row r="20" spans="3:15" x14ac:dyDescent="0.25">
      <c r="C20" s="131" t="s">
        <v>384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55</v>
      </c>
      <c r="D22" s="70">
        <v>144616.66666666666</v>
      </c>
      <c r="E22" s="87">
        <v>145216.66666666666</v>
      </c>
      <c r="F22" s="87">
        <v>145828.66666666666</v>
      </c>
      <c r="G22" s="87">
        <v>146452.90666666665</v>
      </c>
      <c r="H22" s="88">
        <v>147089.63146666664</v>
      </c>
      <c r="I22" s="88">
        <v>147739.09076266666</v>
      </c>
      <c r="J22" s="88">
        <v>148401.53924458666</v>
      </c>
      <c r="K22" s="89">
        <v>149077.23669614506</v>
      </c>
      <c r="L22" s="89">
        <v>149766.44809673462</v>
      </c>
      <c r="M22" s="89">
        <v>150469.44372533596</v>
      </c>
      <c r="N22" s="89">
        <v>151186.49926650935</v>
      </c>
      <c r="O22" s="107">
        <v>151917.8959185062</v>
      </c>
    </row>
    <row r="23" spans="3:15" x14ac:dyDescent="0.25">
      <c r="C23" s="102" t="s">
        <v>46</v>
      </c>
      <c r="D23" s="117">
        <v>14461.666666666666</v>
      </c>
      <c r="E23" s="76">
        <v>14521.666666666666</v>
      </c>
      <c r="F23" s="76">
        <v>14582.866666666667</v>
      </c>
      <c r="G23" s="76">
        <v>14645.290666666666</v>
      </c>
      <c r="H23" s="77">
        <v>14708.963146666665</v>
      </c>
      <c r="I23" s="77">
        <v>14773.909076266667</v>
      </c>
      <c r="J23" s="77">
        <v>14840.153924458667</v>
      </c>
      <c r="K23" s="78">
        <v>14907.723669614506</v>
      </c>
      <c r="L23" s="78">
        <v>14976.644809673462</v>
      </c>
      <c r="M23" s="78">
        <v>15046.944372533597</v>
      </c>
      <c r="N23" s="78">
        <v>15118.649926650935</v>
      </c>
      <c r="O23" s="104">
        <v>15191.78959185062</v>
      </c>
    </row>
    <row r="24" spans="3:15" x14ac:dyDescent="0.25">
      <c r="C24" s="102" t="s">
        <v>56</v>
      </c>
      <c r="D24" s="93">
        <v>159078.33333333331</v>
      </c>
      <c r="E24" s="71">
        <v>159738.33333333331</v>
      </c>
      <c r="F24" s="71">
        <v>160411.53333333333</v>
      </c>
      <c r="G24" s="135">
        <v>161098.19733333332</v>
      </c>
      <c r="H24" s="72">
        <v>161798.59461333332</v>
      </c>
      <c r="I24" s="72">
        <v>162512.99983893332</v>
      </c>
      <c r="J24" s="72">
        <v>163241.69316904532</v>
      </c>
      <c r="K24" s="73">
        <v>163984.96036575956</v>
      </c>
      <c r="L24" s="73">
        <v>164743.09290640807</v>
      </c>
      <c r="M24" s="73">
        <v>165516.38809786955</v>
      </c>
      <c r="N24" s="73">
        <v>166305.14919316029</v>
      </c>
      <c r="O24" s="103">
        <v>167109.68551035682</v>
      </c>
    </row>
    <row r="25" spans="3:15" x14ac:dyDescent="0.25">
      <c r="C25" s="102" t="s">
        <v>84</v>
      </c>
      <c r="D25" s="79">
        <v>80</v>
      </c>
      <c r="E25" s="71">
        <v>80</v>
      </c>
      <c r="F25" s="71">
        <v>80</v>
      </c>
      <c r="G25" s="80">
        <v>80</v>
      </c>
      <c r="H25" s="72">
        <v>80</v>
      </c>
      <c r="I25" s="72">
        <v>80</v>
      </c>
      <c r="J25" s="72">
        <v>80</v>
      </c>
      <c r="K25" s="73">
        <v>80</v>
      </c>
      <c r="L25" s="73">
        <v>80</v>
      </c>
      <c r="M25" s="73">
        <v>80</v>
      </c>
      <c r="N25" s="73">
        <v>80</v>
      </c>
      <c r="O25" s="103">
        <v>80</v>
      </c>
    </row>
    <row r="26" spans="3:15" x14ac:dyDescent="0.25">
      <c r="C26" s="102" t="s">
        <v>94</v>
      </c>
      <c r="D26" s="79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83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103450.88852330983</v>
      </c>
      <c r="E30" s="71">
        <v>100437.75584787363</v>
      </c>
      <c r="F30" s="71">
        <v>97512.384318323908</v>
      </c>
      <c r="G30" s="80">
        <v>94672.2177847805</v>
      </c>
      <c r="H30" s="72">
        <v>91914.774548330592</v>
      </c>
      <c r="I30" s="72">
        <v>89237.645192553973</v>
      </c>
      <c r="J30" s="72">
        <v>86638.49047820775</v>
      </c>
      <c r="K30" s="73">
        <v>84115.039299230819</v>
      </c>
      <c r="L30" s="73">
        <v>81665.086698282335</v>
      </c>
      <c r="M30" s="73">
        <v>79286.491940079941</v>
      </c>
      <c r="N30" s="73">
        <v>76977.176640854304</v>
      </c>
      <c r="O30" s="103">
        <v>74735.122952285732</v>
      </c>
    </row>
    <row r="31" spans="3:15" x14ac:dyDescent="0.25">
      <c r="C31" s="102" t="s">
        <v>89</v>
      </c>
      <c r="D31" s="70">
        <v>41400</v>
      </c>
      <c r="E31" s="71">
        <f>D31*(1-$D$29)</f>
        <v>40158</v>
      </c>
      <c r="F31" s="71">
        <f t="shared" ref="F31:O31" si="3">E31*(1-$D$29)</f>
        <v>38953.26</v>
      </c>
      <c r="G31" s="80">
        <f t="shared" si="3"/>
        <v>37784.662199999999</v>
      </c>
      <c r="H31" s="72">
        <f t="shared" si="3"/>
        <v>36651.122334</v>
      </c>
      <c r="I31" s="72">
        <f t="shared" si="3"/>
        <v>35551.588663980001</v>
      </c>
      <c r="J31" s="72">
        <f t="shared" si="3"/>
        <v>34485.0410040606</v>
      </c>
      <c r="K31" s="73">
        <f t="shared" si="3"/>
        <v>33450.489773938782</v>
      </c>
      <c r="L31" s="73">
        <f t="shared" si="3"/>
        <v>32446.975080720618</v>
      </c>
      <c r="M31" s="73">
        <f t="shared" si="3"/>
        <v>31473.565828298997</v>
      </c>
      <c r="N31" s="73">
        <f t="shared" si="3"/>
        <v>30529.358853450027</v>
      </c>
      <c r="O31" s="103">
        <f t="shared" si="3"/>
        <v>29613.478087846524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50615.833333333328</v>
      </c>
      <c r="E34" s="71">
        <f t="shared" ref="E34:O34" si="5">0.35*E22</f>
        <v>50825.833333333328</v>
      </c>
      <c r="F34" s="71">
        <f t="shared" si="5"/>
        <v>51040.033333333326</v>
      </c>
      <c r="G34" s="80">
        <f t="shared" si="5"/>
        <v>51258.517333333322</v>
      </c>
      <c r="H34" s="72">
        <f t="shared" si="5"/>
        <v>51481.371013333322</v>
      </c>
      <c r="I34" s="72">
        <f t="shared" si="5"/>
        <v>51708.681766933325</v>
      </c>
      <c r="J34" s="72">
        <f t="shared" si="5"/>
        <v>51940.538735605325</v>
      </c>
      <c r="K34" s="73">
        <f t="shared" si="5"/>
        <v>52177.03284365077</v>
      </c>
      <c r="L34" s="73">
        <f t="shared" si="5"/>
        <v>52418.256833857115</v>
      </c>
      <c r="M34" s="73">
        <f t="shared" si="5"/>
        <v>52664.305303867586</v>
      </c>
      <c r="N34" s="73">
        <f t="shared" si="5"/>
        <v>52915.274743278271</v>
      </c>
      <c r="O34" s="103">
        <f t="shared" si="5"/>
        <v>53171.263571477168</v>
      </c>
    </row>
    <row r="35" spans="3:15" x14ac:dyDescent="0.25">
      <c r="C35" s="160" t="s">
        <v>93</v>
      </c>
      <c r="D35" s="163">
        <f>D24+D30+D31+D32-D34</f>
        <v>282234.520344196</v>
      </c>
      <c r="E35" s="164">
        <f t="shared" ref="E35:O35" si="6">E24+E30+E31+E32-E34</f>
        <v>277587.02460601553</v>
      </c>
      <c r="F35" s="164">
        <f t="shared" si="6"/>
        <v>273098.08486020926</v>
      </c>
      <c r="G35" s="165">
        <f t="shared" si="6"/>
        <v>268763.49254971772</v>
      </c>
      <c r="H35" s="166">
        <f t="shared" si="6"/>
        <v>264579.17151625024</v>
      </c>
      <c r="I35" s="166">
        <f t="shared" si="6"/>
        <v>257735.65477079086</v>
      </c>
      <c r="J35" s="166">
        <f t="shared" si="6"/>
        <v>251116.35362042859</v>
      </c>
      <c r="K35" s="167">
        <f t="shared" si="6"/>
        <v>244715.18727326393</v>
      </c>
      <c r="L35" s="167">
        <f t="shared" si="6"/>
        <v>238526.26248416613</v>
      </c>
      <c r="M35" s="167">
        <f t="shared" si="6"/>
        <v>232543.86825773734</v>
      </c>
      <c r="N35" s="167">
        <f t="shared" si="6"/>
        <v>226762.4707101683</v>
      </c>
      <c r="O35" s="168">
        <f t="shared" si="6"/>
        <v>221176.70808540695</v>
      </c>
    </row>
    <row r="37" spans="3:15" x14ac:dyDescent="0.25">
      <c r="C37" t="s">
        <v>321</v>
      </c>
      <c r="D37" s="30">
        <f>D19-D35</f>
        <v>-69428.177926653501</v>
      </c>
      <c r="E37" s="30">
        <f t="shared" ref="E37:O37" si="7">E19-E35</f>
        <v>-76743.938521022792</v>
      </c>
      <c r="F37" s="30">
        <f t="shared" si="7"/>
        <v>-67383.887123970344</v>
      </c>
      <c r="G37" s="30">
        <f t="shared" si="7"/>
        <v>-73979.935810650786</v>
      </c>
      <c r="H37" s="30">
        <f t="shared" si="7"/>
        <v>-79767.588017787231</v>
      </c>
      <c r="I37" s="30">
        <f t="shared" si="7"/>
        <v>-85045.808189035684</v>
      </c>
      <c r="J37" s="30">
        <f t="shared" si="7"/>
        <v>-89677.577931131091</v>
      </c>
      <c r="K37" s="30">
        <f t="shared" si="7"/>
        <v>-93734.482317280548</v>
      </c>
      <c r="L37" s="30">
        <f t="shared" si="7"/>
        <v>-97280.801408135681</v>
      </c>
      <c r="M37" s="30">
        <f t="shared" si="7"/>
        <v>-100374.24622273576</v>
      </c>
      <c r="N37" s="30">
        <f t="shared" si="7"/>
        <v>-103066.62097440055</v>
      </c>
      <c r="O37" s="30">
        <f t="shared" si="7"/>
        <v>-105404.41894960069</v>
      </c>
    </row>
    <row r="39" spans="3:15" x14ac:dyDescent="0.25">
      <c r="D39" s="193">
        <v>2019</v>
      </c>
      <c r="E39" s="193">
        <v>2020</v>
      </c>
      <c r="F39" s="193">
        <v>2021</v>
      </c>
      <c r="G39" s="193">
        <v>2022</v>
      </c>
      <c r="H39" s="193">
        <v>2023</v>
      </c>
      <c r="I39" s="193">
        <v>2024</v>
      </c>
      <c r="J39" s="193">
        <v>2025</v>
      </c>
      <c r="K39" s="193">
        <v>2026</v>
      </c>
      <c r="L39" s="193">
        <v>2027</v>
      </c>
      <c r="M39" s="193">
        <v>2028</v>
      </c>
      <c r="N39" s="193">
        <v>2029</v>
      </c>
      <c r="O39" s="193">
        <v>2030</v>
      </c>
    </row>
    <row r="40" spans="3:15" x14ac:dyDescent="0.25">
      <c r="C40" t="s">
        <v>322</v>
      </c>
      <c r="D40" s="1">
        <v>18625.550433261524</v>
      </c>
      <c r="E40" s="1">
        <v>8720.4773623897927</v>
      </c>
      <c r="F40" s="1">
        <v>15567.372374488506</v>
      </c>
      <c r="G40" s="1">
        <v>6532.083079115022</v>
      </c>
      <c r="H40" s="1">
        <v>-1623.0683585388178</v>
      </c>
      <c r="I40" s="1">
        <v>-9199.1568028894544</v>
      </c>
      <c r="J40" s="1">
        <v>-16061.212186884513</v>
      </c>
      <c r="K40" s="1">
        <v>-22282.807642754895</v>
      </c>
      <c r="L40" s="1">
        <v>-27930.152796557843</v>
      </c>
      <c r="M40" s="1">
        <v>-33062.831460487942</v>
      </c>
      <c r="N40" s="1">
        <v>-37734.465539469311</v>
      </c>
      <c r="O40" s="1">
        <v>-41993.312531551477</v>
      </c>
    </row>
    <row r="41" spans="3:15" x14ac:dyDescent="0.25">
      <c r="C41" t="s">
        <v>324</v>
      </c>
      <c r="D41" s="1">
        <v>3949.9290399423335</v>
      </c>
      <c r="E41" s="1">
        <v>-5523.5919515122951</v>
      </c>
      <c r="F41" s="1">
        <v>1742.1624580786738</v>
      </c>
      <c r="G41" s="1">
        <v>-6886.58673584598</v>
      </c>
      <c r="H41" s="1">
        <v>-14647.154968413553</v>
      </c>
      <c r="I41" s="1">
        <v>-21840.265367247164</v>
      </c>
      <c r="J41" s="1">
        <v>-28330.606477592286</v>
      </c>
      <c r="K41" s="1">
        <v>-34191.420088509185</v>
      </c>
      <c r="L41" s="1">
        <v>-39488.59423182084</v>
      </c>
      <c r="M41" s="1">
        <v>-44281.400587529264</v>
      </c>
      <c r="N41" s="1">
        <v>-48623.158111957804</v>
      </c>
      <c r="O41" s="1">
        <v>-52561.830267893049</v>
      </c>
    </row>
    <row r="42" spans="3:15" x14ac:dyDescent="0.25">
      <c r="C42" t="s">
        <v>316</v>
      </c>
      <c r="D42" s="1">
        <v>-10925.692353376828</v>
      </c>
      <c r="E42" s="1">
        <v>-19961.661265414412</v>
      </c>
      <c r="F42" s="1">
        <v>-12271.227458331094</v>
      </c>
      <c r="G42" s="1">
        <v>-20487.791150806908</v>
      </c>
      <c r="H42" s="1">
        <v>-27848.30014028828</v>
      </c>
      <c r="I42" s="1">
        <v>-34653.120736744837</v>
      </c>
      <c r="J42" s="1">
        <v>-40766.595169285778</v>
      </c>
      <c r="K42" s="1">
        <v>-46261.62910321969</v>
      </c>
      <c r="L42" s="1">
        <v>-51203.784338971367</v>
      </c>
      <c r="M42" s="1">
        <v>-55652.01592630145</v>
      </c>
      <c r="N42" s="1">
        <v>-59659.335509825352</v>
      </c>
      <c r="O42" s="1">
        <v>-63273.408284852194</v>
      </c>
    </row>
    <row r="43" spans="3:15" x14ac:dyDescent="0.25">
      <c r="C43" t="s">
        <v>318</v>
      </c>
      <c r="D43" s="1">
        <v>-40476.935140015179</v>
      </c>
      <c r="E43" s="1">
        <v>-48643.799893218616</v>
      </c>
      <c r="F43" s="1">
        <v>-40109.827291150694</v>
      </c>
      <c r="G43" s="1">
        <v>-47507.665380728868</v>
      </c>
      <c r="H43" s="1">
        <v>-54073.531922037742</v>
      </c>
      <c r="I43" s="1">
        <v>-60107.08467060019</v>
      </c>
      <c r="J43" s="1">
        <v>-65471.978151687159</v>
      </c>
      <c r="K43" s="1">
        <v>-70240.450563684426</v>
      </c>
      <c r="L43" s="1">
        <v>-74477.415881384833</v>
      </c>
      <c r="M43" s="1">
        <v>-78241.200392114988</v>
      </c>
      <c r="N43" s="1">
        <v>-81584.205480181437</v>
      </c>
      <c r="O43" s="1">
        <v>-84553.504038152896</v>
      </c>
    </row>
    <row r="44" spans="3:15" x14ac:dyDescent="0.25">
      <c r="C44" t="s">
        <v>320</v>
      </c>
      <c r="D44" s="1">
        <v>-69428.177926653501</v>
      </c>
      <c r="E44" s="1">
        <v>-76743.938521022792</v>
      </c>
      <c r="F44" s="1">
        <v>-67383.887123970344</v>
      </c>
      <c r="G44" s="1">
        <v>-73979.935810650786</v>
      </c>
      <c r="H44" s="1">
        <v>-79767.588017787231</v>
      </c>
      <c r="I44" s="1">
        <v>-85045.808189035684</v>
      </c>
      <c r="J44" s="1">
        <v>-89677.577931131091</v>
      </c>
      <c r="K44" s="1">
        <v>-93734.482317280548</v>
      </c>
      <c r="L44" s="1">
        <v>-97280.801408135681</v>
      </c>
      <c r="M44" s="1">
        <v>-100374.24622273576</v>
      </c>
      <c r="N44" s="1">
        <v>-103066.62097440055</v>
      </c>
      <c r="O44" s="1">
        <v>-105404.41894960069</v>
      </c>
    </row>
    <row r="45" spans="3:15" x14ac:dyDescent="0.25">
      <c r="C45" t="s">
        <v>314</v>
      </c>
      <c r="D45" s="1">
        <v>-245775.32034619228</v>
      </c>
      <c r="E45" s="1">
        <v>-247910.9797050411</v>
      </c>
      <c r="F45" s="1">
        <v>-233523.01710845402</v>
      </c>
      <c r="G45" s="1">
        <v>-235238.8725130622</v>
      </c>
      <c r="H45" s="1">
        <v>-236289.70867491476</v>
      </c>
      <c r="I45" s="1">
        <v>-233954.3434462687</v>
      </c>
      <c r="J45" s="1">
        <v>-231195.44535893641</v>
      </c>
      <c r="K45" s="1">
        <v>-228078.07186167713</v>
      </c>
      <c r="L45" s="1">
        <v>-227676.10004689812</v>
      </c>
      <c r="M45" s="1">
        <v>-226937.31384476053</v>
      </c>
      <c r="N45" s="1">
        <v>-225910.10524973064</v>
      </c>
      <c r="O45" s="1">
        <v>-224637.65566945355</v>
      </c>
    </row>
    <row r="59" spans="3:26" x14ac:dyDescent="0.25"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>
        <v>2027</v>
      </c>
      <c r="M59">
        <v>2028</v>
      </c>
      <c r="N59">
        <v>2029</v>
      </c>
      <c r="O59">
        <v>2030</v>
      </c>
      <c r="P59">
        <v>2031</v>
      </c>
      <c r="Q59">
        <v>2032</v>
      </c>
      <c r="R59">
        <v>2033</v>
      </c>
      <c r="S59">
        <v>2034</v>
      </c>
      <c r="T59">
        <v>2035</v>
      </c>
      <c r="U59">
        <v>2036</v>
      </c>
      <c r="V59">
        <v>2037</v>
      </c>
      <c r="W59">
        <v>2038</v>
      </c>
      <c r="X59">
        <v>2039</v>
      </c>
      <c r="Y59">
        <v>2040</v>
      </c>
      <c r="Z59">
        <v>2041</v>
      </c>
    </row>
    <row r="60" spans="3:26" x14ac:dyDescent="0.25">
      <c r="C60" t="s">
        <v>98</v>
      </c>
      <c r="D60">
        <f>80*365</f>
        <v>29200</v>
      </c>
      <c r="E60">
        <f t="shared" ref="E60:Z60" si="8">80*365</f>
        <v>29200</v>
      </c>
      <c r="F60">
        <f t="shared" si="8"/>
        <v>29200</v>
      </c>
      <c r="G60">
        <f t="shared" si="8"/>
        <v>29200</v>
      </c>
      <c r="H60">
        <f t="shared" si="8"/>
        <v>29200</v>
      </c>
      <c r="I60">
        <f t="shared" si="8"/>
        <v>29200</v>
      </c>
      <c r="J60">
        <f t="shared" si="8"/>
        <v>29200</v>
      </c>
      <c r="K60">
        <f t="shared" si="8"/>
        <v>29200</v>
      </c>
      <c r="L60">
        <f t="shared" si="8"/>
        <v>29200</v>
      </c>
      <c r="M60">
        <f t="shared" si="8"/>
        <v>29200</v>
      </c>
      <c r="N60">
        <f t="shared" si="8"/>
        <v>29200</v>
      </c>
      <c r="O60">
        <f t="shared" si="8"/>
        <v>29200</v>
      </c>
      <c r="P60">
        <f t="shared" si="8"/>
        <v>29200</v>
      </c>
      <c r="Q60">
        <f t="shared" si="8"/>
        <v>29200</v>
      </c>
      <c r="R60">
        <f t="shared" si="8"/>
        <v>29200</v>
      </c>
      <c r="S60">
        <f t="shared" si="8"/>
        <v>29200</v>
      </c>
      <c r="T60">
        <f t="shared" si="8"/>
        <v>29200</v>
      </c>
      <c r="U60">
        <f t="shared" si="8"/>
        <v>29200</v>
      </c>
      <c r="V60">
        <f t="shared" si="8"/>
        <v>29200</v>
      </c>
      <c r="W60">
        <f t="shared" si="8"/>
        <v>29200</v>
      </c>
      <c r="X60">
        <f t="shared" si="8"/>
        <v>29200</v>
      </c>
      <c r="Y60">
        <f t="shared" si="8"/>
        <v>29200</v>
      </c>
      <c r="Z60">
        <f t="shared" si="8"/>
        <v>29200</v>
      </c>
    </row>
    <row r="61" spans="3:26" x14ac:dyDescent="0.25">
      <c r="C61" t="s">
        <v>99</v>
      </c>
      <c r="D61" s="30">
        <f>($D$11/100)*D60</f>
        <v>4088.0000000000005</v>
      </c>
      <c r="E61" s="30">
        <f t="shared" ref="E61:Z61" si="9">($D$11/100)*E60</f>
        <v>4088.0000000000005</v>
      </c>
      <c r="F61" s="30">
        <f t="shared" si="9"/>
        <v>4088.0000000000005</v>
      </c>
      <c r="G61" s="30">
        <f t="shared" si="9"/>
        <v>4088.0000000000005</v>
      </c>
      <c r="H61" s="30">
        <f t="shared" si="9"/>
        <v>4088.0000000000005</v>
      </c>
      <c r="I61" s="30">
        <f t="shared" si="9"/>
        <v>4088.0000000000005</v>
      </c>
      <c r="J61" s="30">
        <f t="shared" si="9"/>
        <v>4088.0000000000005</v>
      </c>
      <c r="K61" s="30">
        <f t="shared" si="9"/>
        <v>4088.0000000000005</v>
      </c>
      <c r="L61" s="30">
        <f t="shared" si="9"/>
        <v>4088.0000000000005</v>
      </c>
      <c r="M61" s="30">
        <f t="shared" si="9"/>
        <v>4088.0000000000005</v>
      </c>
      <c r="N61" s="30">
        <f t="shared" si="9"/>
        <v>4088.0000000000005</v>
      </c>
      <c r="O61" s="30">
        <f t="shared" si="9"/>
        <v>4088.0000000000005</v>
      </c>
      <c r="P61" s="30">
        <f t="shared" si="9"/>
        <v>4088.0000000000005</v>
      </c>
      <c r="Q61" s="30">
        <f t="shared" si="9"/>
        <v>4088.0000000000005</v>
      </c>
      <c r="R61" s="30">
        <f t="shared" si="9"/>
        <v>4088.0000000000005</v>
      </c>
      <c r="S61" s="30">
        <f t="shared" si="9"/>
        <v>4088.0000000000005</v>
      </c>
      <c r="T61" s="30">
        <f t="shared" si="9"/>
        <v>4088.0000000000005</v>
      </c>
      <c r="U61" s="30">
        <f t="shared" si="9"/>
        <v>4088.0000000000005</v>
      </c>
      <c r="V61" s="30">
        <f t="shared" si="9"/>
        <v>4088.0000000000005</v>
      </c>
      <c r="W61" s="30">
        <f t="shared" si="9"/>
        <v>4088.0000000000005</v>
      </c>
      <c r="X61" s="30">
        <f t="shared" si="9"/>
        <v>4088.0000000000005</v>
      </c>
      <c r="Y61" s="30">
        <f t="shared" si="9"/>
        <v>4088.0000000000005</v>
      </c>
      <c r="Z61" s="30">
        <f t="shared" si="9"/>
        <v>4088.0000000000005</v>
      </c>
    </row>
    <row r="62" spans="3:26" x14ac:dyDescent="0.25">
      <c r="C62" t="s">
        <v>101</v>
      </c>
      <c r="D62" s="1">
        <f>D61*$D$12</f>
        <v>3270.4000000000005</v>
      </c>
      <c r="E62" s="1">
        <f t="shared" ref="E62:Z62" si="10">E61*$D$12</f>
        <v>3270.4000000000005</v>
      </c>
      <c r="F62" s="1">
        <f t="shared" si="10"/>
        <v>3270.4000000000005</v>
      </c>
      <c r="G62" s="1">
        <f t="shared" si="10"/>
        <v>3270.4000000000005</v>
      </c>
      <c r="H62" s="1">
        <f t="shared" si="10"/>
        <v>3270.4000000000005</v>
      </c>
      <c r="I62" s="1">
        <f t="shared" si="10"/>
        <v>3270.4000000000005</v>
      </c>
      <c r="J62" s="1">
        <f t="shared" si="10"/>
        <v>3270.4000000000005</v>
      </c>
      <c r="K62" s="1">
        <f t="shared" si="10"/>
        <v>3270.4000000000005</v>
      </c>
      <c r="L62" s="1">
        <f t="shared" si="10"/>
        <v>3270.4000000000005</v>
      </c>
      <c r="M62" s="1">
        <f t="shared" si="10"/>
        <v>3270.4000000000005</v>
      </c>
      <c r="N62" s="1">
        <f t="shared" si="10"/>
        <v>3270.4000000000005</v>
      </c>
      <c r="O62" s="1">
        <f t="shared" si="10"/>
        <v>3270.4000000000005</v>
      </c>
      <c r="P62" s="1">
        <f t="shared" si="10"/>
        <v>3270.4000000000005</v>
      </c>
      <c r="Q62" s="1">
        <f t="shared" si="10"/>
        <v>3270.4000000000005</v>
      </c>
      <c r="R62" s="1">
        <f t="shared" si="10"/>
        <v>3270.4000000000005</v>
      </c>
      <c r="S62" s="1">
        <f t="shared" si="10"/>
        <v>3270.4000000000005</v>
      </c>
      <c r="T62" s="1">
        <f t="shared" si="10"/>
        <v>3270.4000000000005</v>
      </c>
      <c r="U62" s="1">
        <f t="shared" si="10"/>
        <v>3270.4000000000005</v>
      </c>
      <c r="V62" s="1">
        <f t="shared" si="10"/>
        <v>3270.4000000000005</v>
      </c>
      <c r="W62" s="1">
        <f t="shared" si="10"/>
        <v>3270.4000000000005</v>
      </c>
      <c r="X62" s="1">
        <f t="shared" si="10"/>
        <v>3270.4000000000005</v>
      </c>
      <c r="Y62" s="1">
        <f t="shared" si="10"/>
        <v>3270.4000000000005</v>
      </c>
      <c r="Z62" s="1">
        <f t="shared" si="10"/>
        <v>3270.4000000000005</v>
      </c>
    </row>
    <row r="63" spans="3:26" x14ac:dyDescent="0.25">
      <c r="C63" t="s">
        <v>100</v>
      </c>
      <c r="D63">
        <f>D62/(1+$D$13)^(D59-2019)</f>
        <v>3270.4000000000005</v>
      </c>
      <c r="E63">
        <f t="shared" ref="E63:Z63" si="11">E62/(1+$D$13)^(E59-2019)</f>
        <v>3175.1456310679614</v>
      </c>
      <c r="F63">
        <f t="shared" si="11"/>
        <v>3082.6656612310308</v>
      </c>
      <c r="G63">
        <f t="shared" si="11"/>
        <v>2992.8792827485736</v>
      </c>
      <c r="H63">
        <f t="shared" si="11"/>
        <v>2905.7080415034698</v>
      </c>
      <c r="I63">
        <f t="shared" si="11"/>
        <v>2821.0757684499708</v>
      </c>
      <c r="J63">
        <f t="shared" si="11"/>
        <v>2738.9085130582239</v>
      </c>
      <c r="K63">
        <f t="shared" si="11"/>
        <v>2659.1344786973045</v>
      </c>
      <c r="L63">
        <f t="shared" si="11"/>
        <v>2581.683959900296</v>
      </c>
      <c r="M63">
        <f t="shared" si="11"/>
        <v>2506.4892814565978</v>
      </c>
      <c r="N63">
        <f t="shared" si="11"/>
        <v>2433.4847392782503</v>
      </c>
      <c r="O63">
        <f t="shared" si="11"/>
        <v>2362.6065429885925</v>
      </c>
      <c r="P63">
        <f t="shared" si="11"/>
        <v>2293.7927601830997</v>
      </c>
      <c r="Q63">
        <f t="shared" si="11"/>
        <v>2226.9832623136895</v>
      </c>
      <c r="R63">
        <f t="shared" si="11"/>
        <v>2162.1196721492129</v>
      </c>
      <c r="S63">
        <f t="shared" si="11"/>
        <v>2099.1453127662257</v>
      </c>
      <c r="T63">
        <f t="shared" si="11"/>
        <v>2038.0051580254624</v>
      </c>
      <c r="U63">
        <f t="shared" si="11"/>
        <v>1978.6457844907402</v>
      </c>
      <c r="V63">
        <f t="shared" si="11"/>
        <v>1921.0153247482913</v>
      </c>
      <c r="W63">
        <f t="shared" si="11"/>
        <v>1865.0634220857198</v>
      </c>
      <c r="X63">
        <f t="shared" si="11"/>
        <v>1810.7411864909902</v>
      </c>
      <c r="Y63">
        <f t="shared" si="11"/>
        <v>1758.0011519330003</v>
      </c>
      <c r="Z63">
        <f t="shared" si="11"/>
        <v>1706.797234886408</v>
      </c>
    </row>
    <row r="64" spans="3:26" x14ac:dyDescent="0.25">
      <c r="C64" t="s">
        <v>102</v>
      </c>
      <c r="D64">
        <f>SUM(D63:K63)</f>
        <v>23645.917376756537</v>
      </c>
      <c r="E64">
        <f>SUM(E63:L63)</f>
        <v>22957.201336656832</v>
      </c>
      <c r="F64">
        <f t="shared" ref="F64:O64" si="12">SUM(F63:M63)</f>
        <v>22288.544987045469</v>
      </c>
      <c r="G64">
        <f t="shared" si="12"/>
        <v>21639.364065092686</v>
      </c>
      <c r="H64">
        <f t="shared" si="12"/>
        <v>21009.091325332705</v>
      </c>
      <c r="I64">
        <f t="shared" si="12"/>
        <v>20397.176044012336</v>
      </c>
      <c r="J64">
        <f t="shared" si="12"/>
        <v>19803.083537876053</v>
      </c>
      <c r="K64">
        <f t="shared" si="12"/>
        <v>19226.294696967041</v>
      </c>
      <c r="L64">
        <f t="shared" si="12"/>
        <v>18666.305531035963</v>
      </c>
      <c r="M64">
        <f t="shared" si="12"/>
        <v>18122.626729161133</v>
      </c>
      <c r="N64">
        <f t="shared" si="12"/>
        <v>17594.783232195274</v>
      </c>
      <c r="O64">
        <f t="shared" si="12"/>
        <v>17082.313817665316</v>
      </c>
    </row>
    <row r="66" spans="3:26" x14ac:dyDescent="0.25">
      <c r="C66" t="s">
        <v>103</v>
      </c>
      <c r="D66">
        <f>27*300+27*100</f>
        <v>10800</v>
      </c>
    </row>
    <row r="70" spans="3:26" x14ac:dyDescent="0.25">
      <c r="C70" t="s">
        <v>104</v>
      </c>
      <c r="D70">
        <v>4300</v>
      </c>
      <c r="E70">
        <v>4300</v>
      </c>
      <c r="F70">
        <v>4300</v>
      </c>
      <c r="G70">
        <v>4300</v>
      </c>
      <c r="H70">
        <v>4300</v>
      </c>
      <c r="I70">
        <v>4300</v>
      </c>
      <c r="J70">
        <v>4300</v>
      </c>
      <c r="K70">
        <v>4300</v>
      </c>
      <c r="L70">
        <v>4300</v>
      </c>
      <c r="M70">
        <v>4300</v>
      </c>
      <c r="N70">
        <v>4300</v>
      </c>
      <c r="O70">
        <v>4300</v>
      </c>
      <c r="P70">
        <v>4300</v>
      </c>
      <c r="Q70">
        <v>4300</v>
      </c>
      <c r="R70">
        <v>4300</v>
      </c>
      <c r="S70">
        <v>4300</v>
      </c>
      <c r="T70">
        <v>4300</v>
      </c>
      <c r="U70">
        <v>4300</v>
      </c>
      <c r="V70">
        <v>4300</v>
      </c>
      <c r="W70">
        <v>4300</v>
      </c>
      <c r="X70">
        <v>4300</v>
      </c>
      <c r="Y70">
        <v>4300</v>
      </c>
      <c r="Z70">
        <v>4300</v>
      </c>
    </row>
    <row r="71" spans="3:26" x14ac:dyDescent="0.25">
      <c r="C71" t="s">
        <v>105</v>
      </c>
      <c r="D71">
        <f>D70/(1+0.03)^(D59-2019)</f>
        <v>4300</v>
      </c>
      <c r="E71">
        <f t="shared" ref="E71:O71" si="13">E70/(1+0.03)^(E59-2019)</f>
        <v>4174.7572815533977</v>
      </c>
      <c r="F71">
        <f t="shared" si="13"/>
        <v>4053.162409275144</v>
      </c>
      <c r="G71">
        <f t="shared" si="13"/>
        <v>3935.1091352185863</v>
      </c>
      <c r="H71">
        <f t="shared" si="13"/>
        <v>3820.4943060374626</v>
      </c>
      <c r="I71">
        <f t="shared" si="13"/>
        <v>3709.2177728519055</v>
      </c>
      <c r="J71">
        <f t="shared" si="13"/>
        <v>3601.1823037397139</v>
      </c>
      <c r="K71">
        <f t="shared" si="13"/>
        <v>3496.2934987764211</v>
      </c>
      <c r="L71">
        <f t="shared" si="13"/>
        <v>3394.4597075499237</v>
      </c>
      <c r="M71">
        <f t="shared" si="13"/>
        <v>3295.5919490775959</v>
      </c>
      <c r="N71">
        <f t="shared" si="13"/>
        <v>3199.6038340559185</v>
      </c>
      <c r="O71">
        <f t="shared" si="13"/>
        <v>3106.4114893746778</v>
      </c>
    </row>
    <row r="72" spans="3:26" x14ac:dyDescent="0.25">
      <c r="C72" t="s">
        <v>106</v>
      </c>
      <c r="D72" s="145">
        <f>SUM(D71:K71)</f>
        <v>31090.216707452633</v>
      </c>
      <c r="E72" s="145">
        <f>SUM(E71:L71)</f>
        <v>30184.676415002552</v>
      </c>
      <c r="F72" s="145">
        <f>SUM(F71:M71)</f>
        <v>29305.511082526751</v>
      </c>
      <c r="G72" s="145">
        <f t="shared" ref="G72:O72" si="14">SUM(G71:N71)</f>
        <v>28451.952507307524</v>
      </c>
      <c r="H72" s="145">
        <f t="shared" si="14"/>
        <v>27623.254861463614</v>
      </c>
      <c r="I72" s="145">
        <f t="shared" si="14"/>
        <v>23802.760555426157</v>
      </c>
      <c r="J72" s="145">
        <f t="shared" si="14"/>
        <v>20093.542782574252</v>
      </c>
      <c r="K72" s="145">
        <f t="shared" si="14"/>
        <v>16492.360478834536</v>
      </c>
      <c r="L72" s="145">
        <f t="shared" si="14"/>
        <v>12996.066980058116</v>
      </c>
      <c r="M72" s="145">
        <f t="shared" si="14"/>
        <v>9601.6072725081922</v>
      </c>
      <c r="N72" s="145">
        <f t="shared" si="14"/>
        <v>6306.0153234305963</v>
      </c>
      <c r="O72" s="145">
        <f t="shared" si="14"/>
        <v>3106.4114893746778</v>
      </c>
    </row>
    <row r="75" spans="3:26" x14ac:dyDescent="0.25">
      <c r="C75" t="s">
        <v>98</v>
      </c>
      <c r="D75">
        <f>D60</f>
        <v>29200</v>
      </c>
      <c r="E75">
        <f t="shared" ref="E75:Z75" si="15">E60</f>
        <v>29200</v>
      </c>
      <c r="F75">
        <f t="shared" si="15"/>
        <v>29200</v>
      </c>
      <c r="G75">
        <f t="shared" si="15"/>
        <v>29200</v>
      </c>
      <c r="H75">
        <f t="shared" si="15"/>
        <v>29200</v>
      </c>
      <c r="I75">
        <f t="shared" si="15"/>
        <v>29200</v>
      </c>
      <c r="J75">
        <f t="shared" si="15"/>
        <v>29200</v>
      </c>
      <c r="K75">
        <f t="shared" si="15"/>
        <v>29200</v>
      </c>
      <c r="L75">
        <f t="shared" si="15"/>
        <v>29200</v>
      </c>
      <c r="M75">
        <f t="shared" si="15"/>
        <v>29200</v>
      </c>
      <c r="N75">
        <f t="shared" si="15"/>
        <v>29200</v>
      </c>
      <c r="O75">
        <f t="shared" si="15"/>
        <v>29200</v>
      </c>
      <c r="P75">
        <f t="shared" si="15"/>
        <v>29200</v>
      </c>
      <c r="Q75">
        <f t="shared" si="15"/>
        <v>29200</v>
      </c>
      <c r="R75">
        <f t="shared" si="15"/>
        <v>29200</v>
      </c>
      <c r="S75">
        <f t="shared" si="15"/>
        <v>29200</v>
      </c>
      <c r="T75">
        <f t="shared" si="15"/>
        <v>29200</v>
      </c>
      <c r="U75">
        <f t="shared" si="15"/>
        <v>29200</v>
      </c>
      <c r="V75">
        <f t="shared" si="15"/>
        <v>29200</v>
      </c>
      <c r="W75">
        <f t="shared" si="15"/>
        <v>29200</v>
      </c>
      <c r="X75">
        <f t="shared" si="15"/>
        <v>29200</v>
      </c>
      <c r="Y75">
        <f t="shared" si="15"/>
        <v>29200</v>
      </c>
      <c r="Z75">
        <f t="shared" si="15"/>
        <v>29200</v>
      </c>
    </row>
    <row r="76" spans="3:26" x14ac:dyDescent="0.25">
      <c r="C76" t="s">
        <v>107</v>
      </c>
      <c r="D76" s="30">
        <f>($D$27/100)*D75</f>
        <v>2044.0000000000002</v>
      </c>
      <c r="E76" s="30">
        <f t="shared" ref="E76:Z76" si="16">($D$27/100)*E75</f>
        <v>2044.0000000000002</v>
      </c>
      <c r="F76" s="30">
        <f t="shared" si="16"/>
        <v>2044.0000000000002</v>
      </c>
      <c r="G76" s="30">
        <f t="shared" si="16"/>
        <v>2044.0000000000002</v>
      </c>
      <c r="H76" s="30">
        <f t="shared" si="16"/>
        <v>2044.0000000000002</v>
      </c>
      <c r="I76" s="30">
        <f t="shared" si="16"/>
        <v>2044.0000000000002</v>
      </c>
      <c r="J76" s="30">
        <f t="shared" si="16"/>
        <v>2044.0000000000002</v>
      </c>
      <c r="K76" s="30">
        <f t="shared" si="16"/>
        <v>2044.0000000000002</v>
      </c>
      <c r="L76" s="30">
        <f t="shared" si="16"/>
        <v>2044.0000000000002</v>
      </c>
      <c r="M76" s="30">
        <f t="shared" si="16"/>
        <v>2044.0000000000002</v>
      </c>
      <c r="N76" s="30">
        <f t="shared" si="16"/>
        <v>2044.0000000000002</v>
      </c>
      <c r="O76" s="30">
        <f t="shared" si="16"/>
        <v>2044.0000000000002</v>
      </c>
      <c r="P76" s="30">
        <f t="shared" si="16"/>
        <v>2044.0000000000002</v>
      </c>
      <c r="Q76" s="30">
        <f t="shared" si="16"/>
        <v>2044.0000000000002</v>
      </c>
      <c r="R76" s="30">
        <f t="shared" si="16"/>
        <v>2044.0000000000002</v>
      </c>
      <c r="S76" s="30">
        <f t="shared" si="16"/>
        <v>2044.0000000000002</v>
      </c>
      <c r="T76" s="30">
        <f t="shared" si="16"/>
        <v>2044.0000000000002</v>
      </c>
      <c r="U76" s="30">
        <f t="shared" si="16"/>
        <v>2044.0000000000002</v>
      </c>
      <c r="V76" s="30">
        <f t="shared" si="16"/>
        <v>2044.0000000000002</v>
      </c>
      <c r="W76" s="30">
        <f t="shared" si="16"/>
        <v>2044.0000000000002</v>
      </c>
      <c r="X76" s="30">
        <f t="shared" si="16"/>
        <v>2044.0000000000002</v>
      </c>
      <c r="Y76" s="30">
        <f t="shared" si="16"/>
        <v>2044.0000000000002</v>
      </c>
      <c r="Z76" s="30">
        <f t="shared" si="16"/>
        <v>2044.0000000000002</v>
      </c>
    </row>
    <row r="77" spans="3:26" x14ac:dyDescent="0.25">
      <c r="C77" t="s">
        <v>108</v>
      </c>
      <c r="D77">
        <f>D76*$D$28</f>
        <v>14308.000000000002</v>
      </c>
      <c r="E77">
        <f t="shared" ref="E77:Z77" si="17">E76*$D$28</f>
        <v>14308.000000000002</v>
      </c>
      <c r="F77">
        <f t="shared" si="17"/>
        <v>14308.000000000002</v>
      </c>
      <c r="G77">
        <f t="shared" si="17"/>
        <v>14308.000000000002</v>
      </c>
      <c r="H77">
        <f t="shared" si="17"/>
        <v>14308.000000000002</v>
      </c>
      <c r="I77">
        <f t="shared" si="17"/>
        <v>14308.000000000002</v>
      </c>
      <c r="J77">
        <f t="shared" si="17"/>
        <v>14308.000000000002</v>
      </c>
      <c r="K77">
        <f t="shared" si="17"/>
        <v>14308.000000000002</v>
      </c>
      <c r="L77">
        <f t="shared" si="17"/>
        <v>14308.000000000002</v>
      </c>
      <c r="M77">
        <f t="shared" si="17"/>
        <v>14308.000000000002</v>
      </c>
      <c r="N77">
        <f t="shared" si="17"/>
        <v>14308.000000000002</v>
      </c>
      <c r="O77">
        <f t="shared" si="17"/>
        <v>14308.000000000002</v>
      </c>
      <c r="P77">
        <f t="shared" si="17"/>
        <v>14308.000000000002</v>
      </c>
      <c r="Q77">
        <f t="shared" si="17"/>
        <v>14308.000000000002</v>
      </c>
      <c r="R77">
        <f t="shared" si="17"/>
        <v>14308.000000000002</v>
      </c>
      <c r="S77">
        <f t="shared" si="17"/>
        <v>14308.000000000002</v>
      </c>
      <c r="T77">
        <f t="shared" si="17"/>
        <v>14308.000000000002</v>
      </c>
      <c r="U77">
        <f t="shared" si="17"/>
        <v>14308.000000000002</v>
      </c>
      <c r="V77">
        <f t="shared" si="17"/>
        <v>14308.000000000002</v>
      </c>
      <c r="W77">
        <f t="shared" si="17"/>
        <v>14308.000000000002</v>
      </c>
      <c r="X77">
        <f t="shared" si="17"/>
        <v>14308.000000000002</v>
      </c>
      <c r="Y77">
        <f t="shared" si="17"/>
        <v>14308.000000000002</v>
      </c>
      <c r="Z77">
        <f t="shared" si="17"/>
        <v>14308.000000000002</v>
      </c>
    </row>
    <row r="78" spans="3:26" x14ac:dyDescent="0.25">
      <c r="C78" t="s">
        <v>109</v>
      </c>
      <c r="D78">
        <f>D77/(1+$D$29)^(D59-2019)</f>
        <v>14308.000000000002</v>
      </c>
      <c r="E78">
        <f t="shared" ref="E78:Z78" si="18">E77/(1+$D$29)^(E59-2019)</f>
        <v>13891.262135922332</v>
      </c>
      <c r="F78">
        <f t="shared" si="18"/>
        <v>13486.66226788576</v>
      </c>
      <c r="G78">
        <f t="shared" si="18"/>
        <v>13093.84686202501</v>
      </c>
      <c r="H78">
        <f t="shared" si="18"/>
        <v>12712.472681577679</v>
      </c>
      <c r="I78">
        <f t="shared" si="18"/>
        <v>12342.206486968622</v>
      </c>
      <c r="J78">
        <f t="shared" si="18"/>
        <v>11982.72474462973</v>
      </c>
      <c r="K78">
        <f t="shared" si="18"/>
        <v>11633.713344300708</v>
      </c>
      <c r="L78">
        <f t="shared" si="18"/>
        <v>11294.867324563795</v>
      </c>
      <c r="M78">
        <f t="shared" si="18"/>
        <v>10965.890606372615</v>
      </c>
      <c r="N78">
        <f t="shared" si="18"/>
        <v>10646.495734342345</v>
      </c>
      <c r="O78">
        <f t="shared" si="18"/>
        <v>10336.403625575093</v>
      </c>
      <c r="P78">
        <f t="shared" si="18"/>
        <v>10035.343325801063</v>
      </c>
      <c r="Q78">
        <f t="shared" si="18"/>
        <v>9743.0517726223916</v>
      </c>
      <c r="R78">
        <f t="shared" si="18"/>
        <v>9459.2735656528057</v>
      </c>
      <c r="S78">
        <f t="shared" si="18"/>
        <v>9183.7607433522371</v>
      </c>
      <c r="T78">
        <f t="shared" si="18"/>
        <v>8916.2725663613983</v>
      </c>
      <c r="U78">
        <f t="shared" si="18"/>
        <v>8656.5753071469881</v>
      </c>
      <c r="V78">
        <f t="shared" si="18"/>
        <v>8404.4420457737742</v>
      </c>
      <c r="W78">
        <f t="shared" si="18"/>
        <v>8159.6524716250242</v>
      </c>
      <c r="X78">
        <f t="shared" si="18"/>
        <v>7921.9926908980815</v>
      </c>
      <c r="Y78">
        <f t="shared" si="18"/>
        <v>7691.2550397068762</v>
      </c>
      <c r="Z78">
        <f t="shared" si="18"/>
        <v>7467.237902628035</v>
      </c>
    </row>
    <row r="79" spans="3:26" x14ac:dyDescent="0.25">
      <c r="C79" t="s">
        <v>110</v>
      </c>
      <c r="D79" s="1">
        <f>SUM(D78:K78)</f>
        <v>103450.88852330983</v>
      </c>
      <c r="E79" s="1">
        <f t="shared" ref="E79:O79" si="19">SUM(E78:L78)</f>
        <v>100437.75584787363</v>
      </c>
      <c r="F79" s="1">
        <f t="shared" si="19"/>
        <v>97512.384318323908</v>
      </c>
      <c r="G79" s="1">
        <f t="shared" si="19"/>
        <v>94672.2177847805</v>
      </c>
      <c r="H79" s="1">
        <f t="shared" si="19"/>
        <v>91914.774548330592</v>
      </c>
      <c r="I79" s="1">
        <f t="shared" si="19"/>
        <v>89237.645192553973</v>
      </c>
      <c r="J79" s="1">
        <f t="shared" si="19"/>
        <v>86638.49047820775</v>
      </c>
      <c r="K79" s="1">
        <f t="shared" si="19"/>
        <v>84115.039299230819</v>
      </c>
      <c r="L79" s="1">
        <f t="shared" si="19"/>
        <v>81665.086698282335</v>
      </c>
      <c r="M79" s="1">
        <f t="shared" si="19"/>
        <v>79286.491940079941</v>
      </c>
      <c r="N79" s="1">
        <f t="shared" si="19"/>
        <v>76977.176640854304</v>
      </c>
      <c r="O79" s="1">
        <f t="shared" si="19"/>
        <v>74735.122952285732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4"/>
  <sheetViews>
    <sheetView zoomScaleNormal="100" workbookViewId="0">
      <selection activeCell="C4" sqref="C4"/>
    </sheetView>
  </sheetViews>
  <sheetFormatPr defaultRowHeight="14.4" x14ac:dyDescent="0.25"/>
  <cols>
    <col min="3" max="3" width="26" bestFit="1" customWidth="1"/>
    <col min="4" max="9" width="12.77734375" bestFit="1" customWidth="1"/>
    <col min="10" max="10" width="12.77734375" customWidth="1"/>
    <col min="11" max="15" width="12.77734375" bestFit="1" customWidth="1"/>
  </cols>
  <sheetData>
    <row r="4" spans="3:15" x14ac:dyDescent="0.25">
      <c r="C4" s="131" t="s">
        <v>77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55</v>
      </c>
      <c r="D6" s="70">
        <v>516685.71428571426</v>
      </c>
      <c r="E6" s="71">
        <f>D6-((D16-E16)+(D17-E17)+(D18-E18))</f>
        <v>500085.71428571426</v>
      </c>
      <c r="F6" s="71">
        <f t="shared" ref="F6:O6" si="0">E6-((E16-F16)+(E17-F17)+(E18-F18))</f>
        <v>485125.71428571426</v>
      </c>
      <c r="G6" s="71">
        <f t="shared" si="0"/>
        <v>471641.71428571426</v>
      </c>
      <c r="H6" s="71">
        <f t="shared" si="0"/>
        <v>459486.11428571423</v>
      </c>
      <c r="I6" s="71">
        <f t="shared" si="0"/>
        <v>448526.07428571419</v>
      </c>
      <c r="J6" s="71">
        <f t="shared" si="0"/>
        <v>438642.03828571422</v>
      </c>
      <c r="K6" s="71">
        <f t="shared" si="0"/>
        <v>429726.40588571422</v>
      </c>
      <c r="L6" s="71">
        <f t="shared" si="0"/>
        <v>421682.33672571421</v>
      </c>
      <c r="M6" s="71">
        <f t="shared" si="0"/>
        <v>414422.6744817142</v>
      </c>
      <c r="N6" s="71">
        <f t="shared" si="0"/>
        <v>407868.97846211417</v>
      </c>
      <c r="O6" s="71">
        <f t="shared" si="0"/>
        <v>401950.65204447415</v>
      </c>
    </row>
    <row r="7" spans="3:15" ht="15" thickBot="1" x14ac:dyDescent="0.3">
      <c r="C7" s="102" t="s">
        <v>24</v>
      </c>
      <c r="D7" s="74">
        <v>0</v>
      </c>
      <c r="E7" s="75">
        <v>0</v>
      </c>
      <c r="F7" s="76">
        <f>F6*0.1</f>
        <v>48512.571428571428</v>
      </c>
      <c r="G7" s="76">
        <f t="shared" ref="G7:O7" si="1">G6*0.1</f>
        <v>47164.171428571426</v>
      </c>
      <c r="H7" s="77">
        <f t="shared" si="1"/>
        <v>45948.611428571428</v>
      </c>
      <c r="I7" s="77">
        <f t="shared" si="1"/>
        <v>44852.60742857142</v>
      </c>
      <c r="J7" s="77">
        <f t="shared" si="1"/>
        <v>43864.203828571422</v>
      </c>
      <c r="K7" s="78">
        <f t="shared" si="1"/>
        <v>42972.640588571427</v>
      </c>
      <c r="L7" s="78">
        <f t="shared" si="1"/>
        <v>42168.233672571427</v>
      </c>
      <c r="M7" s="78">
        <f t="shared" si="1"/>
        <v>41442.26744817142</v>
      </c>
      <c r="N7" s="78">
        <f t="shared" si="1"/>
        <v>40786.897846211417</v>
      </c>
      <c r="O7" s="104">
        <f t="shared" si="1"/>
        <v>40195.065204447419</v>
      </c>
    </row>
    <row r="8" spans="3:15" ht="15" thickBot="1" x14ac:dyDescent="0.3">
      <c r="C8" s="102" t="s">
        <v>48</v>
      </c>
      <c r="D8" s="79">
        <f>D6+D7</f>
        <v>516685.71428571426</v>
      </c>
      <c r="E8" s="80">
        <f t="shared" ref="E8:O8" si="2">E6+E7</f>
        <v>500085.71428571426</v>
      </c>
      <c r="F8" s="80">
        <f t="shared" si="2"/>
        <v>533638.28571428568</v>
      </c>
      <c r="G8" s="80">
        <f t="shared" si="2"/>
        <v>518805.88571428566</v>
      </c>
      <c r="H8" s="81">
        <f t="shared" si="2"/>
        <v>505434.72571428563</v>
      </c>
      <c r="I8" s="81">
        <f t="shared" si="2"/>
        <v>493378.68171428563</v>
      </c>
      <c r="J8" s="81">
        <f t="shared" si="2"/>
        <v>482506.24211428565</v>
      </c>
      <c r="K8" s="82">
        <f t="shared" si="2"/>
        <v>472699.04647428566</v>
      </c>
      <c r="L8" s="143">
        <f t="shared" si="2"/>
        <v>463850.57039828564</v>
      </c>
      <c r="M8" s="82">
        <f t="shared" si="2"/>
        <v>455864.94192988565</v>
      </c>
      <c r="N8" s="82">
        <f t="shared" si="2"/>
        <v>448655.87630832556</v>
      </c>
      <c r="O8" s="105">
        <f t="shared" si="2"/>
        <v>442145.71724892157</v>
      </c>
    </row>
    <row r="9" spans="3:15" x14ac:dyDescent="0.25">
      <c r="C9" s="102" t="s">
        <v>49</v>
      </c>
      <c r="D9" s="79">
        <f>D6*0.05</f>
        <v>25834.285714285714</v>
      </c>
      <c r="E9" s="80">
        <f t="shared" ref="E9:O9" si="3">E6*0.05</f>
        <v>25004.285714285714</v>
      </c>
      <c r="F9" s="80">
        <f t="shared" si="3"/>
        <v>24256.285714285714</v>
      </c>
      <c r="G9" s="80">
        <f t="shared" si="3"/>
        <v>23582.085714285713</v>
      </c>
      <c r="H9" s="81">
        <f t="shared" si="3"/>
        <v>22974.305714285714</v>
      </c>
      <c r="I9" s="81">
        <f t="shared" si="3"/>
        <v>22426.30371428571</v>
      </c>
      <c r="J9" s="81">
        <f t="shared" si="3"/>
        <v>21932.101914285711</v>
      </c>
      <c r="K9" s="82">
        <f t="shared" si="3"/>
        <v>21486.320294285713</v>
      </c>
      <c r="L9" s="82">
        <f t="shared" si="3"/>
        <v>21084.116836285713</v>
      </c>
      <c r="M9" s="82">
        <f t="shared" si="3"/>
        <v>20721.13372408571</v>
      </c>
      <c r="N9" s="82">
        <f t="shared" si="3"/>
        <v>20393.448923105709</v>
      </c>
      <c r="O9" s="105">
        <f t="shared" si="3"/>
        <v>20097.53260222371</v>
      </c>
    </row>
    <row r="10" spans="3:15" x14ac:dyDescent="0.25">
      <c r="C10" s="102" t="s">
        <v>66</v>
      </c>
      <c r="D10" s="79">
        <v>470</v>
      </c>
      <c r="E10" s="80">
        <v>470</v>
      </c>
      <c r="F10" s="80">
        <v>470</v>
      </c>
      <c r="G10" s="80">
        <v>470</v>
      </c>
      <c r="H10" s="81">
        <v>470</v>
      </c>
      <c r="I10" s="81">
        <v>470</v>
      </c>
      <c r="J10" s="81">
        <v>470</v>
      </c>
      <c r="K10" s="82">
        <v>470</v>
      </c>
      <c r="L10" s="82">
        <v>470</v>
      </c>
      <c r="M10" s="82">
        <v>470</v>
      </c>
      <c r="N10" s="82">
        <v>470</v>
      </c>
      <c r="O10" s="105">
        <v>470</v>
      </c>
    </row>
    <row r="11" spans="3:15" x14ac:dyDescent="0.25">
      <c r="C11" s="102" t="s">
        <v>65</v>
      </c>
      <c r="D11" s="83">
        <v>95</v>
      </c>
      <c r="E11" s="84">
        <v>95</v>
      </c>
      <c r="F11" s="84">
        <v>95</v>
      </c>
      <c r="G11" s="84">
        <v>95</v>
      </c>
      <c r="H11" s="85">
        <v>95</v>
      </c>
      <c r="I11" s="85">
        <v>95</v>
      </c>
      <c r="J11" s="85">
        <v>95</v>
      </c>
      <c r="K11" s="86">
        <v>95</v>
      </c>
      <c r="L11" s="86">
        <v>95</v>
      </c>
      <c r="M11" s="86">
        <v>95</v>
      </c>
      <c r="N11" s="86">
        <v>95</v>
      </c>
      <c r="O11" s="106">
        <v>95</v>
      </c>
    </row>
    <row r="12" spans="3:15" x14ac:dyDescent="0.25">
      <c r="C12" s="102" t="s">
        <v>72</v>
      </c>
      <c r="D12" s="83">
        <v>1.2</v>
      </c>
      <c r="E12" s="87">
        <f t="shared" ref="E12:O12" si="4">D12*0.9</f>
        <v>1.08</v>
      </c>
      <c r="F12" s="87">
        <f t="shared" si="4"/>
        <v>0.97200000000000009</v>
      </c>
      <c r="G12" s="87">
        <f t="shared" si="4"/>
        <v>0.87480000000000013</v>
      </c>
      <c r="H12" s="88">
        <f t="shared" si="4"/>
        <v>0.78732000000000013</v>
      </c>
      <c r="I12" s="88">
        <f t="shared" si="4"/>
        <v>0.70858800000000011</v>
      </c>
      <c r="J12" s="88">
        <f t="shared" si="4"/>
        <v>0.63772920000000011</v>
      </c>
      <c r="K12" s="89">
        <f t="shared" si="4"/>
        <v>0.5739562800000001</v>
      </c>
      <c r="L12" s="89">
        <f t="shared" si="4"/>
        <v>0.51656065200000012</v>
      </c>
      <c r="M12" s="89">
        <f t="shared" si="4"/>
        <v>0.46490458680000013</v>
      </c>
      <c r="N12" s="89">
        <f t="shared" si="4"/>
        <v>0.41841412812000012</v>
      </c>
      <c r="O12" s="107">
        <f t="shared" si="4"/>
        <v>0.37657271530800013</v>
      </c>
    </row>
    <row r="13" spans="3:15" x14ac:dyDescent="0.25">
      <c r="C13" s="102" t="s">
        <v>50</v>
      </c>
      <c r="D13" s="79">
        <v>35000</v>
      </c>
      <c r="E13" s="90">
        <v>35000</v>
      </c>
      <c r="F13" s="75">
        <v>0</v>
      </c>
      <c r="G13" s="75">
        <v>0</v>
      </c>
      <c r="H13" s="91">
        <v>0</v>
      </c>
      <c r="I13" s="91">
        <v>0</v>
      </c>
      <c r="J13" s="91">
        <v>0</v>
      </c>
      <c r="K13" s="92">
        <v>0</v>
      </c>
      <c r="L13" s="92">
        <v>0</v>
      </c>
      <c r="M13" s="92">
        <v>0</v>
      </c>
      <c r="N13" s="92">
        <v>0</v>
      </c>
      <c r="O13" s="108">
        <v>0</v>
      </c>
    </row>
    <row r="14" spans="3:15" x14ac:dyDescent="0.25">
      <c r="C14" s="102" t="s">
        <v>51</v>
      </c>
      <c r="D14" s="79">
        <f t="shared" ref="D14:O14" si="5">D6-D9+D13</f>
        <v>525851.42857142852</v>
      </c>
      <c r="E14" s="80">
        <f t="shared" si="5"/>
        <v>510081.42857142852</v>
      </c>
      <c r="F14" s="80">
        <f t="shared" si="5"/>
        <v>460869.42857142852</v>
      </c>
      <c r="G14" s="80">
        <f t="shared" si="5"/>
        <v>448059.62857142853</v>
      </c>
      <c r="H14" s="81">
        <f t="shared" si="5"/>
        <v>436511.80857142853</v>
      </c>
      <c r="I14" s="81">
        <f t="shared" si="5"/>
        <v>426099.77057142847</v>
      </c>
      <c r="J14" s="81">
        <f t="shared" si="5"/>
        <v>416709.93637142854</v>
      </c>
      <c r="K14" s="82">
        <f t="shared" si="5"/>
        <v>408240.08559142851</v>
      </c>
      <c r="L14" s="82">
        <f t="shared" si="5"/>
        <v>400598.21988942847</v>
      </c>
      <c r="M14" s="82">
        <f t="shared" si="5"/>
        <v>393701.54075762851</v>
      </c>
      <c r="N14" s="82">
        <f t="shared" si="5"/>
        <v>387475.52953900845</v>
      </c>
      <c r="O14" s="105">
        <f t="shared" si="5"/>
        <v>381853.11944225046</v>
      </c>
    </row>
    <row r="15" spans="3:15" x14ac:dyDescent="0.25">
      <c r="C15" s="102" t="s">
        <v>68</v>
      </c>
      <c r="D15" s="79">
        <f>D14*0.87</f>
        <v>457490.74285714282</v>
      </c>
      <c r="E15" s="80">
        <f t="shared" ref="E15:O15" si="6">E14*0.87</f>
        <v>443770.84285714279</v>
      </c>
      <c r="F15" s="80">
        <f t="shared" si="6"/>
        <v>400956.40285714279</v>
      </c>
      <c r="G15" s="80">
        <f t="shared" si="6"/>
        <v>389811.87685714284</v>
      </c>
      <c r="H15" s="81">
        <f t="shared" si="6"/>
        <v>379765.27345714282</v>
      </c>
      <c r="I15" s="81">
        <f t="shared" si="6"/>
        <v>370706.80039714277</v>
      </c>
      <c r="J15" s="81">
        <f t="shared" si="6"/>
        <v>362537.64464314282</v>
      </c>
      <c r="K15" s="82">
        <f t="shared" si="6"/>
        <v>355168.87446454278</v>
      </c>
      <c r="L15" s="82">
        <f t="shared" si="6"/>
        <v>348520.45130380278</v>
      </c>
      <c r="M15" s="82">
        <f t="shared" si="6"/>
        <v>342520.34045913682</v>
      </c>
      <c r="N15" s="82">
        <f t="shared" si="6"/>
        <v>337103.71069893736</v>
      </c>
      <c r="O15" s="105">
        <f t="shared" si="6"/>
        <v>332212.21391475789</v>
      </c>
    </row>
    <row r="16" spans="3:15" x14ac:dyDescent="0.25">
      <c r="C16" s="102" t="s">
        <v>52</v>
      </c>
      <c r="D16" s="93">
        <f t="shared" ref="D16:O16" si="7">D12*1000*D11</f>
        <v>114000</v>
      </c>
      <c r="E16" s="71">
        <f t="shared" si="7"/>
        <v>102600</v>
      </c>
      <c r="F16" s="71">
        <f t="shared" si="7"/>
        <v>92340.000000000015</v>
      </c>
      <c r="G16" s="71">
        <f t="shared" si="7"/>
        <v>83106.000000000015</v>
      </c>
      <c r="H16" s="72">
        <f t="shared" si="7"/>
        <v>74795.400000000009</v>
      </c>
      <c r="I16" s="72">
        <f t="shared" si="7"/>
        <v>67315.86</v>
      </c>
      <c r="J16" s="72">
        <f t="shared" si="7"/>
        <v>60584.274000000012</v>
      </c>
      <c r="K16" s="73">
        <f t="shared" si="7"/>
        <v>54525.846600000012</v>
      </c>
      <c r="L16" s="73">
        <f t="shared" si="7"/>
        <v>49073.261940000011</v>
      </c>
      <c r="M16" s="73">
        <f t="shared" si="7"/>
        <v>44165.93574600001</v>
      </c>
      <c r="N16" s="73">
        <f t="shared" si="7"/>
        <v>39749.342171400007</v>
      </c>
      <c r="O16" s="103">
        <f t="shared" si="7"/>
        <v>35774.407954260008</v>
      </c>
    </row>
    <row r="17" spans="3:15" ht="28.8" x14ac:dyDescent="0.25">
      <c r="C17" s="109" t="s">
        <v>53</v>
      </c>
      <c r="D17" s="49">
        <v>30000</v>
      </c>
      <c r="E17" s="139">
        <f>D17-200</f>
        <v>29800</v>
      </c>
      <c r="F17" s="139">
        <f t="shared" ref="F17:O17" si="8">E17-200</f>
        <v>29600</v>
      </c>
      <c r="G17" s="139">
        <f t="shared" si="8"/>
        <v>29400</v>
      </c>
      <c r="H17" s="140">
        <f t="shared" si="8"/>
        <v>29200</v>
      </c>
      <c r="I17" s="140">
        <f t="shared" si="8"/>
        <v>29000</v>
      </c>
      <c r="J17" s="140">
        <f t="shared" si="8"/>
        <v>28800</v>
      </c>
      <c r="K17" s="141">
        <f t="shared" si="8"/>
        <v>28600</v>
      </c>
      <c r="L17" s="141">
        <f t="shared" si="8"/>
        <v>28400</v>
      </c>
      <c r="M17" s="141">
        <f t="shared" si="8"/>
        <v>28200</v>
      </c>
      <c r="N17" s="141">
        <f t="shared" si="8"/>
        <v>28000</v>
      </c>
      <c r="O17" s="142">
        <f t="shared" si="8"/>
        <v>27800</v>
      </c>
    </row>
    <row r="18" spans="3:15" x14ac:dyDescent="0.25">
      <c r="C18" s="102" t="s">
        <v>54</v>
      </c>
      <c r="D18" s="96">
        <v>50000</v>
      </c>
      <c r="E18" s="97">
        <f>D18*0.9</f>
        <v>45000</v>
      </c>
      <c r="F18" s="97">
        <f t="shared" ref="F18:O18" si="9">E18*0.9</f>
        <v>40500</v>
      </c>
      <c r="G18" s="97">
        <f t="shared" si="9"/>
        <v>36450</v>
      </c>
      <c r="H18" s="94">
        <f t="shared" si="9"/>
        <v>32805</v>
      </c>
      <c r="I18" s="94">
        <f t="shared" si="9"/>
        <v>29524.5</v>
      </c>
      <c r="J18" s="94">
        <f t="shared" si="9"/>
        <v>26572.05</v>
      </c>
      <c r="K18" s="95">
        <f t="shared" si="9"/>
        <v>23914.845000000001</v>
      </c>
      <c r="L18" s="95">
        <f t="shared" si="9"/>
        <v>21523.360500000003</v>
      </c>
      <c r="M18" s="95">
        <f t="shared" si="9"/>
        <v>19371.024450000004</v>
      </c>
      <c r="N18" s="95">
        <f t="shared" si="9"/>
        <v>17433.922005000004</v>
      </c>
      <c r="O18" s="110">
        <f t="shared" si="9"/>
        <v>15690.529804500004</v>
      </c>
    </row>
    <row r="19" spans="3:15" ht="15" thickBot="1" x14ac:dyDescent="0.3">
      <c r="C19" s="102" t="s">
        <v>71</v>
      </c>
      <c r="D19" s="79">
        <f>D15-D16-D17-D18</f>
        <v>263490.74285714282</v>
      </c>
      <c r="E19" s="80">
        <f t="shared" ref="E19:O19" si="10">E15-E16-E17-E18</f>
        <v>266370.84285714279</v>
      </c>
      <c r="F19" s="80">
        <f t="shared" si="10"/>
        <v>238516.40285714279</v>
      </c>
      <c r="G19" s="80">
        <f t="shared" si="10"/>
        <v>240855.87685714284</v>
      </c>
      <c r="H19" s="81">
        <f t="shared" si="10"/>
        <v>242964.87345714279</v>
      </c>
      <c r="I19" s="81">
        <f t="shared" si="10"/>
        <v>244866.44039714278</v>
      </c>
      <c r="J19" s="81">
        <f t="shared" si="10"/>
        <v>246581.3206431428</v>
      </c>
      <c r="K19" s="82">
        <f t="shared" si="10"/>
        <v>248128.18286454279</v>
      </c>
      <c r="L19" s="82">
        <f t="shared" si="10"/>
        <v>249523.82886380277</v>
      </c>
      <c r="M19" s="82">
        <f t="shared" si="10"/>
        <v>250783.38026313679</v>
      </c>
      <c r="N19" s="82">
        <f t="shared" si="10"/>
        <v>251920.44652253733</v>
      </c>
      <c r="O19" s="105">
        <f t="shared" si="10"/>
        <v>252947.27615599788</v>
      </c>
    </row>
    <row r="20" spans="3:15" ht="15" thickBot="1" x14ac:dyDescent="0.3">
      <c r="C20" s="111" t="s">
        <v>70</v>
      </c>
      <c r="D20" s="138">
        <f>D19/D14</f>
        <v>0.50107450230374684</v>
      </c>
      <c r="E20" s="179">
        <f t="shared" ref="E20:O20" si="11">E19/E14</f>
        <v>0.52221239185900281</v>
      </c>
      <c r="F20" s="180">
        <f t="shared" si="11"/>
        <v>0.51753574455237705</v>
      </c>
      <c r="G20" s="180">
        <f t="shared" si="11"/>
        <v>0.53755317707394434</v>
      </c>
      <c r="H20" s="181">
        <f t="shared" si="11"/>
        <v>0.55660549998015751</v>
      </c>
      <c r="I20" s="181">
        <f t="shared" si="11"/>
        <v>0.57466926130647855</v>
      </c>
      <c r="J20" s="181">
        <f t="shared" si="11"/>
        <v>0.59173371959951537</v>
      </c>
      <c r="K20" s="177">
        <f t="shared" si="11"/>
        <v>0.60779965422815529</v>
      </c>
      <c r="L20" s="177">
        <f t="shared" si="11"/>
        <v>0.62287802709826157</v>
      </c>
      <c r="M20" s="177">
        <f t="shared" si="11"/>
        <v>0.636988566975217</v>
      </c>
      <c r="N20" s="177">
        <f t="shared" si="11"/>
        <v>0.65015833857238636</v>
      </c>
      <c r="O20" s="178">
        <f t="shared" si="11"/>
        <v>0.662420347712394</v>
      </c>
    </row>
    <row r="21" spans="3:15" x14ac:dyDescent="0.25">
      <c r="C21" s="131" t="s">
        <v>78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</row>
    <row r="22" spans="3:15" x14ac:dyDescent="0.25">
      <c r="C22" s="123"/>
      <c r="D22" s="124">
        <v>2019</v>
      </c>
      <c r="E22" s="125">
        <v>2020</v>
      </c>
      <c r="F22" s="125">
        <v>2021</v>
      </c>
      <c r="G22" s="125">
        <v>2022</v>
      </c>
      <c r="H22" s="126">
        <v>2023</v>
      </c>
      <c r="I22" s="126">
        <v>2024</v>
      </c>
      <c r="J22" s="126">
        <v>2025</v>
      </c>
      <c r="K22" s="127">
        <v>2026</v>
      </c>
      <c r="L22" s="127">
        <v>2027</v>
      </c>
      <c r="M22" s="127">
        <v>2028</v>
      </c>
      <c r="N22" s="127">
        <v>2029</v>
      </c>
      <c r="O22" s="128">
        <v>2030</v>
      </c>
    </row>
    <row r="23" spans="3:15" x14ac:dyDescent="0.25">
      <c r="C23" s="102" t="s">
        <v>55</v>
      </c>
      <c r="D23" s="70">
        <v>532285.71428571432</v>
      </c>
      <c r="E23" s="87">
        <f>D23+(E29-D29)+(E30-D30)</f>
        <v>534885.71428571432</v>
      </c>
      <c r="F23" s="87">
        <f t="shared" ref="F23:O23" si="12">E23+(F29-E29)+(F30-E30)</f>
        <v>537537.71428571432</v>
      </c>
      <c r="G23" s="87">
        <f t="shared" si="12"/>
        <v>540242.75428571436</v>
      </c>
      <c r="H23" s="88">
        <f t="shared" si="12"/>
        <v>543001.89508571429</v>
      </c>
      <c r="I23" s="88">
        <f t="shared" si="12"/>
        <v>545816.2187017143</v>
      </c>
      <c r="J23" s="88">
        <f t="shared" si="12"/>
        <v>548686.82879003428</v>
      </c>
      <c r="K23" s="89">
        <f t="shared" si="12"/>
        <v>551614.85108012066</v>
      </c>
      <c r="L23" s="89">
        <f t="shared" si="12"/>
        <v>554601.43381600874</v>
      </c>
      <c r="M23" s="89">
        <f t="shared" si="12"/>
        <v>557647.74820661463</v>
      </c>
      <c r="N23" s="89">
        <f t="shared" si="12"/>
        <v>560754.9888850326</v>
      </c>
      <c r="O23" s="107">
        <f t="shared" si="12"/>
        <v>563924.374377019</v>
      </c>
    </row>
    <row r="24" spans="3:15" ht="15" thickBot="1" x14ac:dyDescent="0.3">
      <c r="C24" s="102" t="s">
        <v>24</v>
      </c>
      <c r="D24" s="117">
        <f>D23*0.1</f>
        <v>53228.571428571435</v>
      </c>
      <c r="E24" s="76">
        <f t="shared" ref="E24:O24" si="13">E23*0.1</f>
        <v>53488.571428571435</v>
      </c>
      <c r="F24" s="76">
        <f t="shared" si="13"/>
        <v>53753.771428571432</v>
      </c>
      <c r="G24" s="76">
        <f t="shared" si="13"/>
        <v>54024.27542857144</v>
      </c>
      <c r="H24" s="77">
        <f t="shared" si="13"/>
        <v>54300.189508571435</v>
      </c>
      <c r="I24" s="77">
        <f t="shared" si="13"/>
        <v>54581.621870171432</v>
      </c>
      <c r="J24" s="77">
        <f t="shared" si="13"/>
        <v>54868.682879003434</v>
      </c>
      <c r="K24" s="78">
        <f t="shared" si="13"/>
        <v>55161.485108012072</v>
      </c>
      <c r="L24" s="78">
        <f t="shared" si="13"/>
        <v>55460.143381600879</v>
      </c>
      <c r="M24" s="78">
        <f t="shared" si="13"/>
        <v>55764.774820661463</v>
      </c>
      <c r="N24" s="78">
        <f t="shared" si="13"/>
        <v>56075.498888503265</v>
      </c>
      <c r="O24" s="104">
        <f t="shared" si="13"/>
        <v>56392.437437701905</v>
      </c>
    </row>
    <row r="25" spans="3:15" ht="15" thickBot="1" x14ac:dyDescent="0.3">
      <c r="C25" s="102" t="s">
        <v>48</v>
      </c>
      <c r="D25" s="93">
        <f>D23+D24</f>
        <v>585514.2857142858</v>
      </c>
      <c r="E25" s="71">
        <f t="shared" ref="E25:O25" si="14">E23+E24</f>
        <v>588374.2857142858</v>
      </c>
      <c r="F25" s="71">
        <f t="shared" si="14"/>
        <v>591291.48571428575</v>
      </c>
      <c r="G25" s="135">
        <f t="shared" si="14"/>
        <v>594267.02971428575</v>
      </c>
      <c r="H25" s="72">
        <f t="shared" si="14"/>
        <v>597302.0845942857</v>
      </c>
      <c r="I25" s="72">
        <f t="shared" si="14"/>
        <v>600397.8405718857</v>
      </c>
      <c r="J25" s="72">
        <f t="shared" si="14"/>
        <v>603555.51166903775</v>
      </c>
      <c r="K25" s="73">
        <f t="shared" si="14"/>
        <v>606776.33618813276</v>
      </c>
      <c r="L25" s="144">
        <f t="shared" si="14"/>
        <v>610061.57719760959</v>
      </c>
      <c r="M25" s="73">
        <f t="shared" si="14"/>
        <v>613412.52302727615</v>
      </c>
      <c r="N25" s="73">
        <f t="shared" si="14"/>
        <v>616830.48777353589</v>
      </c>
      <c r="O25" s="103">
        <f t="shared" si="14"/>
        <v>620316.81181472086</v>
      </c>
    </row>
    <row r="26" spans="3:15" x14ac:dyDescent="0.25">
      <c r="C26" s="102" t="s">
        <v>57</v>
      </c>
      <c r="D26" s="79">
        <f>D23*0.05</f>
        <v>26614.285714285717</v>
      </c>
      <c r="E26" s="80">
        <f t="shared" ref="E26:O26" si="15">E23*0.05</f>
        <v>26744.285714285717</v>
      </c>
      <c r="F26" s="80">
        <f t="shared" si="15"/>
        <v>26876.885714285716</v>
      </c>
      <c r="G26" s="80">
        <f t="shared" si="15"/>
        <v>27012.13771428572</v>
      </c>
      <c r="H26" s="81">
        <f t="shared" si="15"/>
        <v>27150.094754285717</v>
      </c>
      <c r="I26" s="81">
        <f t="shared" si="15"/>
        <v>27290.810935085716</v>
      </c>
      <c r="J26" s="81">
        <f t="shared" si="15"/>
        <v>27434.341439501717</v>
      </c>
      <c r="K26" s="82">
        <f t="shared" si="15"/>
        <v>27580.742554006036</v>
      </c>
      <c r="L26" s="82">
        <f t="shared" si="15"/>
        <v>27730.07169080044</v>
      </c>
      <c r="M26" s="82">
        <f t="shared" si="15"/>
        <v>27882.387410330732</v>
      </c>
      <c r="N26" s="82">
        <f t="shared" si="15"/>
        <v>28037.749444251633</v>
      </c>
      <c r="O26" s="105">
        <f t="shared" si="15"/>
        <v>28196.218718850952</v>
      </c>
    </row>
    <row r="27" spans="3:15" x14ac:dyDescent="0.25">
      <c r="C27" s="102" t="s">
        <v>51</v>
      </c>
      <c r="D27" s="79">
        <f>D23-D26</f>
        <v>505671.42857142858</v>
      </c>
      <c r="E27" s="80">
        <f t="shared" ref="E27:O27" si="16">E23-E26</f>
        <v>508141.42857142858</v>
      </c>
      <c r="F27" s="80">
        <f t="shared" si="16"/>
        <v>510660.8285714286</v>
      </c>
      <c r="G27" s="80">
        <f t="shared" si="16"/>
        <v>513230.61657142866</v>
      </c>
      <c r="H27" s="81">
        <f t="shared" si="16"/>
        <v>515851.80033142859</v>
      </c>
      <c r="I27" s="81">
        <f t="shared" si="16"/>
        <v>518525.4077666286</v>
      </c>
      <c r="J27" s="81">
        <f t="shared" si="16"/>
        <v>521252.48735053255</v>
      </c>
      <c r="K27" s="82">
        <f t="shared" si="16"/>
        <v>524034.10852611461</v>
      </c>
      <c r="L27" s="82">
        <f t="shared" si="16"/>
        <v>526871.36212520825</v>
      </c>
      <c r="M27" s="82">
        <f t="shared" si="16"/>
        <v>529765.36079628393</v>
      </c>
      <c r="N27" s="82">
        <f t="shared" si="16"/>
        <v>532717.23944078095</v>
      </c>
      <c r="O27" s="105">
        <f t="shared" si="16"/>
        <v>535728.15565816802</v>
      </c>
    </row>
    <row r="28" spans="3:15" x14ac:dyDescent="0.25">
      <c r="C28" s="102" t="s">
        <v>68</v>
      </c>
      <c r="D28" s="79">
        <f>D27*0.87</f>
        <v>439934.14285714284</v>
      </c>
      <c r="E28" s="80">
        <f t="shared" ref="E28:O28" si="17">E27*0.87</f>
        <v>442083.04285714286</v>
      </c>
      <c r="F28" s="80">
        <f t="shared" si="17"/>
        <v>444274.92085714289</v>
      </c>
      <c r="G28" s="80">
        <f t="shared" si="17"/>
        <v>446510.63641714293</v>
      </c>
      <c r="H28" s="81">
        <f t="shared" si="17"/>
        <v>448791.06628834287</v>
      </c>
      <c r="I28" s="81">
        <f t="shared" si="17"/>
        <v>451117.10475696687</v>
      </c>
      <c r="J28" s="81">
        <f t="shared" si="17"/>
        <v>453489.66399496334</v>
      </c>
      <c r="K28" s="82">
        <f t="shared" si="17"/>
        <v>455909.67441771971</v>
      </c>
      <c r="L28" s="82">
        <f t="shared" si="17"/>
        <v>458378.08504893119</v>
      </c>
      <c r="M28" s="82">
        <f t="shared" si="17"/>
        <v>460895.863892767</v>
      </c>
      <c r="N28" s="82">
        <f t="shared" si="17"/>
        <v>463463.99831347942</v>
      </c>
      <c r="O28" s="105">
        <f t="shared" si="17"/>
        <v>466083.49542260618</v>
      </c>
    </row>
    <row r="29" spans="3:15" x14ac:dyDescent="0.25">
      <c r="C29" s="102" t="s">
        <v>59</v>
      </c>
      <c r="D29" s="70">
        <v>80000</v>
      </c>
      <c r="E29" s="80">
        <f>D29*1.02</f>
        <v>81600</v>
      </c>
      <c r="F29" s="80">
        <f t="shared" ref="F29:O30" si="18">E29*1.02</f>
        <v>83232</v>
      </c>
      <c r="G29" s="80">
        <f t="shared" si="18"/>
        <v>84896.639999999999</v>
      </c>
      <c r="H29" s="81">
        <f t="shared" si="18"/>
        <v>86594.572799999994</v>
      </c>
      <c r="I29" s="81">
        <f t="shared" si="18"/>
        <v>88326.464255999992</v>
      </c>
      <c r="J29" s="81">
        <f t="shared" si="18"/>
        <v>90092.993541119999</v>
      </c>
      <c r="K29" s="82">
        <f t="shared" si="18"/>
        <v>91894.8534119424</v>
      </c>
      <c r="L29" s="82">
        <f t="shared" si="18"/>
        <v>93732.750480181247</v>
      </c>
      <c r="M29" s="82">
        <f t="shared" si="18"/>
        <v>95607.405489784869</v>
      </c>
      <c r="N29" s="82">
        <f t="shared" si="18"/>
        <v>97519.553599580569</v>
      </c>
      <c r="O29" s="105">
        <f t="shared" si="18"/>
        <v>99469.944671572186</v>
      </c>
    </row>
    <row r="30" spans="3:15" x14ac:dyDescent="0.25">
      <c r="C30" s="102" t="s">
        <v>60</v>
      </c>
      <c r="D30" s="70">
        <v>50000</v>
      </c>
      <c r="E30" s="80">
        <f>D30*1.02</f>
        <v>51000</v>
      </c>
      <c r="F30" s="80">
        <f t="shared" si="18"/>
        <v>52020</v>
      </c>
      <c r="G30" s="80">
        <f t="shared" si="18"/>
        <v>53060.4</v>
      </c>
      <c r="H30" s="81">
        <f t="shared" si="18"/>
        <v>54121.608</v>
      </c>
      <c r="I30" s="81">
        <f t="shared" si="18"/>
        <v>55204.040160000004</v>
      </c>
      <c r="J30" s="81">
        <f t="shared" si="18"/>
        <v>56308.120963200003</v>
      </c>
      <c r="K30" s="82">
        <f t="shared" si="18"/>
        <v>57434.283382464004</v>
      </c>
      <c r="L30" s="82">
        <f t="shared" si="18"/>
        <v>58582.969050113286</v>
      </c>
      <c r="M30" s="82">
        <f t="shared" si="18"/>
        <v>59754.628431115554</v>
      </c>
      <c r="N30" s="82">
        <f t="shared" si="18"/>
        <v>60949.720999737867</v>
      </c>
      <c r="O30" s="105">
        <f t="shared" si="18"/>
        <v>62168.715419732624</v>
      </c>
    </row>
    <row r="31" spans="3:15" x14ac:dyDescent="0.25">
      <c r="C31" s="102" t="s">
        <v>61</v>
      </c>
      <c r="D31" s="118">
        <v>10000</v>
      </c>
      <c r="E31" s="80">
        <v>10000</v>
      </c>
      <c r="F31" s="80">
        <v>10000</v>
      </c>
      <c r="G31" s="80">
        <v>10000</v>
      </c>
      <c r="H31" s="81">
        <v>10000</v>
      </c>
      <c r="I31" s="81">
        <v>10000</v>
      </c>
      <c r="J31" s="81">
        <v>10000</v>
      </c>
      <c r="K31" s="82">
        <v>10000</v>
      </c>
      <c r="L31" s="82">
        <v>10000</v>
      </c>
      <c r="M31" s="82">
        <v>10000</v>
      </c>
      <c r="N31" s="82">
        <v>10000</v>
      </c>
      <c r="O31" s="105">
        <v>10000</v>
      </c>
    </row>
    <row r="32" spans="3:15" x14ac:dyDescent="0.25">
      <c r="C32" s="102" t="s">
        <v>67</v>
      </c>
      <c r="D32" s="70">
        <v>80000</v>
      </c>
      <c r="E32" s="80">
        <v>80000</v>
      </c>
      <c r="F32" s="80">
        <v>80000</v>
      </c>
      <c r="G32" s="80">
        <v>80000</v>
      </c>
      <c r="H32" s="81">
        <v>80000</v>
      </c>
      <c r="I32" s="81">
        <v>80000</v>
      </c>
      <c r="J32" s="81">
        <v>80000</v>
      </c>
      <c r="K32" s="82">
        <v>80000</v>
      </c>
      <c r="L32" s="82">
        <v>80000</v>
      </c>
      <c r="M32" s="82">
        <v>80000</v>
      </c>
      <c r="N32" s="82">
        <v>80000</v>
      </c>
      <c r="O32" s="105">
        <v>80000</v>
      </c>
    </row>
    <row r="33" spans="3:15" ht="15" thickBot="1" x14ac:dyDescent="0.3">
      <c r="C33" s="102" t="s">
        <v>69</v>
      </c>
      <c r="D33" s="79">
        <f>D28-D29-D30-D31-D32</f>
        <v>219934.14285714284</v>
      </c>
      <c r="E33" s="80">
        <f t="shared" ref="E33:O33" si="19">E28-E29-E30-E31-E32</f>
        <v>219483.04285714286</v>
      </c>
      <c r="F33" s="80">
        <f t="shared" si="19"/>
        <v>219022.92085714289</v>
      </c>
      <c r="G33" s="80">
        <f t="shared" si="19"/>
        <v>218553.59641714289</v>
      </c>
      <c r="H33" s="81">
        <f t="shared" si="19"/>
        <v>218074.88548834284</v>
      </c>
      <c r="I33" s="81">
        <f t="shared" si="19"/>
        <v>217586.60034096683</v>
      </c>
      <c r="J33" s="81">
        <f t="shared" si="19"/>
        <v>217088.54949064332</v>
      </c>
      <c r="K33" s="82">
        <f t="shared" si="19"/>
        <v>216580.53762331331</v>
      </c>
      <c r="L33" s="82">
        <f t="shared" si="19"/>
        <v>216062.36551863665</v>
      </c>
      <c r="M33" s="82">
        <f t="shared" si="19"/>
        <v>215533.82997186657</v>
      </c>
      <c r="N33" s="82">
        <f t="shared" si="19"/>
        <v>214994.72371416097</v>
      </c>
      <c r="O33" s="105">
        <f t="shared" si="19"/>
        <v>214444.83533130138</v>
      </c>
    </row>
    <row r="34" spans="3:15" ht="15" thickBot="1" x14ac:dyDescent="0.3">
      <c r="C34" s="111" t="s">
        <v>70</v>
      </c>
      <c r="D34" s="138">
        <f>D33/D27</f>
        <v>0.43493488148713166</v>
      </c>
      <c r="E34" s="179">
        <f t="shared" ref="E34:O34" si="20">E33/E27</f>
        <v>0.43193298266230717</v>
      </c>
      <c r="F34" s="180">
        <f t="shared" si="20"/>
        <v>0.42890096244479636</v>
      </c>
      <c r="G34" s="180">
        <f t="shared" si="20"/>
        <v>0.42583896860472231</v>
      </c>
      <c r="H34" s="181">
        <f t="shared" si="20"/>
        <v>0.42274716371685112</v>
      </c>
      <c r="I34" s="181">
        <f t="shared" si="20"/>
        <v>0.4196257253393752</v>
      </c>
      <c r="J34" s="181">
        <f t="shared" si="20"/>
        <v>0.4164748461807441</v>
      </c>
      <c r="K34" s="177">
        <f t="shared" si="20"/>
        <v>0.41329473425396368</v>
      </c>
      <c r="L34" s="177">
        <f t="shared" si="20"/>
        <v>0.41008561301779495</v>
      </c>
      <c r="M34" s="177">
        <f t="shared" si="20"/>
        <v>0.4068477215042906</v>
      </c>
      <c r="N34" s="177">
        <f t="shared" si="20"/>
        <v>0.40358131443212036</v>
      </c>
      <c r="O34" s="178">
        <f t="shared" si="20"/>
        <v>0.40028666230514898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9"/>
  <sheetViews>
    <sheetView zoomScaleNormal="100" workbookViewId="0">
      <selection activeCell="D6" sqref="D6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79">
        <v>20</v>
      </c>
      <c r="E9" s="79">
        <v>20</v>
      </c>
      <c r="F9" s="79">
        <v>20</v>
      </c>
      <c r="G9" s="79">
        <v>20</v>
      </c>
      <c r="H9" s="79">
        <v>20</v>
      </c>
      <c r="I9" s="79">
        <v>20</v>
      </c>
      <c r="J9" s="79">
        <v>20</v>
      </c>
      <c r="K9" s="79">
        <v>20</v>
      </c>
      <c r="L9" s="79">
        <v>20</v>
      </c>
      <c r="M9" s="79">
        <v>20</v>
      </c>
      <c r="N9" s="79">
        <v>20</v>
      </c>
      <c r="O9" s="79">
        <v>20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16.600000000000001</v>
      </c>
      <c r="E11" s="83">
        <v>16.600000000000001</v>
      </c>
      <c r="F11" s="83">
        <v>16.600000000000001</v>
      </c>
      <c r="G11" s="83">
        <v>16.600000000000001</v>
      </c>
      <c r="H11" s="83">
        <v>16.600000000000001</v>
      </c>
      <c r="I11" s="83">
        <v>16.600000000000001</v>
      </c>
      <c r="J11" s="83">
        <v>16.600000000000001</v>
      </c>
      <c r="K11" s="83">
        <v>16.600000000000001</v>
      </c>
      <c r="L11" s="83">
        <v>16.600000000000001</v>
      </c>
      <c r="M11" s="83">
        <v>16.600000000000001</v>
      </c>
      <c r="N11" s="83">
        <v>16.600000000000001</v>
      </c>
      <c r="O11" s="83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7009.3255081099724</v>
      </c>
      <c r="E14" s="90">
        <v>6805.1703962232741</v>
      </c>
      <c r="F14" s="90">
        <v>6606.9615497313343</v>
      </c>
      <c r="G14" s="90">
        <v>6414.5257764381895</v>
      </c>
      <c r="H14" s="94">
        <v>6227.6949285807659</v>
      </c>
      <c r="I14" s="94">
        <v>6046.3057559036561</v>
      </c>
      <c r="J14" s="94">
        <v>5870.1997630132591</v>
      </c>
      <c r="K14" s="95">
        <v>5699.2230708866591</v>
      </c>
      <c r="L14" s="95">
        <v>5533.2262824142317</v>
      </c>
      <c r="M14" s="95">
        <v>5372.0643518584775</v>
      </c>
      <c r="N14" s="95">
        <v>5215.5964581150265</v>
      </c>
      <c r="O14" s="95">
        <v>5063.6858816650747</v>
      </c>
    </row>
    <row r="15" spans="3:15" x14ac:dyDescent="0.25">
      <c r="C15" s="102" t="s">
        <v>89</v>
      </c>
      <c r="D15" s="79">
        <f>2*300+5*100</f>
        <v>1100</v>
      </c>
      <c r="E15" s="90">
        <f>D15*(1-$D$13)</f>
        <v>1067</v>
      </c>
      <c r="F15" s="90">
        <f t="shared" ref="F15:O15" si="0">E15*(1-$D$13)</f>
        <v>1034.99</v>
      </c>
      <c r="G15" s="90">
        <f t="shared" si="0"/>
        <v>1003.9403</v>
      </c>
      <c r="H15" s="94">
        <f t="shared" si="0"/>
        <v>973.822091</v>
      </c>
      <c r="I15" s="94">
        <f t="shared" si="0"/>
        <v>944.60742827000001</v>
      </c>
      <c r="J15" s="94">
        <f t="shared" si="0"/>
        <v>916.26920542189998</v>
      </c>
      <c r="K15" s="95">
        <f t="shared" si="0"/>
        <v>888.7811292592429</v>
      </c>
      <c r="L15" s="95">
        <f t="shared" si="0"/>
        <v>862.11769538146564</v>
      </c>
      <c r="M15" s="95">
        <f t="shared" si="0"/>
        <v>836.25416452002162</v>
      </c>
      <c r="N15" s="95">
        <f t="shared" si="0"/>
        <v>811.166539584421</v>
      </c>
      <c r="O15" s="95">
        <f t="shared" si="0"/>
        <v>786.83154339688838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95">
        <f t="shared" si="1"/>
        <v>60292.597806671118</v>
      </c>
    </row>
    <row r="19" spans="3:15" x14ac:dyDescent="0.25">
      <c r="C19" s="109" t="s">
        <v>93</v>
      </c>
      <c r="D19" s="70">
        <f>D8+D14+D15+D16+D17-D18</f>
        <v>478382.39935841982</v>
      </c>
      <c r="E19" s="90">
        <f t="shared" ref="E19:O19" si="2">E8+E14+E15+E16+E17-E18</f>
        <v>463129.70395408291</v>
      </c>
      <c r="F19" s="90">
        <f t="shared" si="2"/>
        <v>497816.89120368659</v>
      </c>
      <c r="G19" s="90">
        <f t="shared" si="2"/>
        <v>483930.04715517425</v>
      </c>
      <c r="H19" s="94">
        <f t="shared" si="2"/>
        <v>471336.5804524729</v>
      </c>
      <c r="I19" s="94">
        <f t="shared" si="2"/>
        <v>456893.44431102835</v>
      </c>
      <c r="J19" s="94">
        <f t="shared" si="2"/>
        <v>443589.94812243793</v>
      </c>
      <c r="K19" s="95">
        <f t="shared" si="2"/>
        <v>431320.450270409</v>
      </c>
      <c r="L19" s="95">
        <f t="shared" si="2"/>
        <v>419989.6308472823</v>
      </c>
      <c r="M19" s="95">
        <f t="shared" si="2"/>
        <v>409511.46654651518</v>
      </c>
      <c r="N19" s="95">
        <f t="shared" si="2"/>
        <v>399808.30786013848</v>
      </c>
      <c r="O19" s="95">
        <f t="shared" si="2"/>
        <v>390810.04835668713</v>
      </c>
    </row>
    <row r="22" spans="3:15" x14ac:dyDescent="0.25">
      <c r="C22" s="131" t="s">
        <v>385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45</v>
      </c>
      <c r="D24" s="70">
        <v>532285.71428571432</v>
      </c>
      <c r="E24" s="87">
        <v>534885.71428571432</v>
      </c>
      <c r="F24" s="87">
        <v>537537.71428571432</v>
      </c>
      <c r="G24" s="87">
        <v>540242.75428571436</v>
      </c>
      <c r="H24" s="88">
        <v>543001.89508571429</v>
      </c>
      <c r="I24" s="88">
        <v>545816.2187017143</v>
      </c>
      <c r="J24" s="88">
        <v>548686.82879003428</v>
      </c>
      <c r="K24" s="89">
        <v>551614.85108012066</v>
      </c>
      <c r="L24" s="89">
        <v>554601.43381600874</v>
      </c>
      <c r="M24" s="89">
        <v>557647.74820661463</v>
      </c>
      <c r="N24" s="89">
        <v>560754.9888850326</v>
      </c>
      <c r="O24" s="107">
        <v>563924.374377019</v>
      </c>
    </row>
    <row r="25" spans="3:15" x14ac:dyDescent="0.25">
      <c r="C25" s="102" t="s">
        <v>23</v>
      </c>
      <c r="D25" s="117">
        <v>53228.571428571435</v>
      </c>
      <c r="E25" s="76">
        <v>53488.571428571435</v>
      </c>
      <c r="F25" s="76">
        <v>53753.771428571432</v>
      </c>
      <c r="G25" s="76">
        <v>54024.27542857144</v>
      </c>
      <c r="H25" s="77">
        <v>54300.189508571435</v>
      </c>
      <c r="I25" s="77">
        <v>54581.621870171432</v>
      </c>
      <c r="J25" s="77">
        <v>54868.682879003434</v>
      </c>
      <c r="K25" s="78">
        <v>55161.485108012072</v>
      </c>
      <c r="L25" s="78">
        <v>55460.143381600879</v>
      </c>
      <c r="M25" s="78">
        <v>55764.774820661463</v>
      </c>
      <c r="N25" s="78">
        <v>56075.498888503265</v>
      </c>
      <c r="O25" s="104">
        <v>56392.437437701905</v>
      </c>
    </row>
    <row r="26" spans="3:15" x14ac:dyDescent="0.25">
      <c r="C26" s="102" t="s">
        <v>47</v>
      </c>
      <c r="D26" s="93">
        <v>585514.2857142858</v>
      </c>
      <c r="E26" s="71">
        <v>588374.2857142858</v>
      </c>
      <c r="F26" s="71">
        <v>591291.48571428575</v>
      </c>
      <c r="G26" s="135">
        <v>594267.02971428575</v>
      </c>
      <c r="H26" s="72">
        <v>597302.0845942857</v>
      </c>
      <c r="I26" s="72">
        <v>600397.8405718857</v>
      </c>
      <c r="J26" s="72">
        <v>603555.51166903775</v>
      </c>
      <c r="K26" s="73">
        <v>606776.33618813276</v>
      </c>
      <c r="L26" s="73">
        <v>610061.57719760959</v>
      </c>
      <c r="M26" s="73">
        <v>613412.52302727615</v>
      </c>
      <c r="N26" s="73">
        <v>616830.48777353589</v>
      </c>
      <c r="O26" s="103">
        <v>620316.81181472086</v>
      </c>
    </row>
    <row r="27" spans="3:15" x14ac:dyDescent="0.25">
      <c r="C27" s="102" t="s">
        <v>84</v>
      </c>
      <c r="D27" s="79">
        <v>20</v>
      </c>
      <c r="E27" s="79">
        <v>20</v>
      </c>
      <c r="F27" s="79">
        <v>20</v>
      </c>
      <c r="G27" s="79">
        <v>20</v>
      </c>
      <c r="H27" s="79">
        <v>20</v>
      </c>
      <c r="I27" s="79">
        <v>20</v>
      </c>
      <c r="J27" s="79">
        <v>20</v>
      </c>
      <c r="K27" s="79">
        <v>20</v>
      </c>
      <c r="L27" s="79">
        <v>20</v>
      </c>
      <c r="M27" s="79">
        <v>20</v>
      </c>
      <c r="N27" s="79">
        <v>20</v>
      </c>
      <c r="O27" s="79">
        <v>20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92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25862.722130827457</v>
      </c>
      <c r="E32" s="71">
        <v>25109.438961968408</v>
      </c>
      <c r="F32" s="71">
        <v>24378.096079580977</v>
      </c>
      <c r="G32" s="80">
        <v>23668.054446195125</v>
      </c>
      <c r="H32" s="72">
        <v>22978.693637082648</v>
      </c>
      <c r="I32" s="72">
        <v>22309.411298138493</v>
      </c>
      <c r="J32" s="72">
        <v>21659.622619551938</v>
      </c>
      <c r="K32" s="73">
        <v>21028.759824807705</v>
      </c>
      <c r="L32" s="73">
        <v>20416.271674570584</v>
      </c>
      <c r="M32" s="73">
        <v>19821.622985019985</v>
      </c>
      <c r="N32" s="73">
        <v>19244.294160213576</v>
      </c>
      <c r="O32" s="103">
        <v>18683.780738071433</v>
      </c>
    </row>
    <row r="33" spans="3:15" x14ac:dyDescent="0.25">
      <c r="C33" s="102" t="s">
        <v>89</v>
      </c>
      <c r="D33" s="70">
        <f>6*600+5*1200</f>
        <v>9600</v>
      </c>
      <c r="E33" s="71">
        <f>D33*(1-$D$31)</f>
        <v>9312</v>
      </c>
      <c r="F33" s="71">
        <f t="shared" ref="F33:O33" si="3">E33*(1-$D$31)</f>
        <v>9032.64</v>
      </c>
      <c r="G33" s="80">
        <f t="shared" si="3"/>
        <v>8761.6607999999997</v>
      </c>
      <c r="H33" s="72">
        <f t="shared" si="3"/>
        <v>8498.8109759999988</v>
      </c>
      <c r="I33" s="72">
        <f t="shared" si="3"/>
        <v>8243.8466467199978</v>
      </c>
      <c r="J33" s="72">
        <f t="shared" si="3"/>
        <v>7996.5312473183976</v>
      </c>
      <c r="K33" s="73">
        <f t="shared" si="3"/>
        <v>7756.6353098988457</v>
      </c>
      <c r="L33" s="73">
        <f t="shared" si="3"/>
        <v>7523.9362506018797</v>
      </c>
      <c r="M33" s="73">
        <f t="shared" si="3"/>
        <v>7298.2181630838231</v>
      </c>
      <c r="N33" s="73">
        <f t="shared" si="3"/>
        <v>7079.2716181913083</v>
      </c>
      <c r="O33" s="103">
        <f t="shared" si="3"/>
        <v>6866.893469645569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186300</v>
      </c>
      <c r="E36" s="71">
        <f t="shared" ref="E36:O36" si="5">0.35*E24</f>
        <v>187210</v>
      </c>
      <c r="F36" s="71">
        <f t="shared" si="5"/>
        <v>188138.2</v>
      </c>
      <c r="G36" s="80">
        <f t="shared" si="5"/>
        <v>189084.96400000001</v>
      </c>
      <c r="H36" s="72">
        <f t="shared" si="5"/>
        <v>190050.66327999998</v>
      </c>
      <c r="I36" s="72">
        <f t="shared" si="5"/>
        <v>191035.6765456</v>
      </c>
      <c r="J36" s="72">
        <f t="shared" si="5"/>
        <v>192040.39007651198</v>
      </c>
      <c r="K36" s="73">
        <f t="shared" si="5"/>
        <v>193065.19787804221</v>
      </c>
      <c r="L36" s="73">
        <f t="shared" si="5"/>
        <v>194110.50183560303</v>
      </c>
      <c r="M36" s="73">
        <f t="shared" si="5"/>
        <v>195176.71187231512</v>
      </c>
      <c r="N36" s="73">
        <f t="shared" si="5"/>
        <v>196264.24610976139</v>
      </c>
      <c r="O36" s="103">
        <f t="shared" si="5"/>
        <v>197373.53103195663</v>
      </c>
    </row>
    <row r="37" spans="3:15" x14ac:dyDescent="0.25">
      <c r="C37" s="109" t="s">
        <v>93</v>
      </c>
      <c r="D37" s="79">
        <f>D26+D32+D33+D34-D36</f>
        <v>463598.13966599945</v>
      </c>
      <c r="E37" s="71">
        <f t="shared" ref="E37:O37" si="6">E26+E32+E33+E34-E36</f>
        <v>463664.49343439611</v>
      </c>
      <c r="F37" s="71">
        <f t="shared" si="6"/>
        <v>463824.96233575203</v>
      </c>
      <c r="G37" s="80">
        <f t="shared" si="6"/>
        <v>464078.71352541808</v>
      </c>
      <c r="H37" s="72">
        <f t="shared" si="6"/>
        <v>464424.97696128814</v>
      </c>
      <c r="I37" s="72">
        <f t="shared" si="6"/>
        <v>462057.52481340099</v>
      </c>
      <c r="J37" s="72">
        <f t="shared" si="6"/>
        <v>459862.94316411635</v>
      </c>
      <c r="K37" s="73">
        <f t="shared" si="6"/>
        <v>457838.26412278274</v>
      </c>
      <c r="L37" s="73">
        <f t="shared" si="6"/>
        <v>455980.64791979128</v>
      </c>
      <c r="M37" s="73">
        <f t="shared" si="6"/>
        <v>454287.37999842118</v>
      </c>
      <c r="N37" s="73">
        <f t="shared" si="6"/>
        <v>452755.86820816121</v>
      </c>
      <c r="O37" s="103">
        <f t="shared" si="6"/>
        <v>451383.64009687619</v>
      </c>
    </row>
    <row r="39" spans="3:15" x14ac:dyDescent="0.25">
      <c r="C39" t="s">
        <v>339</v>
      </c>
      <c r="D39" s="30">
        <f>D19-D37</f>
        <v>14784.259692420368</v>
      </c>
      <c r="E39" s="30">
        <f t="shared" ref="E39:O39" si="7">E19-E37</f>
        <v>-534.78948031319305</v>
      </c>
      <c r="F39" s="30">
        <f t="shared" si="7"/>
        <v>33991.928867934563</v>
      </c>
      <c r="G39" s="30">
        <f t="shared" si="7"/>
        <v>19851.333629756176</v>
      </c>
      <c r="H39" s="30">
        <f t="shared" si="7"/>
        <v>6911.6034911847673</v>
      </c>
      <c r="I39" s="30">
        <f t="shared" si="7"/>
        <v>-5164.0805023726425</v>
      </c>
      <c r="J39" s="30">
        <f t="shared" si="7"/>
        <v>-16272.995041678427</v>
      </c>
      <c r="K39" s="30">
        <f t="shared" si="7"/>
        <v>-26517.813852373743</v>
      </c>
      <c r="L39" s="30">
        <f t="shared" si="7"/>
        <v>-35991.017072508985</v>
      </c>
      <c r="M39" s="30">
        <f t="shared" si="7"/>
        <v>-44775.913451906003</v>
      </c>
      <c r="N39" s="30">
        <f t="shared" si="7"/>
        <v>-52947.560348022729</v>
      </c>
      <c r="O39" s="30">
        <f t="shared" si="7"/>
        <v>-60573.591740189062</v>
      </c>
    </row>
    <row r="59" spans="3:26" x14ac:dyDescent="0.25"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>
        <v>2027</v>
      </c>
      <c r="M59">
        <v>2028</v>
      </c>
      <c r="N59">
        <v>2029</v>
      </c>
      <c r="O59">
        <v>2030</v>
      </c>
      <c r="P59">
        <v>2031</v>
      </c>
      <c r="Q59">
        <v>2032</v>
      </c>
      <c r="R59">
        <v>2033</v>
      </c>
      <c r="S59">
        <v>2034</v>
      </c>
      <c r="T59">
        <v>2035</v>
      </c>
      <c r="U59">
        <v>2036</v>
      </c>
      <c r="V59">
        <v>2037</v>
      </c>
      <c r="W59">
        <v>2038</v>
      </c>
      <c r="X59">
        <v>2039</v>
      </c>
      <c r="Y59">
        <v>2040</v>
      </c>
      <c r="Z59">
        <v>2041</v>
      </c>
    </row>
    <row r="60" spans="3:26" x14ac:dyDescent="0.25">
      <c r="C60" t="s">
        <v>98</v>
      </c>
      <c r="D60">
        <f>20*365</f>
        <v>7300</v>
      </c>
      <c r="E60">
        <f t="shared" ref="E60:Z60" si="8">20*365</f>
        <v>7300</v>
      </c>
      <c r="F60">
        <f t="shared" si="8"/>
        <v>7300</v>
      </c>
      <c r="G60">
        <f t="shared" si="8"/>
        <v>7300</v>
      </c>
      <c r="H60">
        <f t="shared" si="8"/>
        <v>7300</v>
      </c>
      <c r="I60">
        <f t="shared" si="8"/>
        <v>7300</v>
      </c>
      <c r="J60">
        <f t="shared" si="8"/>
        <v>7300</v>
      </c>
      <c r="K60">
        <f t="shared" si="8"/>
        <v>7300</v>
      </c>
      <c r="L60">
        <f t="shared" si="8"/>
        <v>7300</v>
      </c>
      <c r="M60">
        <f t="shared" si="8"/>
        <v>7300</v>
      </c>
      <c r="N60">
        <f t="shared" si="8"/>
        <v>7300</v>
      </c>
      <c r="O60">
        <f t="shared" si="8"/>
        <v>7300</v>
      </c>
      <c r="P60">
        <f t="shared" si="8"/>
        <v>7300</v>
      </c>
      <c r="Q60">
        <f t="shared" si="8"/>
        <v>7300</v>
      </c>
      <c r="R60">
        <f t="shared" si="8"/>
        <v>7300</v>
      </c>
      <c r="S60">
        <f t="shared" si="8"/>
        <v>7300</v>
      </c>
      <c r="T60">
        <f t="shared" si="8"/>
        <v>7300</v>
      </c>
      <c r="U60">
        <f t="shared" si="8"/>
        <v>7300</v>
      </c>
      <c r="V60">
        <f t="shared" si="8"/>
        <v>7300</v>
      </c>
      <c r="W60">
        <f t="shared" si="8"/>
        <v>7300</v>
      </c>
      <c r="X60">
        <f t="shared" si="8"/>
        <v>7300</v>
      </c>
      <c r="Y60">
        <f t="shared" si="8"/>
        <v>7300</v>
      </c>
      <c r="Z60">
        <f t="shared" si="8"/>
        <v>7300</v>
      </c>
    </row>
    <row r="61" spans="3:26" x14ac:dyDescent="0.25">
      <c r="C61" t="s">
        <v>99</v>
      </c>
      <c r="D61" s="30">
        <f>($D$11/100)*D60</f>
        <v>1211.8</v>
      </c>
      <c r="E61" s="30">
        <f t="shared" ref="E61:Z61" si="9">($D$11/100)*E60</f>
        <v>1211.8</v>
      </c>
      <c r="F61" s="30">
        <f t="shared" si="9"/>
        <v>1211.8</v>
      </c>
      <c r="G61" s="30">
        <f t="shared" si="9"/>
        <v>1211.8</v>
      </c>
      <c r="H61" s="30">
        <f t="shared" si="9"/>
        <v>1211.8</v>
      </c>
      <c r="I61" s="30">
        <f t="shared" si="9"/>
        <v>1211.8</v>
      </c>
      <c r="J61" s="30">
        <f t="shared" si="9"/>
        <v>1211.8</v>
      </c>
      <c r="K61" s="30">
        <f t="shared" si="9"/>
        <v>1211.8</v>
      </c>
      <c r="L61" s="30">
        <f t="shared" si="9"/>
        <v>1211.8</v>
      </c>
      <c r="M61" s="30">
        <f t="shared" si="9"/>
        <v>1211.8</v>
      </c>
      <c r="N61" s="30">
        <f t="shared" si="9"/>
        <v>1211.8</v>
      </c>
      <c r="O61" s="30">
        <f t="shared" si="9"/>
        <v>1211.8</v>
      </c>
      <c r="P61" s="30">
        <f t="shared" si="9"/>
        <v>1211.8</v>
      </c>
      <c r="Q61" s="30">
        <f t="shared" si="9"/>
        <v>1211.8</v>
      </c>
      <c r="R61" s="30">
        <f t="shared" si="9"/>
        <v>1211.8</v>
      </c>
      <c r="S61" s="30">
        <f t="shared" si="9"/>
        <v>1211.8</v>
      </c>
      <c r="T61" s="30">
        <f t="shared" si="9"/>
        <v>1211.8</v>
      </c>
      <c r="U61" s="30">
        <f t="shared" si="9"/>
        <v>1211.8</v>
      </c>
      <c r="V61" s="30">
        <f t="shared" si="9"/>
        <v>1211.8</v>
      </c>
      <c r="W61" s="30">
        <f t="shared" si="9"/>
        <v>1211.8</v>
      </c>
      <c r="X61" s="30">
        <f t="shared" si="9"/>
        <v>1211.8</v>
      </c>
      <c r="Y61" s="30">
        <f t="shared" si="9"/>
        <v>1211.8</v>
      </c>
      <c r="Z61" s="30">
        <f t="shared" si="9"/>
        <v>1211.8</v>
      </c>
    </row>
    <row r="62" spans="3:26" x14ac:dyDescent="0.25">
      <c r="C62" t="s">
        <v>101</v>
      </c>
      <c r="D62" s="1">
        <f>D61*$D$12</f>
        <v>969.44</v>
      </c>
      <c r="E62" s="1">
        <f t="shared" ref="E62:Z62" si="10">E61*$D$12</f>
        <v>969.44</v>
      </c>
      <c r="F62" s="1">
        <f t="shared" si="10"/>
        <v>969.44</v>
      </c>
      <c r="G62" s="1">
        <f t="shared" si="10"/>
        <v>969.44</v>
      </c>
      <c r="H62" s="1">
        <f t="shared" si="10"/>
        <v>969.44</v>
      </c>
      <c r="I62" s="1">
        <f t="shared" si="10"/>
        <v>969.44</v>
      </c>
      <c r="J62" s="1">
        <f t="shared" si="10"/>
        <v>969.44</v>
      </c>
      <c r="K62" s="1">
        <f t="shared" si="10"/>
        <v>969.44</v>
      </c>
      <c r="L62" s="1">
        <f t="shared" si="10"/>
        <v>969.44</v>
      </c>
      <c r="M62" s="1">
        <f t="shared" si="10"/>
        <v>969.44</v>
      </c>
      <c r="N62" s="1">
        <f t="shared" si="10"/>
        <v>969.44</v>
      </c>
      <c r="O62" s="1">
        <f t="shared" si="10"/>
        <v>969.44</v>
      </c>
      <c r="P62" s="1">
        <f t="shared" si="10"/>
        <v>969.44</v>
      </c>
      <c r="Q62" s="1">
        <f t="shared" si="10"/>
        <v>969.44</v>
      </c>
      <c r="R62" s="1">
        <f t="shared" si="10"/>
        <v>969.44</v>
      </c>
      <c r="S62" s="1">
        <f t="shared" si="10"/>
        <v>969.44</v>
      </c>
      <c r="T62" s="1">
        <f t="shared" si="10"/>
        <v>969.44</v>
      </c>
      <c r="U62" s="1">
        <f t="shared" si="10"/>
        <v>969.44</v>
      </c>
      <c r="V62" s="1">
        <f t="shared" si="10"/>
        <v>969.44</v>
      </c>
      <c r="W62" s="1">
        <f t="shared" si="10"/>
        <v>969.44</v>
      </c>
      <c r="X62" s="1">
        <f t="shared" si="10"/>
        <v>969.44</v>
      </c>
      <c r="Y62" s="1">
        <f t="shared" si="10"/>
        <v>969.44</v>
      </c>
      <c r="Z62" s="1">
        <f t="shared" si="10"/>
        <v>969.44</v>
      </c>
    </row>
    <row r="63" spans="3:26" x14ac:dyDescent="0.25">
      <c r="C63" t="s">
        <v>100</v>
      </c>
      <c r="D63">
        <f>D62/(1+$D$13)^(D59-2019)</f>
        <v>969.44</v>
      </c>
      <c r="E63">
        <f t="shared" ref="E63:Z63" si="11">E62/(1+$D$13)^(E59-2019)</f>
        <v>941.20388349514565</v>
      </c>
      <c r="F63">
        <f t="shared" si="11"/>
        <v>913.79017815062696</v>
      </c>
      <c r="G63">
        <f t="shared" si="11"/>
        <v>887.17493024332703</v>
      </c>
      <c r="H63">
        <f t="shared" si="11"/>
        <v>861.33488373138562</v>
      </c>
      <c r="I63">
        <f t="shared" si="11"/>
        <v>836.24745993338411</v>
      </c>
      <c r="J63">
        <f t="shared" si="11"/>
        <v>811.89073779940202</v>
      </c>
      <c r="K63">
        <f t="shared" si="11"/>
        <v>788.24343475670094</v>
      </c>
      <c r="L63">
        <f t="shared" si="11"/>
        <v>765.28488811330192</v>
      </c>
      <c r="M63">
        <f t="shared" si="11"/>
        <v>742.99503700320577</v>
      </c>
      <c r="N63">
        <f t="shared" si="11"/>
        <v>721.35440485748131</v>
      </c>
      <c r="O63">
        <f t="shared" si="11"/>
        <v>700.34408238590413</v>
      </c>
      <c r="P63">
        <f t="shared" si="11"/>
        <v>679.94571105427599</v>
      </c>
      <c r="Q63">
        <f t="shared" si="11"/>
        <v>660.14146704298639</v>
      </c>
      <c r="R63">
        <f t="shared" si="11"/>
        <v>640.91404567280233</v>
      </c>
      <c r="S63">
        <f t="shared" si="11"/>
        <v>622.24664628427399</v>
      </c>
      <c r="T63">
        <f t="shared" si="11"/>
        <v>604.12295755754769</v>
      </c>
      <c r="U63">
        <f t="shared" si="11"/>
        <v>586.52714325975501</v>
      </c>
      <c r="V63">
        <f t="shared" si="11"/>
        <v>569.44382840752917</v>
      </c>
      <c r="W63">
        <f t="shared" si="11"/>
        <v>552.85808583255266</v>
      </c>
      <c r="X63">
        <f t="shared" si="11"/>
        <v>536.7554231384006</v>
      </c>
      <c r="Y63">
        <f t="shared" si="11"/>
        <v>521.1217700372822</v>
      </c>
      <c r="Z63">
        <f t="shared" si="11"/>
        <v>505.94346605561373</v>
      </c>
    </row>
    <row r="64" spans="3:26" x14ac:dyDescent="0.25">
      <c r="C64" t="s">
        <v>102</v>
      </c>
      <c r="D64">
        <f>SUM(D63:K63)</f>
        <v>7009.3255081099724</v>
      </c>
      <c r="E64">
        <f>SUM(E63:L63)</f>
        <v>6805.1703962232741</v>
      </c>
      <c r="F64">
        <f t="shared" ref="F64:O64" si="12">SUM(F63:M63)</f>
        <v>6606.9615497313343</v>
      </c>
      <c r="G64">
        <f t="shared" si="12"/>
        <v>6414.5257764381895</v>
      </c>
      <c r="H64">
        <f t="shared" si="12"/>
        <v>6227.6949285807659</v>
      </c>
      <c r="I64">
        <f t="shared" si="12"/>
        <v>6046.3057559036561</v>
      </c>
      <c r="J64">
        <f t="shared" si="12"/>
        <v>5870.1997630132591</v>
      </c>
      <c r="K64">
        <f t="shared" si="12"/>
        <v>5699.2230708866591</v>
      </c>
      <c r="L64">
        <f t="shared" si="12"/>
        <v>5533.2262824142317</v>
      </c>
      <c r="M64">
        <f t="shared" si="12"/>
        <v>5372.0643518584775</v>
      </c>
      <c r="N64">
        <f t="shared" si="12"/>
        <v>5215.5964581150265</v>
      </c>
      <c r="O64">
        <f t="shared" si="12"/>
        <v>5063.6858816650747</v>
      </c>
    </row>
    <row r="66" spans="3:26" x14ac:dyDescent="0.25">
      <c r="C66" t="s">
        <v>103</v>
      </c>
      <c r="D66">
        <f>27*300+27*100</f>
        <v>10800</v>
      </c>
    </row>
    <row r="70" spans="3:26" x14ac:dyDescent="0.25">
      <c r="C70" t="s">
        <v>104</v>
      </c>
      <c r="D70">
        <v>4300</v>
      </c>
      <c r="E70">
        <v>4300</v>
      </c>
      <c r="F70">
        <v>4300</v>
      </c>
      <c r="G70">
        <v>4300</v>
      </c>
      <c r="H70">
        <v>4300</v>
      </c>
      <c r="I70">
        <v>4300</v>
      </c>
      <c r="J70">
        <v>4300</v>
      </c>
      <c r="K70">
        <v>4300</v>
      </c>
      <c r="L70">
        <v>4300</v>
      </c>
      <c r="M70">
        <v>4300</v>
      </c>
      <c r="N70">
        <v>4300</v>
      </c>
      <c r="O70">
        <v>4300</v>
      </c>
      <c r="P70">
        <v>4300</v>
      </c>
      <c r="Q70">
        <v>4300</v>
      </c>
      <c r="R70">
        <v>4300</v>
      </c>
      <c r="S70">
        <v>4300</v>
      </c>
      <c r="T70">
        <v>4300</v>
      </c>
      <c r="U70">
        <v>4300</v>
      </c>
      <c r="V70">
        <v>4300</v>
      </c>
      <c r="W70">
        <v>4300</v>
      </c>
      <c r="X70">
        <v>4300</v>
      </c>
      <c r="Y70">
        <v>4300</v>
      </c>
      <c r="Z70">
        <v>4300</v>
      </c>
    </row>
    <row r="71" spans="3:26" x14ac:dyDescent="0.25">
      <c r="C71" t="s">
        <v>105</v>
      </c>
      <c r="D71">
        <f>D70/(1+0.03)^(D59-2019)</f>
        <v>4300</v>
      </c>
      <c r="E71">
        <f t="shared" ref="E71:O71" si="13">E70/(1+0.03)^(E59-2019)</f>
        <v>4174.7572815533977</v>
      </c>
      <c r="F71">
        <f t="shared" si="13"/>
        <v>4053.162409275144</v>
      </c>
      <c r="G71">
        <f t="shared" si="13"/>
        <v>3935.1091352185863</v>
      </c>
      <c r="H71">
        <f t="shared" si="13"/>
        <v>3820.4943060374626</v>
      </c>
      <c r="I71">
        <f t="shared" si="13"/>
        <v>3709.2177728519055</v>
      </c>
      <c r="J71">
        <f t="shared" si="13"/>
        <v>3601.1823037397139</v>
      </c>
      <c r="K71">
        <f t="shared" si="13"/>
        <v>3496.2934987764211</v>
      </c>
      <c r="L71">
        <f t="shared" si="13"/>
        <v>3394.4597075499237</v>
      </c>
      <c r="M71">
        <f t="shared" si="13"/>
        <v>3295.5919490775959</v>
      </c>
      <c r="N71">
        <f t="shared" si="13"/>
        <v>3199.6038340559185</v>
      </c>
      <c r="O71">
        <f t="shared" si="13"/>
        <v>3106.4114893746778</v>
      </c>
    </row>
    <row r="72" spans="3:26" x14ac:dyDescent="0.25">
      <c r="C72" t="s">
        <v>106</v>
      </c>
      <c r="D72" s="145">
        <f>SUM(D71:K71)</f>
        <v>31090.216707452633</v>
      </c>
      <c r="E72" s="145">
        <f>SUM(E71:L71)</f>
        <v>30184.676415002552</v>
      </c>
      <c r="F72" s="145">
        <f>SUM(F71:M71)</f>
        <v>29305.511082526751</v>
      </c>
      <c r="G72" s="145">
        <f t="shared" ref="G72:O72" si="14">SUM(G71:N71)</f>
        <v>28451.952507307524</v>
      </c>
      <c r="H72" s="145">
        <f t="shared" si="14"/>
        <v>27623.254861463614</v>
      </c>
      <c r="I72" s="145">
        <f t="shared" si="14"/>
        <v>23802.760555426157</v>
      </c>
      <c r="J72" s="145">
        <f t="shared" si="14"/>
        <v>20093.542782574252</v>
      </c>
      <c r="K72" s="145">
        <f t="shared" si="14"/>
        <v>16492.360478834536</v>
      </c>
      <c r="L72" s="145">
        <f t="shared" si="14"/>
        <v>12996.066980058116</v>
      </c>
      <c r="M72" s="145">
        <f t="shared" si="14"/>
        <v>9601.6072725081922</v>
      </c>
      <c r="N72" s="145">
        <f t="shared" si="14"/>
        <v>6306.0153234305963</v>
      </c>
      <c r="O72" s="145">
        <f t="shared" si="14"/>
        <v>3106.4114893746778</v>
      </c>
    </row>
    <row r="75" spans="3:26" x14ac:dyDescent="0.25">
      <c r="C75" t="s">
        <v>98</v>
      </c>
      <c r="D75">
        <f>D60</f>
        <v>7300</v>
      </c>
      <c r="E75">
        <f t="shared" ref="E75:Z75" si="15">E60</f>
        <v>7300</v>
      </c>
      <c r="F75">
        <f t="shared" si="15"/>
        <v>7300</v>
      </c>
      <c r="G75">
        <f t="shared" si="15"/>
        <v>7300</v>
      </c>
      <c r="H75">
        <f t="shared" si="15"/>
        <v>7300</v>
      </c>
      <c r="I75">
        <f t="shared" si="15"/>
        <v>7300</v>
      </c>
      <c r="J75">
        <f t="shared" si="15"/>
        <v>7300</v>
      </c>
      <c r="K75">
        <f t="shared" si="15"/>
        <v>7300</v>
      </c>
      <c r="L75">
        <f t="shared" si="15"/>
        <v>7300</v>
      </c>
      <c r="M75">
        <f t="shared" si="15"/>
        <v>7300</v>
      </c>
      <c r="N75">
        <f t="shared" si="15"/>
        <v>7300</v>
      </c>
      <c r="O75">
        <f t="shared" si="15"/>
        <v>7300</v>
      </c>
      <c r="P75">
        <f t="shared" si="15"/>
        <v>7300</v>
      </c>
      <c r="Q75">
        <f t="shared" si="15"/>
        <v>7300</v>
      </c>
      <c r="R75">
        <f t="shared" si="15"/>
        <v>7300</v>
      </c>
      <c r="S75">
        <f t="shared" si="15"/>
        <v>7300</v>
      </c>
      <c r="T75">
        <f t="shared" si="15"/>
        <v>7300</v>
      </c>
      <c r="U75">
        <f t="shared" si="15"/>
        <v>7300</v>
      </c>
      <c r="V75">
        <f t="shared" si="15"/>
        <v>7300</v>
      </c>
      <c r="W75">
        <f t="shared" si="15"/>
        <v>7300</v>
      </c>
      <c r="X75">
        <f t="shared" si="15"/>
        <v>7300</v>
      </c>
      <c r="Y75">
        <f t="shared" si="15"/>
        <v>7300</v>
      </c>
      <c r="Z75">
        <f t="shared" si="15"/>
        <v>7300</v>
      </c>
    </row>
    <row r="76" spans="3:26" x14ac:dyDescent="0.25">
      <c r="C76" t="s">
        <v>107</v>
      </c>
      <c r="D76" s="30">
        <f>($D$29/100)*D75</f>
        <v>511.00000000000006</v>
      </c>
      <c r="E76" s="30">
        <f t="shared" ref="E76:Z76" si="16">($D$29/100)*E75</f>
        <v>511.00000000000006</v>
      </c>
      <c r="F76" s="30">
        <f t="shared" si="16"/>
        <v>511.00000000000006</v>
      </c>
      <c r="G76" s="30">
        <f t="shared" si="16"/>
        <v>511.00000000000006</v>
      </c>
      <c r="H76" s="30">
        <f t="shared" si="16"/>
        <v>511.00000000000006</v>
      </c>
      <c r="I76" s="30">
        <f t="shared" si="16"/>
        <v>511.00000000000006</v>
      </c>
      <c r="J76" s="30">
        <f t="shared" si="16"/>
        <v>511.00000000000006</v>
      </c>
      <c r="K76" s="30">
        <f t="shared" si="16"/>
        <v>511.00000000000006</v>
      </c>
      <c r="L76" s="30">
        <f t="shared" si="16"/>
        <v>511.00000000000006</v>
      </c>
      <c r="M76" s="30">
        <f t="shared" si="16"/>
        <v>511.00000000000006</v>
      </c>
      <c r="N76" s="30">
        <f t="shared" si="16"/>
        <v>511.00000000000006</v>
      </c>
      <c r="O76" s="30">
        <f t="shared" si="16"/>
        <v>511.00000000000006</v>
      </c>
      <c r="P76" s="30">
        <f t="shared" si="16"/>
        <v>511.00000000000006</v>
      </c>
      <c r="Q76" s="30">
        <f t="shared" si="16"/>
        <v>511.00000000000006</v>
      </c>
      <c r="R76" s="30">
        <f t="shared" si="16"/>
        <v>511.00000000000006</v>
      </c>
      <c r="S76" s="30">
        <f t="shared" si="16"/>
        <v>511.00000000000006</v>
      </c>
      <c r="T76" s="30">
        <f t="shared" si="16"/>
        <v>511.00000000000006</v>
      </c>
      <c r="U76" s="30">
        <f t="shared" si="16"/>
        <v>511.00000000000006</v>
      </c>
      <c r="V76" s="30">
        <f t="shared" si="16"/>
        <v>511.00000000000006</v>
      </c>
      <c r="W76" s="30">
        <f t="shared" si="16"/>
        <v>511.00000000000006</v>
      </c>
      <c r="X76" s="30">
        <f t="shared" si="16"/>
        <v>511.00000000000006</v>
      </c>
      <c r="Y76" s="30">
        <f t="shared" si="16"/>
        <v>511.00000000000006</v>
      </c>
      <c r="Z76" s="30">
        <f t="shared" si="16"/>
        <v>511.00000000000006</v>
      </c>
    </row>
    <row r="77" spans="3:26" x14ac:dyDescent="0.25">
      <c r="C77" t="s">
        <v>108</v>
      </c>
      <c r="D77">
        <f>D76*$D$30</f>
        <v>3577.0000000000005</v>
      </c>
      <c r="E77">
        <f t="shared" ref="E77:Z77" si="17">E76*$D$30</f>
        <v>3577.0000000000005</v>
      </c>
      <c r="F77">
        <f t="shared" si="17"/>
        <v>3577.0000000000005</v>
      </c>
      <c r="G77">
        <f t="shared" si="17"/>
        <v>3577.0000000000005</v>
      </c>
      <c r="H77">
        <f t="shared" si="17"/>
        <v>3577.0000000000005</v>
      </c>
      <c r="I77">
        <f t="shared" si="17"/>
        <v>3577.0000000000005</v>
      </c>
      <c r="J77">
        <f t="shared" si="17"/>
        <v>3577.0000000000005</v>
      </c>
      <c r="K77">
        <f t="shared" si="17"/>
        <v>3577.0000000000005</v>
      </c>
      <c r="L77">
        <f t="shared" si="17"/>
        <v>3577.0000000000005</v>
      </c>
      <c r="M77">
        <f t="shared" si="17"/>
        <v>3577.0000000000005</v>
      </c>
      <c r="N77">
        <f t="shared" si="17"/>
        <v>3577.0000000000005</v>
      </c>
      <c r="O77">
        <f t="shared" si="17"/>
        <v>3577.0000000000005</v>
      </c>
      <c r="P77">
        <f t="shared" si="17"/>
        <v>3577.0000000000005</v>
      </c>
      <c r="Q77">
        <f t="shared" si="17"/>
        <v>3577.0000000000005</v>
      </c>
      <c r="R77">
        <f t="shared" si="17"/>
        <v>3577.0000000000005</v>
      </c>
      <c r="S77">
        <f t="shared" si="17"/>
        <v>3577.0000000000005</v>
      </c>
      <c r="T77">
        <f t="shared" si="17"/>
        <v>3577.0000000000005</v>
      </c>
      <c r="U77">
        <f t="shared" si="17"/>
        <v>3577.0000000000005</v>
      </c>
      <c r="V77">
        <f t="shared" si="17"/>
        <v>3577.0000000000005</v>
      </c>
      <c r="W77">
        <f t="shared" si="17"/>
        <v>3577.0000000000005</v>
      </c>
      <c r="X77">
        <f t="shared" si="17"/>
        <v>3577.0000000000005</v>
      </c>
      <c r="Y77">
        <f t="shared" si="17"/>
        <v>3577.0000000000005</v>
      </c>
      <c r="Z77">
        <f t="shared" si="17"/>
        <v>3577.0000000000005</v>
      </c>
    </row>
    <row r="78" spans="3:26" x14ac:dyDescent="0.25">
      <c r="C78" t="s">
        <v>109</v>
      </c>
      <c r="D78">
        <f>D77/(1+$D$31)^(D59-2019)</f>
        <v>3577.0000000000005</v>
      </c>
      <c r="E78">
        <f t="shared" ref="E78:Z78" si="18">E77/(1+$D$31)^(E59-2019)</f>
        <v>3472.815533980583</v>
      </c>
      <c r="F78">
        <f t="shared" si="18"/>
        <v>3371.6655669714401</v>
      </c>
      <c r="G78">
        <f t="shared" si="18"/>
        <v>3273.4617155062524</v>
      </c>
      <c r="H78">
        <f t="shared" si="18"/>
        <v>3178.1181703944198</v>
      </c>
      <c r="I78">
        <f t="shared" si="18"/>
        <v>3085.5516217421555</v>
      </c>
      <c r="J78">
        <f t="shared" si="18"/>
        <v>2995.6811861574324</v>
      </c>
      <c r="K78">
        <f t="shared" si="18"/>
        <v>2908.428336075177</v>
      </c>
      <c r="L78">
        <f t="shared" si="18"/>
        <v>2823.7168311409487</v>
      </c>
      <c r="M78">
        <f t="shared" si="18"/>
        <v>2741.4726515931538</v>
      </c>
      <c r="N78">
        <f t="shared" si="18"/>
        <v>2661.6239335855862</v>
      </c>
      <c r="O78">
        <f t="shared" si="18"/>
        <v>2584.1009063937731</v>
      </c>
      <c r="P78">
        <f t="shared" si="18"/>
        <v>2508.8358314502657</v>
      </c>
      <c r="Q78">
        <f t="shared" si="18"/>
        <v>2435.7629431555979</v>
      </c>
      <c r="R78">
        <f t="shared" si="18"/>
        <v>2364.8183914132014</v>
      </c>
      <c r="S78">
        <f t="shared" si="18"/>
        <v>2295.9401858380593</v>
      </c>
      <c r="T78">
        <f t="shared" si="18"/>
        <v>2229.0681415903496</v>
      </c>
      <c r="U78">
        <f t="shared" si="18"/>
        <v>2164.143826786747</v>
      </c>
      <c r="V78">
        <f t="shared" si="18"/>
        <v>2101.1105114434436</v>
      </c>
      <c r="W78">
        <f t="shared" si="18"/>
        <v>2039.913117906256</v>
      </c>
      <c r="X78">
        <f t="shared" si="18"/>
        <v>1980.4981727245204</v>
      </c>
      <c r="Y78">
        <f t="shared" si="18"/>
        <v>1922.8137599267191</v>
      </c>
      <c r="Z78">
        <f t="shared" si="18"/>
        <v>1866.8094756570088</v>
      </c>
    </row>
    <row r="79" spans="3:26" x14ac:dyDescent="0.25">
      <c r="C79" t="s">
        <v>110</v>
      </c>
      <c r="D79" s="1">
        <f>SUM(D78:K78)</f>
        <v>25862.722130827457</v>
      </c>
      <c r="E79" s="1">
        <f t="shared" ref="E79:O79" si="19">SUM(E78:L78)</f>
        <v>25109.438961968408</v>
      </c>
      <c r="F79" s="1">
        <f t="shared" si="19"/>
        <v>24378.096079580977</v>
      </c>
      <c r="G79" s="1">
        <f t="shared" si="19"/>
        <v>23668.054446195125</v>
      </c>
      <c r="H79" s="1">
        <f t="shared" si="19"/>
        <v>22978.693637082648</v>
      </c>
      <c r="I79" s="1">
        <f t="shared" si="19"/>
        <v>22309.411298138493</v>
      </c>
      <c r="J79" s="1">
        <f t="shared" si="19"/>
        <v>21659.622619551938</v>
      </c>
      <c r="K79" s="1">
        <f t="shared" si="19"/>
        <v>21028.759824807705</v>
      </c>
      <c r="L79" s="1">
        <f t="shared" si="19"/>
        <v>20416.271674570584</v>
      </c>
      <c r="M79" s="1">
        <f t="shared" si="19"/>
        <v>19821.622985019985</v>
      </c>
      <c r="N79" s="1">
        <f t="shared" si="19"/>
        <v>19244.294160213576</v>
      </c>
      <c r="O79" s="1">
        <f t="shared" si="19"/>
        <v>18683.780738071433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B77"/>
  <sheetViews>
    <sheetView topLeftCell="A4" zoomScaleNormal="100" workbookViewId="0">
      <selection activeCell="D22" sqref="D22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98">
        <v>401950.65204447415</v>
      </c>
    </row>
    <row r="7" spans="3:15" x14ac:dyDescent="0.25">
      <c r="C7" s="243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99">
        <v>40195.065204447419</v>
      </c>
    </row>
    <row r="8" spans="3:15" x14ac:dyDescent="0.25">
      <c r="C8" s="243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0">
        <v>442145.71724892157</v>
      </c>
    </row>
    <row r="9" spans="3:15" x14ac:dyDescent="0.25">
      <c r="C9" s="243" t="s">
        <v>84</v>
      </c>
      <c r="D9" s="79">
        <v>30</v>
      </c>
      <c r="E9" s="80">
        <v>30</v>
      </c>
      <c r="F9" s="80">
        <v>30</v>
      </c>
      <c r="G9" s="80">
        <v>30</v>
      </c>
      <c r="H9" s="81">
        <v>30</v>
      </c>
      <c r="I9" s="81">
        <v>30</v>
      </c>
      <c r="J9" s="81">
        <v>30</v>
      </c>
      <c r="K9" s="82">
        <v>30</v>
      </c>
      <c r="L9" s="82">
        <v>30</v>
      </c>
      <c r="M9" s="82">
        <v>30</v>
      </c>
      <c r="N9" s="82">
        <v>30</v>
      </c>
      <c r="O9" s="100">
        <v>30</v>
      </c>
    </row>
    <row r="10" spans="3:15" x14ac:dyDescent="0.25">
      <c r="C10" s="243" t="s">
        <v>94</v>
      </c>
      <c r="D10" s="79">
        <v>8</v>
      </c>
      <c r="E10" s="80">
        <v>8</v>
      </c>
      <c r="F10" s="80">
        <v>8</v>
      </c>
      <c r="G10" s="8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0">
        <v>8</v>
      </c>
    </row>
    <row r="11" spans="3:15" x14ac:dyDescent="0.25">
      <c r="C11" s="243" t="s">
        <v>85</v>
      </c>
      <c r="D11" s="83">
        <v>16.600000000000001</v>
      </c>
      <c r="E11" s="80">
        <v>16.600000000000001</v>
      </c>
      <c r="F11" s="80">
        <v>16.600000000000001</v>
      </c>
      <c r="G11" s="80">
        <v>16.600000000000001</v>
      </c>
      <c r="H11" s="81">
        <v>16.600000000000001</v>
      </c>
      <c r="I11" s="81">
        <v>16.600000000000001</v>
      </c>
      <c r="J11" s="81">
        <v>16.600000000000001</v>
      </c>
      <c r="K11" s="82">
        <v>16.600000000000001</v>
      </c>
      <c r="L11" s="82">
        <v>16.600000000000001</v>
      </c>
      <c r="M11" s="82">
        <v>16.600000000000001</v>
      </c>
      <c r="N11" s="82">
        <v>16.600000000000001</v>
      </c>
      <c r="O11" s="100">
        <v>16.600000000000001</v>
      </c>
    </row>
    <row r="12" spans="3:15" x14ac:dyDescent="0.25">
      <c r="C12" s="243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10513.988262164959</v>
      </c>
      <c r="E14" s="90">
        <v>10207.755594334913</v>
      </c>
      <c r="F14" s="90">
        <v>9910.4423245970011</v>
      </c>
      <c r="G14" s="90">
        <v>9621.7886646572842</v>
      </c>
      <c r="H14" s="94">
        <v>9341.542392871148</v>
      </c>
      <c r="I14" s="94">
        <v>9069.4586338554855</v>
      </c>
      <c r="J14" s="94">
        <v>8805.2996445198878</v>
      </c>
      <c r="K14" s="95">
        <v>8548.8346063299887</v>
      </c>
      <c r="L14" s="95">
        <v>8299.839423621348</v>
      </c>
      <c r="M14" s="95">
        <v>8058.0965277877167</v>
      </c>
      <c r="N14" s="95">
        <v>7823.3946871725411</v>
      </c>
      <c r="O14" s="101">
        <v>7595.5288224976121</v>
      </c>
    </row>
    <row r="15" spans="3:15" x14ac:dyDescent="0.25">
      <c r="C15" s="243" t="s">
        <v>89</v>
      </c>
      <c r="D15" s="79">
        <f>4*300+4*100</f>
        <v>1600</v>
      </c>
      <c r="E15" s="90">
        <f>D15*(1-$D$13)</f>
        <v>1552</v>
      </c>
      <c r="F15" s="90">
        <f t="shared" ref="F15:O15" si="0">E15*(1-$D$13)</f>
        <v>1505.44</v>
      </c>
      <c r="G15" s="90">
        <f t="shared" si="0"/>
        <v>1460.2768000000001</v>
      </c>
      <c r="H15" s="94">
        <f t="shared" si="0"/>
        <v>1416.468496</v>
      </c>
      <c r="I15" s="94">
        <f t="shared" si="0"/>
        <v>1373.9744411199999</v>
      </c>
      <c r="J15" s="94">
        <f t="shared" si="0"/>
        <v>1332.7552078863998</v>
      </c>
      <c r="K15" s="95">
        <f t="shared" si="0"/>
        <v>1292.7725516498078</v>
      </c>
      <c r="L15" s="95">
        <f t="shared" si="0"/>
        <v>1253.9893751003135</v>
      </c>
      <c r="M15" s="95">
        <f t="shared" si="0"/>
        <v>1216.369693847304</v>
      </c>
      <c r="N15" s="95">
        <f t="shared" si="0"/>
        <v>1179.8786030318849</v>
      </c>
      <c r="O15" s="101">
        <f t="shared" si="0"/>
        <v>1144.4822449409285</v>
      </c>
    </row>
    <row r="16" spans="3:15" x14ac:dyDescent="0.25">
      <c r="C16" s="243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28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28" x14ac:dyDescent="0.25">
      <c r="C18" s="243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101">
        <f t="shared" si="1"/>
        <v>60292.597806671118</v>
      </c>
    </row>
    <row r="19" spans="3:28" x14ac:dyDescent="0.25">
      <c r="C19" s="244" t="s">
        <v>93</v>
      </c>
      <c r="D19" s="161">
        <f>D8+D14+D15+D16+D17-D18</f>
        <v>482387.0621124747</v>
      </c>
      <c r="E19" s="158">
        <f t="shared" ref="E19:O19" si="2">E8+E14+E15+E16+E17-E18</f>
        <v>467017.28915219451</v>
      </c>
      <c r="F19" s="158">
        <f t="shared" si="2"/>
        <v>501590.82197855227</v>
      </c>
      <c r="G19" s="158">
        <f t="shared" si="2"/>
        <v>487593.64654339332</v>
      </c>
      <c r="H19" s="159">
        <f t="shared" si="2"/>
        <v>474893.07432176324</v>
      </c>
      <c r="I19" s="159">
        <f t="shared" si="2"/>
        <v>460345.96420183015</v>
      </c>
      <c r="J19" s="159">
        <f t="shared" si="2"/>
        <v>446941.534006409</v>
      </c>
      <c r="K19" s="162">
        <f t="shared" si="2"/>
        <v>434574.05322824285</v>
      </c>
      <c r="L19" s="162">
        <f t="shared" si="2"/>
        <v>423148.11566820828</v>
      </c>
      <c r="M19" s="162">
        <f t="shared" si="2"/>
        <v>412577.61425177177</v>
      </c>
      <c r="N19" s="162">
        <f t="shared" si="2"/>
        <v>402784.81815264345</v>
      </c>
      <c r="O19" s="172">
        <f t="shared" si="2"/>
        <v>393699.54199906375</v>
      </c>
    </row>
    <row r="20" spans="3:28" x14ac:dyDescent="0.25">
      <c r="C20" s="131" t="s">
        <v>386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28" x14ac:dyDescent="0.25">
      <c r="C21" s="237"/>
      <c r="D21" s="238">
        <v>2019</v>
      </c>
      <c r="E21" s="239">
        <v>2020</v>
      </c>
      <c r="F21" s="239">
        <v>2021</v>
      </c>
      <c r="G21" s="239">
        <v>2022</v>
      </c>
      <c r="H21" s="240">
        <v>2023</v>
      </c>
      <c r="I21" s="240">
        <v>2024</v>
      </c>
      <c r="J21" s="240">
        <v>2025</v>
      </c>
      <c r="K21" s="241">
        <v>2026</v>
      </c>
      <c r="L21" s="241">
        <v>2027</v>
      </c>
      <c r="M21" s="241">
        <v>2028</v>
      </c>
      <c r="N21" s="241">
        <v>2029</v>
      </c>
      <c r="O21" s="242">
        <v>2030</v>
      </c>
    </row>
    <row r="22" spans="3:28" x14ac:dyDescent="0.25">
      <c r="C22" s="243" t="s">
        <v>45</v>
      </c>
      <c r="D22" s="70">
        <v>532285.71428571432</v>
      </c>
      <c r="E22" s="87">
        <v>534885.71428571432</v>
      </c>
      <c r="F22" s="87">
        <v>537537.71428571432</v>
      </c>
      <c r="G22" s="87">
        <v>540242.75428571436</v>
      </c>
      <c r="H22" s="88">
        <v>543001.89508571429</v>
      </c>
      <c r="I22" s="88">
        <v>545816.2187017143</v>
      </c>
      <c r="J22" s="88">
        <v>548686.82879003428</v>
      </c>
      <c r="K22" s="89">
        <v>551614.85108012066</v>
      </c>
      <c r="L22" s="89">
        <v>554601.43381600874</v>
      </c>
      <c r="M22" s="89">
        <v>557647.74820661463</v>
      </c>
      <c r="N22" s="89">
        <v>560754.9888850326</v>
      </c>
      <c r="O22" s="245">
        <v>563924.374377019</v>
      </c>
    </row>
    <row r="23" spans="3:28" x14ac:dyDescent="0.25">
      <c r="C23" s="243" t="s">
        <v>23</v>
      </c>
      <c r="D23" s="117">
        <v>53228.571428571435</v>
      </c>
      <c r="E23" s="76">
        <v>53488.571428571435</v>
      </c>
      <c r="F23" s="76">
        <v>53753.771428571432</v>
      </c>
      <c r="G23" s="76">
        <v>54024.27542857144</v>
      </c>
      <c r="H23" s="77">
        <v>54300.189508571435</v>
      </c>
      <c r="I23" s="77">
        <v>54581.621870171432</v>
      </c>
      <c r="J23" s="77">
        <v>54868.682879003434</v>
      </c>
      <c r="K23" s="78">
        <v>55161.485108012072</v>
      </c>
      <c r="L23" s="78">
        <v>55460.143381600879</v>
      </c>
      <c r="M23" s="78">
        <v>55764.774820661463</v>
      </c>
      <c r="N23" s="78">
        <v>56075.498888503265</v>
      </c>
      <c r="O23" s="99">
        <v>56392.437437701905</v>
      </c>
    </row>
    <row r="24" spans="3:28" x14ac:dyDescent="0.25">
      <c r="C24" s="243" t="s">
        <v>47</v>
      </c>
      <c r="D24" s="93">
        <v>585514.2857142858</v>
      </c>
      <c r="E24" s="71">
        <v>588374.2857142858</v>
      </c>
      <c r="F24" s="71">
        <v>591291.48571428575</v>
      </c>
      <c r="G24" s="135">
        <v>594267.02971428575</v>
      </c>
      <c r="H24" s="72">
        <v>597302.0845942857</v>
      </c>
      <c r="I24" s="72">
        <v>600397.8405718857</v>
      </c>
      <c r="J24" s="72">
        <v>603555.51166903775</v>
      </c>
      <c r="K24" s="73">
        <v>606776.33618813276</v>
      </c>
      <c r="L24" s="73">
        <v>610061.57719760959</v>
      </c>
      <c r="M24" s="73">
        <v>613412.52302727615</v>
      </c>
      <c r="N24" s="73">
        <v>616830.48777353589</v>
      </c>
      <c r="O24" s="98">
        <v>620316.81181472086</v>
      </c>
    </row>
    <row r="25" spans="3:28" x14ac:dyDescent="0.25">
      <c r="C25" s="243" t="s">
        <v>84</v>
      </c>
      <c r="D25" s="79">
        <v>30</v>
      </c>
      <c r="E25" s="71">
        <v>30</v>
      </c>
      <c r="F25" s="71">
        <v>30</v>
      </c>
      <c r="G25" s="135">
        <v>30</v>
      </c>
      <c r="H25" s="72">
        <v>30</v>
      </c>
      <c r="I25" s="72">
        <v>30</v>
      </c>
      <c r="J25" s="72">
        <v>30</v>
      </c>
      <c r="K25" s="73">
        <v>30</v>
      </c>
      <c r="L25" s="73">
        <v>30</v>
      </c>
      <c r="M25" s="73">
        <v>30</v>
      </c>
      <c r="N25" s="73">
        <v>30</v>
      </c>
      <c r="O25" s="98">
        <v>30</v>
      </c>
    </row>
    <row r="26" spans="3:28" x14ac:dyDescent="0.25">
      <c r="C26" s="243" t="s">
        <v>94</v>
      </c>
      <c r="D26" s="79">
        <v>8</v>
      </c>
      <c r="E26" s="71">
        <v>8</v>
      </c>
      <c r="F26" s="71">
        <v>8</v>
      </c>
      <c r="G26" s="135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98">
        <v>8</v>
      </c>
    </row>
    <row r="27" spans="3:28" x14ac:dyDescent="0.25">
      <c r="C27" s="243" t="s">
        <v>95</v>
      </c>
      <c r="D27" s="83">
        <v>7</v>
      </c>
      <c r="E27" s="71">
        <v>7</v>
      </c>
      <c r="F27" s="71">
        <v>7</v>
      </c>
      <c r="G27" s="135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98">
        <v>7</v>
      </c>
    </row>
    <row r="28" spans="3:28" x14ac:dyDescent="0.25">
      <c r="C28" s="243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98">
        <v>7</v>
      </c>
      <c r="P28" s="248"/>
      <c r="Q28" s="124"/>
      <c r="R28" s="125"/>
      <c r="S28" s="125"/>
      <c r="T28" s="125"/>
      <c r="U28" s="126"/>
      <c r="V28" s="126"/>
      <c r="W28" s="126"/>
      <c r="X28" s="127"/>
      <c r="Y28" s="127"/>
      <c r="Z28" s="127"/>
      <c r="AA28" s="127"/>
      <c r="AB28" s="128"/>
    </row>
    <row r="29" spans="3:28" x14ac:dyDescent="0.25">
      <c r="C29" s="243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246">
        <v>0.03</v>
      </c>
      <c r="P29" s="74"/>
      <c r="Q29" s="70"/>
      <c r="R29" s="87"/>
      <c r="S29" s="87"/>
      <c r="T29" s="87"/>
      <c r="U29" s="88"/>
      <c r="V29" s="88"/>
      <c r="W29" s="88"/>
      <c r="X29" s="89"/>
      <c r="Y29" s="89"/>
      <c r="Z29" s="89"/>
      <c r="AA29" s="89"/>
      <c r="AB29" s="107"/>
    </row>
    <row r="30" spans="3:28" x14ac:dyDescent="0.25">
      <c r="C30" s="243" t="s">
        <v>88</v>
      </c>
      <c r="D30" s="70">
        <v>38794.08319624119</v>
      </c>
      <c r="E30" s="71">
        <v>37664.158442952605</v>
      </c>
      <c r="F30" s="71">
        <v>36567.144119371471</v>
      </c>
      <c r="G30" s="80">
        <v>35502.081669292689</v>
      </c>
      <c r="H30" s="72">
        <v>34468.040455623974</v>
      </c>
      <c r="I30" s="72">
        <v>33464.116947207738</v>
      </c>
      <c r="J30" s="72">
        <v>32489.433929327904</v>
      </c>
      <c r="K30" s="73">
        <v>31543.139737211557</v>
      </c>
      <c r="L30" s="73">
        <v>30624.407511855879</v>
      </c>
      <c r="M30" s="73">
        <v>29732.434477529983</v>
      </c>
      <c r="N30" s="73">
        <v>28866.441240320371</v>
      </c>
      <c r="O30" s="98">
        <v>28025.671107107159</v>
      </c>
      <c r="P30" s="74"/>
      <c r="Q30" s="117"/>
      <c r="R30" s="76"/>
      <c r="S30" s="76"/>
      <c r="T30" s="76"/>
      <c r="U30" s="77"/>
      <c r="V30" s="77"/>
      <c r="W30" s="77"/>
      <c r="X30" s="78"/>
      <c r="Y30" s="78"/>
      <c r="Z30" s="78"/>
      <c r="AA30" s="78"/>
      <c r="AB30" s="104"/>
    </row>
    <row r="31" spans="3:28" x14ac:dyDescent="0.25">
      <c r="C31" s="243" t="s">
        <v>89</v>
      </c>
      <c r="D31" s="70">
        <f>9*600+8*1200</f>
        <v>15000</v>
      </c>
      <c r="E31" s="71">
        <f>D31*(1-$D$29)</f>
        <v>14550</v>
      </c>
      <c r="F31" s="71">
        <f t="shared" ref="F31:O31" si="3">E31*(1-$D$29)</f>
        <v>14113.5</v>
      </c>
      <c r="G31" s="80">
        <f t="shared" si="3"/>
        <v>13690.094999999999</v>
      </c>
      <c r="H31" s="72">
        <f t="shared" si="3"/>
        <v>13279.39215</v>
      </c>
      <c r="I31" s="72">
        <f t="shared" si="3"/>
        <v>12881.0103855</v>
      </c>
      <c r="J31" s="72">
        <f t="shared" si="3"/>
        <v>12494.580073935</v>
      </c>
      <c r="K31" s="73">
        <f t="shared" si="3"/>
        <v>12119.742671716949</v>
      </c>
      <c r="L31" s="73">
        <f t="shared" si="3"/>
        <v>11756.150391565441</v>
      </c>
      <c r="M31" s="73">
        <f t="shared" si="3"/>
        <v>11403.465879818477</v>
      </c>
      <c r="N31" s="73">
        <f t="shared" si="3"/>
        <v>11061.361903423922</v>
      </c>
      <c r="O31" s="98">
        <f t="shared" si="3"/>
        <v>10729.521046321204</v>
      </c>
      <c r="P31" s="74"/>
      <c r="Q31" s="93"/>
      <c r="R31" s="71"/>
      <c r="S31" s="71"/>
      <c r="T31" s="135"/>
      <c r="U31" s="72"/>
      <c r="V31" s="72"/>
      <c r="W31" s="72"/>
      <c r="X31" s="73"/>
      <c r="Y31" s="73"/>
      <c r="Z31" s="73"/>
      <c r="AA31" s="73"/>
      <c r="AB31" s="103"/>
    </row>
    <row r="32" spans="3:28" x14ac:dyDescent="0.25">
      <c r="C32" s="243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98">
        <v>2889.6851063950494</v>
      </c>
      <c r="P32" s="74"/>
      <c r="Q32" s="79"/>
      <c r="R32" s="71"/>
      <c r="S32" s="71"/>
      <c r="T32" s="135"/>
      <c r="U32" s="72"/>
      <c r="V32" s="72"/>
      <c r="W32" s="72"/>
      <c r="X32" s="73"/>
      <c r="Y32" s="73"/>
      <c r="Z32" s="73"/>
      <c r="AA32" s="73"/>
      <c r="AB32" s="103"/>
    </row>
    <row r="33" spans="3:28" x14ac:dyDescent="0.25">
      <c r="C33" s="243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98">
        <f t="shared" si="4"/>
        <v>257.50850511170893</v>
      </c>
      <c r="P33" s="74"/>
      <c r="Q33" s="79"/>
      <c r="R33" s="71"/>
      <c r="S33" s="71"/>
      <c r="T33" s="135"/>
      <c r="U33" s="72"/>
      <c r="V33" s="72"/>
      <c r="W33" s="72"/>
      <c r="X33" s="73"/>
      <c r="Y33" s="73"/>
      <c r="Z33" s="73"/>
      <c r="AA33" s="73"/>
      <c r="AB33" s="103"/>
    </row>
    <row r="34" spans="3:28" x14ac:dyDescent="0.25">
      <c r="C34" s="243" t="s">
        <v>87</v>
      </c>
      <c r="D34" s="79">
        <f>0.35*D22</f>
        <v>186300</v>
      </c>
      <c r="E34" s="71">
        <f t="shared" ref="E34:O34" si="5">0.35*E22</f>
        <v>187210</v>
      </c>
      <c r="F34" s="71">
        <f t="shared" si="5"/>
        <v>188138.2</v>
      </c>
      <c r="G34" s="80">
        <f t="shared" si="5"/>
        <v>189084.96400000001</v>
      </c>
      <c r="H34" s="72">
        <f t="shared" si="5"/>
        <v>190050.66327999998</v>
      </c>
      <c r="I34" s="72">
        <f t="shared" si="5"/>
        <v>191035.6765456</v>
      </c>
      <c r="J34" s="72">
        <f t="shared" si="5"/>
        <v>192040.39007651198</v>
      </c>
      <c r="K34" s="73">
        <f t="shared" si="5"/>
        <v>193065.19787804221</v>
      </c>
      <c r="L34" s="73">
        <f t="shared" si="5"/>
        <v>194110.50183560303</v>
      </c>
      <c r="M34" s="73">
        <f t="shared" si="5"/>
        <v>195176.71187231512</v>
      </c>
      <c r="N34" s="73">
        <f t="shared" si="5"/>
        <v>196264.24610976139</v>
      </c>
      <c r="O34" s="98">
        <f t="shared" si="5"/>
        <v>197373.53103195663</v>
      </c>
      <c r="P34" s="74"/>
      <c r="Q34" s="83"/>
      <c r="R34" s="71"/>
      <c r="S34" s="71"/>
      <c r="T34" s="135"/>
      <c r="U34" s="72"/>
      <c r="V34" s="72"/>
      <c r="W34" s="72"/>
      <c r="X34" s="73"/>
      <c r="Y34" s="73"/>
      <c r="Z34" s="73"/>
      <c r="AA34" s="73"/>
      <c r="AB34" s="103"/>
    </row>
    <row r="35" spans="3:28" x14ac:dyDescent="0.25">
      <c r="C35" s="244" t="s">
        <v>93</v>
      </c>
      <c r="D35" s="163">
        <f>D24+D30+D31+D32-D34</f>
        <v>481929.50073141314</v>
      </c>
      <c r="E35" s="164">
        <f t="shared" ref="E35:O35" si="6">E24+E30+E31+E32-E34</f>
        <v>481457.21291538025</v>
      </c>
      <c r="F35" s="164">
        <f t="shared" si="6"/>
        <v>481094.87037554249</v>
      </c>
      <c r="G35" s="165">
        <f t="shared" si="6"/>
        <v>480841.1749485156</v>
      </c>
      <c r="H35" s="166">
        <f t="shared" si="6"/>
        <v>480694.90495382936</v>
      </c>
      <c r="I35" s="166">
        <f t="shared" si="6"/>
        <v>477849.39420125034</v>
      </c>
      <c r="J35" s="166">
        <f t="shared" si="6"/>
        <v>475190.80330050888</v>
      </c>
      <c r="K35" s="167">
        <f t="shared" si="6"/>
        <v>472715.75139700458</v>
      </c>
      <c r="L35" s="167">
        <f t="shared" si="6"/>
        <v>470420.99789803999</v>
      </c>
      <c r="M35" s="167">
        <f t="shared" si="6"/>
        <v>468303.43920766586</v>
      </c>
      <c r="N35" s="167">
        <f t="shared" si="6"/>
        <v>466360.10557350062</v>
      </c>
      <c r="O35" s="247">
        <f t="shared" si="6"/>
        <v>464588.15804258769</v>
      </c>
      <c r="P35" s="74"/>
      <c r="Q35" s="70"/>
      <c r="R35" s="71"/>
      <c r="S35" s="71"/>
      <c r="T35" s="80"/>
      <c r="U35" s="72"/>
      <c r="V35" s="72"/>
      <c r="W35" s="72"/>
      <c r="X35" s="73"/>
      <c r="Y35" s="73"/>
      <c r="Z35" s="73"/>
      <c r="AA35" s="73"/>
      <c r="AB35" s="103"/>
    </row>
    <row r="36" spans="3:28" x14ac:dyDescent="0.25">
      <c r="P36" s="102"/>
      <c r="Q36" s="150"/>
      <c r="R36" s="151"/>
      <c r="S36" s="151"/>
      <c r="T36" s="151"/>
      <c r="U36" s="152"/>
      <c r="V36" s="152"/>
      <c r="W36" s="152"/>
      <c r="X36" s="153"/>
      <c r="Y36" s="153"/>
      <c r="Z36" s="153"/>
      <c r="AA36" s="153"/>
      <c r="AB36" s="154"/>
    </row>
    <row r="37" spans="3:28" x14ac:dyDescent="0.25">
      <c r="C37" t="s">
        <v>337</v>
      </c>
      <c r="D37" s="30">
        <f t="shared" ref="D37:O37" si="7">D19-D35</f>
        <v>457.56138106156141</v>
      </c>
      <c r="E37" s="30">
        <f t="shared" si="7"/>
        <v>-14439.92376318574</v>
      </c>
      <c r="F37" s="30">
        <f t="shared" si="7"/>
        <v>20495.951603009773</v>
      </c>
      <c r="G37" s="30">
        <f t="shared" si="7"/>
        <v>6752.4715948777157</v>
      </c>
      <c r="H37" s="30">
        <f t="shared" si="7"/>
        <v>-5801.8306320661213</v>
      </c>
      <c r="I37" s="30">
        <f t="shared" si="7"/>
        <v>-17503.429999420187</v>
      </c>
      <c r="J37" s="30">
        <f t="shared" si="7"/>
        <v>-28249.269294099882</v>
      </c>
      <c r="K37" s="30">
        <f t="shared" si="7"/>
        <v>-38141.698168761737</v>
      </c>
      <c r="L37" s="30">
        <f t="shared" si="7"/>
        <v>-47272.88222983171</v>
      </c>
      <c r="M37" s="30">
        <f t="shared" si="7"/>
        <v>-55725.824955894088</v>
      </c>
      <c r="N37" s="30">
        <f t="shared" si="7"/>
        <v>-63575.287420857174</v>
      </c>
      <c r="O37" s="30">
        <f t="shared" si="7"/>
        <v>-70888.616043523944</v>
      </c>
      <c r="P37" s="102"/>
      <c r="Q37" s="70"/>
      <c r="R37" s="71"/>
      <c r="S37" s="71"/>
      <c r="T37" s="80"/>
      <c r="U37" s="72"/>
      <c r="V37" s="72"/>
      <c r="W37" s="72"/>
      <c r="X37" s="73"/>
      <c r="Y37" s="73"/>
      <c r="Z37" s="73"/>
      <c r="AA37" s="73"/>
      <c r="AB37" s="103"/>
    </row>
    <row r="38" spans="3:28" x14ac:dyDescent="0.25">
      <c r="P38" s="102"/>
      <c r="Q38" s="70"/>
      <c r="R38" s="71"/>
      <c r="S38" s="71"/>
      <c r="T38" s="80"/>
      <c r="U38" s="72"/>
      <c r="V38" s="72"/>
      <c r="W38" s="72"/>
      <c r="X38" s="73"/>
      <c r="Y38" s="73"/>
      <c r="Z38" s="73"/>
      <c r="AA38" s="73"/>
      <c r="AB38" s="103"/>
    </row>
    <row r="39" spans="3:28" x14ac:dyDescent="0.25">
      <c r="P39" s="102"/>
      <c r="Q39" s="79"/>
      <c r="R39" s="71"/>
      <c r="S39" s="71"/>
      <c r="T39" s="80"/>
      <c r="U39" s="72"/>
      <c r="V39" s="72"/>
      <c r="W39" s="72"/>
      <c r="X39" s="73"/>
      <c r="Y39" s="73"/>
      <c r="Z39" s="73"/>
      <c r="AA39" s="73"/>
      <c r="AB39" s="103"/>
    </row>
    <row r="40" spans="3:28" x14ac:dyDescent="0.25">
      <c r="P40" s="102"/>
      <c r="Q40" s="79"/>
      <c r="R40" s="71"/>
      <c r="S40" s="71"/>
      <c r="T40" s="80"/>
      <c r="U40" s="72"/>
      <c r="V40" s="72"/>
      <c r="W40" s="72"/>
      <c r="X40" s="73"/>
      <c r="Y40" s="73"/>
      <c r="Z40" s="73"/>
      <c r="AA40" s="73"/>
      <c r="AB40" s="103"/>
    </row>
    <row r="41" spans="3:28" x14ac:dyDescent="0.25">
      <c r="P41" s="102"/>
      <c r="Q41" s="79"/>
      <c r="R41" s="71"/>
      <c r="S41" s="71"/>
      <c r="T41" s="80"/>
      <c r="U41" s="72"/>
      <c r="V41" s="72"/>
      <c r="W41" s="72"/>
      <c r="X41" s="73"/>
      <c r="Y41" s="73"/>
      <c r="Z41" s="73"/>
      <c r="AA41" s="73"/>
      <c r="AB41" s="103"/>
    </row>
    <row r="42" spans="3:28" x14ac:dyDescent="0.25">
      <c r="P42" s="109"/>
      <c r="Q42" s="79"/>
      <c r="R42" s="71"/>
      <c r="S42" s="71"/>
      <c r="T42" s="80"/>
      <c r="U42" s="72"/>
      <c r="V42" s="72"/>
      <c r="W42" s="72"/>
      <c r="X42" s="73"/>
      <c r="Y42" s="73"/>
      <c r="Z42" s="73"/>
      <c r="AA42" s="73"/>
      <c r="AB42" s="103"/>
    </row>
    <row r="57" spans="3:26" x14ac:dyDescent="0.25">
      <c r="D57">
        <v>2019</v>
      </c>
      <c r="E57">
        <v>2020</v>
      </c>
      <c r="F57">
        <v>2021</v>
      </c>
      <c r="G57">
        <v>2022</v>
      </c>
      <c r="H57">
        <v>2023</v>
      </c>
      <c r="I57">
        <v>2024</v>
      </c>
      <c r="J57">
        <v>2025</v>
      </c>
      <c r="K57">
        <v>2026</v>
      </c>
      <c r="L57">
        <v>2027</v>
      </c>
      <c r="M57">
        <v>2028</v>
      </c>
      <c r="N57">
        <v>2029</v>
      </c>
      <c r="O57">
        <v>2030</v>
      </c>
      <c r="P57">
        <v>2031</v>
      </c>
      <c r="Q57">
        <v>2032</v>
      </c>
      <c r="R57">
        <v>2033</v>
      </c>
      <c r="S57">
        <v>2034</v>
      </c>
      <c r="T57">
        <v>2035</v>
      </c>
      <c r="U57">
        <v>2036</v>
      </c>
      <c r="V57">
        <v>2037</v>
      </c>
      <c r="W57">
        <v>2038</v>
      </c>
      <c r="X57">
        <v>2039</v>
      </c>
      <c r="Y57">
        <v>2040</v>
      </c>
      <c r="Z57">
        <v>2041</v>
      </c>
    </row>
    <row r="58" spans="3:26" x14ac:dyDescent="0.25">
      <c r="C58" t="s">
        <v>98</v>
      </c>
      <c r="D58">
        <f>30*365</f>
        <v>10950</v>
      </c>
      <c r="E58">
        <f t="shared" ref="E58:Z58" si="8">30*365</f>
        <v>10950</v>
      </c>
      <c r="F58">
        <f t="shared" si="8"/>
        <v>10950</v>
      </c>
      <c r="G58">
        <f t="shared" si="8"/>
        <v>10950</v>
      </c>
      <c r="H58">
        <f t="shared" si="8"/>
        <v>10950</v>
      </c>
      <c r="I58">
        <f t="shared" si="8"/>
        <v>10950</v>
      </c>
      <c r="J58">
        <f t="shared" si="8"/>
        <v>10950</v>
      </c>
      <c r="K58">
        <f t="shared" si="8"/>
        <v>10950</v>
      </c>
      <c r="L58">
        <f t="shared" si="8"/>
        <v>10950</v>
      </c>
      <c r="M58">
        <f t="shared" si="8"/>
        <v>10950</v>
      </c>
      <c r="N58">
        <f t="shared" si="8"/>
        <v>10950</v>
      </c>
      <c r="O58">
        <f t="shared" si="8"/>
        <v>10950</v>
      </c>
      <c r="P58">
        <f t="shared" si="8"/>
        <v>10950</v>
      </c>
      <c r="Q58">
        <f t="shared" si="8"/>
        <v>10950</v>
      </c>
      <c r="R58">
        <f t="shared" si="8"/>
        <v>10950</v>
      </c>
      <c r="S58">
        <f t="shared" si="8"/>
        <v>10950</v>
      </c>
      <c r="T58">
        <f t="shared" si="8"/>
        <v>10950</v>
      </c>
      <c r="U58">
        <f t="shared" si="8"/>
        <v>10950</v>
      </c>
      <c r="V58">
        <f t="shared" si="8"/>
        <v>10950</v>
      </c>
      <c r="W58">
        <f t="shared" si="8"/>
        <v>10950</v>
      </c>
      <c r="X58">
        <f t="shared" si="8"/>
        <v>10950</v>
      </c>
      <c r="Y58">
        <f t="shared" si="8"/>
        <v>10950</v>
      </c>
      <c r="Z58">
        <f t="shared" si="8"/>
        <v>10950</v>
      </c>
    </row>
    <row r="59" spans="3:26" x14ac:dyDescent="0.25">
      <c r="C59" t="s">
        <v>99</v>
      </c>
      <c r="D59" s="30">
        <f>($D$11/100)*D58</f>
        <v>1817.7</v>
      </c>
      <c r="E59" s="30">
        <f t="shared" ref="E59:Z59" si="9">($D$11/100)*E58</f>
        <v>1817.7</v>
      </c>
      <c r="F59" s="30">
        <f t="shared" si="9"/>
        <v>1817.7</v>
      </c>
      <c r="G59" s="30">
        <f t="shared" si="9"/>
        <v>1817.7</v>
      </c>
      <c r="H59" s="30">
        <f t="shared" si="9"/>
        <v>1817.7</v>
      </c>
      <c r="I59" s="30">
        <f t="shared" si="9"/>
        <v>1817.7</v>
      </c>
      <c r="J59" s="30">
        <f t="shared" si="9"/>
        <v>1817.7</v>
      </c>
      <c r="K59" s="30">
        <f t="shared" si="9"/>
        <v>1817.7</v>
      </c>
      <c r="L59" s="30">
        <f t="shared" si="9"/>
        <v>1817.7</v>
      </c>
      <c r="M59" s="30">
        <f t="shared" si="9"/>
        <v>1817.7</v>
      </c>
      <c r="N59" s="30">
        <f t="shared" si="9"/>
        <v>1817.7</v>
      </c>
      <c r="O59" s="30">
        <f t="shared" si="9"/>
        <v>1817.7</v>
      </c>
      <c r="P59" s="30">
        <f t="shared" si="9"/>
        <v>1817.7</v>
      </c>
      <c r="Q59" s="30">
        <f t="shared" si="9"/>
        <v>1817.7</v>
      </c>
      <c r="R59" s="30">
        <f t="shared" si="9"/>
        <v>1817.7</v>
      </c>
      <c r="S59" s="30">
        <f t="shared" si="9"/>
        <v>1817.7</v>
      </c>
      <c r="T59" s="30">
        <f t="shared" si="9"/>
        <v>1817.7</v>
      </c>
      <c r="U59" s="30">
        <f t="shared" si="9"/>
        <v>1817.7</v>
      </c>
      <c r="V59" s="30">
        <f t="shared" si="9"/>
        <v>1817.7</v>
      </c>
      <c r="W59" s="30">
        <f t="shared" si="9"/>
        <v>1817.7</v>
      </c>
      <c r="X59" s="30">
        <f t="shared" si="9"/>
        <v>1817.7</v>
      </c>
      <c r="Y59" s="30">
        <f t="shared" si="9"/>
        <v>1817.7</v>
      </c>
      <c r="Z59" s="30">
        <f t="shared" si="9"/>
        <v>1817.7</v>
      </c>
    </row>
    <row r="60" spans="3:26" x14ac:dyDescent="0.25">
      <c r="C60" t="s">
        <v>101</v>
      </c>
      <c r="D60" s="1">
        <f>D59*$D$12</f>
        <v>1454.16</v>
      </c>
      <c r="E60" s="1">
        <f t="shared" ref="E60:Z60" si="10">E59*$D$12</f>
        <v>1454.16</v>
      </c>
      <c r="F60" s="1">
        <f t="shared" si="10"/>
        <v>1454.16</v>
      </c>
      <c r="G60" s="1">
        <f t="shared" si="10"/>
        <v>1454.16</v>
      </c>
      <c r="H60" s="1">
        <f t="shared" si="10"/>
        <v>1454.16</v>
      </c>
      <c r="I60" s="1">
        <f t="shared" si="10"/>
        <v>1454.16</v>
      </c>
      <c r="J60" s="1">
        <f t="shared" si="10"/>
        <v>1454.16</v>
      </c>
      <c r="K60" s="1">
        <f t="shared" si="10"/>
        <v>1454.16</v>
      </c>
      <c r="L60" s="1">
        <f t="shared" si="10"/>
        <v>1454.16</v>
      </c>
      <c r="M60" s="1">
        <f t="shared" si="10"/>
        <v>1454.16</v>
      </c>
      <c r="N60" s="1">
        <f t="shared" si="10"/>
        <v>1454.16</v>
      </c>
      <c r="O60" s="1">
        <f t="shared" si="10"/>
        <v>1454.16</v>
      </c>
      <c r="P60" s="1">
        <f t="shared" si="10"/>
        <v>1454.16</v>
      </c>
      <c r="Q60" s="1">
        <f t="shared" si="10"/>
        <v>1454.16</v>
      </c>
      <c r="R60" s="1">
        <f t="shared" si="10"/>
        <v>1454.16</v>
      </c>
      <c r="S60" s="1">
        <f t="shared" si="10"/>
        <v>1454.16</v>
      </c>
      <c r="T60" s="1">
        <f t="shared" si="10"/>
        <v>1454.16</v>
      </c>
      <c r="U60" s="1">
        <f t="shared" si="10"/>
        <v>1454.16</v>
      </c>
      <c r="V60" s="1">
        <f t="shared" si="10"/>
        <v>1454.16</v>
      </c>
      <c r="W60" s="1">
        <f t="shared" si="10"/>
        <v>1454.16</v>
      </c>
      <c r="X60" s="1">
        <f t="shared" si="10"/>
        <v>1454.16</v>
      </c>
      <c r="Y60" s="1">
        <f t="shared" si="10"/>
        <v>1454.16</v>
      </c>
      <c r="Z60" s="1">
        <f t="shared" si="10"/>
        <v>1454.16</v>
      </c>
    </row>
    <row r="61" spans="3:26" x14ac:dyDescent="0.25">
      <c r="C61" t="s">
        <v>100</v>
      </c>
      <c r="D61">
        <f>D60/(1+$D$13)^(D57-2019)</f>
        <v>1454.16</v>
      </c>
      <c r="E61">
        <f t="shared" ref="E61:Z61" si="11">E60/(1+$D$13)^(E57-2019)</f>
        <v>1411.8058252427186</v>
      </c>
      <c r="F61">
        <f t="shared" si="11"/>
        <v>1370.6852672259404</v>
      </c>
      <c r="G61">
        <f t="shared" si="11"/>
        <v>1330.7623953649907</v>
      </c>
      <c r="H61">
        <f t="shared" si="11"/>
        <v>1292.0023255970784</v>
      </c>
      <c r="I61">
        <f t="shared" si="11"/>
        <v>1254.3711899000762</v>
      </c>
      <c r="J61">
        <f t="shared" si="11"/>
        <v>1217.8361066991031</v>
      </c>
      <c r="K61">
        <f t="shared" si="11"/>
        <v>1182.3651521350514</v>
      </c>
      <c r="L61">
        <f t="shared" si="11"/>
        <v>1147.9273321699529</v>
      </c>
      <c r="M61">
        <f t="shared" si="11"/>
        <v>1114.4925555048087</v>
      </c>
      <c r="N61">
        <f t="shared" si="11"/>
        <v>1082.031607286222</v>
      </c>
      <c r="O61">
        <f t="shared" si="11"/>
        <v>1050.5161235788562</v>
      </c>
      <c r="P61">
        <f t="shared" si="11"/>
        <v>1019.918566581414</v>
      </c>
      <c r="Q61">
        <f t="shared" si="11"/>
        <v>990.21220056447964</v>
      </c>
      <c r="R61">
        <f t="shared" si="11"/>
        <v>961.37106850920338</v>
      </c>
      <c r="S61">
        <f t="shared" si="11"/>
        <v>933.36996942641099</v>
      </c>
      <c r="T61">
        <f t="shared" si="11"/>
        <v>906.1844363363216</v>
      </c>
      <c r="U61">
        <f t="shared" si="11"/>
        <v>879.79071488963257</v>
      </c>
      <c r="V61">
        <f t="shared" si="11"/>
        <v>854.16574261129381</v>
      </c>
      <c r="W61">
        <f t="shared" si="11"/>
        <v>829.28712874882888</v>
      </c>
      <c r="X61">
        <f t="shared" si="11"/>
        <v>805.1331347076009</v>
      </c>
      <c r="Y61">
        <f t="shared" si="11"/>
        <v>781.68265505592331</v>
      </c>
      <c r="Z61">
        <f t="shared" si="11"/>
        <v>758.91519908342059</v>
      </c>
    </row>
    <row r="62" spans="3:26" x14ac:dyDescent="0.25">
      <c r="C62" t="s">
        <v>102</v>
      </c>
      <c r="D62">
        <f>SUM(D61:K61)</f>
        <v>10513.988262164959</v>
      </c>
      <c r="E62">
        <f>SUM(E61:L61)</f>
        <v>10207.755594334913</v>
      </c>
      <c r="F62">
        <f t="shared" ref="F62:O62" si="12">SUM(F61:M61)</f>
        <v>9910.4423245970011</v>
      </c>
      <c r="G62">
        <f t="shared" si="12"/>
        <v>9621.7886646572842</v>
      </c>
      <c r="H62">
        <f t="shared" si="12"/>
        <v>9341.542392871148</v>
      </c>
      <c r="I62">
        <f t="shared" si="12"/>
        <v>9069.4586338554855</v>
      </c>
      <c r="J62">
        <f t="shared" si="12"/>
        <v>8805.2996445198878</v>
      </c>
      <c r="K62">
        <f t="shared" si="12"/>
        <v>8548.8346063299887</v>
      </c>
      <c r="L62">
        <f t="shared" si="12"/>
        <v>8299.839423621348</v>
      </c>
      <c r="M62">
        <f t="shared" si="12"/>
        <v>8058.0965277877167</v>
      </c>
      <c r="N62">
        <f t="shared" si="12"/>
        <v>7823.3946871725411</v>
      </c>
      <c r="O62">
        <f t="shared" si="12"/>
        <v>7595.5288224976121</v>
      </c>
    </row>
    <row r="64" spans="3:26" x14ac:dyDescent="0.25">
      <c r="C64" t="s">
        <v>103</v>
      </c>
      <c r="D64">
        <f>27*300+27*100</f>
        <v>10800</v>
      </c>
    </row>
    <row r="68" spans="3:26" x14ac:dyDescent="0.25">
      <c r="C68" t="s">
        <v>104</v>
      </c>
      <c r="D68">
        <v>4300</v>
      </c>
      <c r="E68">
        <v>4300</v>
      </c>
      <c r="F68">
        <v>4300</v>
      </c>
      <c r="G68">
        <v>4300</v>
      </c>
      <c r="H68">
        <v>4300</v>
      </c>
      <c r="I68">
        <v>4300</v>
      </c>
      <c r="J68">
        <v>4300</v>
      </c>
      <c r="K68">
        <v>4300</v>
      </c>
      <c r="L68">
        <v>4300</v>
      </c>
      <c r="M68">
        <v>4300</v>
      </c>
      <c r="N68">
        <v>4300</v>
      </c>
      <c r="O68">
        <v>4300</v>
      </c>
      <c r="P68">
        <v>4300</v>
      </c>
      <c r="Q68">
        <v>4300</v>
      </c>
      <c r="R68">
        <v>4300</v>
      </c>
      <c r="S68">
        <v>4300</v>
      </c>
      <c r="T68">
        <v>4300</v>
      </c>
      <c r="U68">
        <v>4300</v>
      </c>
      <c r="V68">
        <v>4300</v>
      </c>
      <c r="W68">
        <v>4300</v>
      </c>
      <c r="X68">
        <v>4300</v>
      </c>
      <c r="Y68">
        <v>4300</v>
      </c>
      <c r="Z68">
        <v>4300</v>
      </c>
    </row>
    <row r="69" spans="3:26" x14ac:dyDescent="0.25">
      <c r="C69" t="s">
        <v>105</v>
      </c>
      <c r="D69">
        <f>D68/(1+0.03)^(D57-2019)</f>
        <v>4300</v>
      </c>
      <c r="E69">
        <f t="shared" ref="E69:O69" si="13">E68/(1+0.03)^(E57-2019)</f>
        <v>4174.7572815533977</v>
      </c>
      <c r="F69">
        <f t="shared" si="13"/>
        <v>4053.162409275144</v>
      </c>
      <c r="G69">
        <f t="shared" si="13"/>
        <v>3935.1091352185863</v>
      </c>
      <c r="H69">
        <f t="shared" si="13"/>
        <v>3820.4943060374626</v>
      </c>
      <c r="I69">
        <f t="shared" si="13"/>
        <v>3709.2177728519055</v>
      </c>
      <c r="J69">
        <f t="shared" si="13"/>
        <v>3601.1823037397139</v>
      </c>
      <c r="K69">
        <f t="shared" si="13"/>
        <v>3496.2934987764211</v>
      </c>
      <c r="L69">
        <f t="shared" si="13"/>
        <v>3394.4597075499237</v>
      </c>
      <c r="M69">
        <f t="shared" si="13"/>
        <v>3295.5919490775959</v>
      </c>
      <c r="N69">
        <f t="shared" si="13"/>
        <v>3199.6038340559185</v>
      </c>
      <c r="O69">
        <f t="shared" si="13"/>
        <v>3106.4114893746778</v>
      </c>
    </row>
    <row r="70" spans="3:26" x14ac:dyDescent="0.25">
      <c r="C70" t="s">
        <v>106</v>
      </c>
      <c r="D70" s="145">
        <f>SUM(D69:K69)</f>
        <v>31090.216707452633</v>
      </c>
      <c r="E70" s="145">
        <f>SUM(E69:L69)</f>
        <v>30184.676415002552</v>
      </c>
      <c r="F70" s="145">
        <f>SUM(F69:M69)</f>
        <v>29305.511082526751</v>
      </c>
      <c r="G70" s="145">
        <f t="shared" ref="G70:O70" si="14">SUM(G69:N69)</f>
        <v>28451.952507307524</v>
      </c>
      <c r="H70" s="145">
        <f t="shared" si="14"/>
        <v>27623.254861463614</v>
      </c>
      <c r="I70" s="145">
        <f t="shared" si="14"/>
        <v>23802.760555426157</v>
      </c>
      <c r="J70" s="145">
        <f t="shared" si="14"/>
        <v>20093.542782574252</v>
      </c>
      <c r="K70" s="145">
        <f t="shared" si="14"/>
        <v>16492.360478834536</v>
      </c>
      <c r="L70" s="145">
        <f t="shared" si="14"/>
        <v>12996.066980058116</v>
      </c>
      <c r="M70" s="145">
        <f t="shared" si="14"/>
        <v>9601.6072725081922</v>
      </c>
      <c r="N70" s="145">
        <f t="shared" si="14"/>
        <v>6306.0153234305963</v>
      </c>
      <c r="O70" s="145">
        <f t="shared" si="14"/>
        <v>3106.4114893746778</v>
      </c>
    </row>
    <row r="73" spans="3:26" x14ac:dyDescent="0.25">
      <c r="C73" t="s">
        <v>98</v>
      </c>
      <c r="D73">
        <f>D58</f>
        <v>10950</v>
      </c>
      <c r="E73">
        <f t="shared" ref="E73:Z73" si="15">E58</f>
        <v>10950</v>
      </c>
      <c r="F73">
        <f t="shared" si="15"/>
        <v>10950</v>
      </c>
      <c r="G73">
        <f t="shared" si="15"/>
        <v>10950</v>
      </c>
      <c r="H73">
        <f t="shared" si="15"/>
        <v>10950</v>
      </c>
      <c r="I73">
        <f t="shared" si="15"/>
        <v>10950</v>
      </c>
      <c r="J73">
        <f t="shared" si="15"/>
        <v>10950</v>
      </c>
      <c r="K73">
        <f t="shared" si="15"/>
        <v>10950</v>
      </c>
      <c r="L73">
        <f t="shared" si="15"/>
        <v>10950</v>
      </c>
      <c r="M73">
        <f t="shared" si="15"/>
        <v>10950</v>
      </c>
      <c r="N73">
        <f t="shared" si="15"/>
        <v>10950</v>
      </c>
      <c r="O73">
        <f t="shared" si="15"/>
        <v>10950</v>
      </c>
      <c r="P73">
        <f t="shared" si="15"/>
        <v>10950</v>
      </c>
      <c r="Q73">
        <f t="shared" si="15"/>
        <v>10950</v>
      </c>
      <c r="R73">
        <f t="shared" si="15"/>
        <v>10950</v>
      </c>
      <c r="S73">
        <f t="shared" si="15"/>
        <v>10950</v>
      </c>
      <c r="T73">
        <f t="shared" si="15"/>
        <v>10950</v>
      </c>
      <c r="U73">
        <f t="shared" si="15"/>
        <v>10950</v>
      </c>
      <c r="V73">
        <f t="shared" si="15"/>
        <v>10950</v>
      </c>
      <c r="W73">
        <f t="shared" si="15"/>
        <v>10950</v>
      </c>
      <c r="X73">
        <f t="shared" si="15"/>
        <v>10950</v>
      </c>
      <c r="Y73">
        <f t="shared" si="15"/>
        <v>10950</v>
      </c>
      <c r="Z73">
        <f t="shared" si="15"/>
        <v>10950</v>
      </c>
    </row>
    <row r="74" spans="3:26" x14ac:dyDescent="0.25">
      <c r="C74" t="s">
        <v>107</v>
      </c>
      <c r="D74" s="30">
        <f>($D$27/100)*D73</f>
        <v>766.50000000000011</v>
      </c>
      <c r="E74" s="30">
        <f t="shared" ref="E74:Z74" si="16">($D$27/100)*E73</f>
        <v>766.50000000000011</v>
      </c>
      <c r="F74" s="30">
        <f t="shared" si="16"/>
        <v>766.50000000000011</v>
      </c>
      <c r="G74" s="30">
        <f t="shared" si="16"/>
        <v>766.50000000000011</v>
      </c>
      <c r="H74" s="30">
        <f t="shared" si="16"/>
        <v>766.50000000000011</v>
      </c>
      <c r="I74" s="30">
        <f t="shared" si="16"/>
        <v>766.50000000000011</v>
      </c>
      <c r="J74" s="30">
        <f t="shared" si="16"/>
        <v>766.50000000000011</v>
      </c>
      <c r="K74" s="30">
        <f t="shared" si="16"/>
        <v>766.50000000000011</v>
      </c>
      <c r="L74" s="30">
        <f t="shared" si="16"/>
        <v>766.50000000000011</v>
      </c>
      <c r="M74" s="30">
        <f t="shared" si="16"/>
        <v>766.50000000000011</v>
      </c>
      <c r="N74" s="30">
        <f t="shared" si="16"/>
        <v>766.50000000000011</v>
      </c>
      <c r="O74" s="30">
        <f t="shared" si="16"/>
        <v>766.50000000000011</v>
      </c>
      <c r="P74" s="30">
        <f t="shared" si="16"/>
        <v>766.50000000000011</v>
      </c>
      <c r="Q74" s="30">
        <f t="shared" si="16"/>
        <v>766.50000000000011</v>
      </c>
      <c r="R74" s="30">
        <f t="shared" si="16"/>
        <v>766.50000000000011</v>
      </c>
      <c r="S74" s="30">
        <f t="shared" si="16"/>
        <v>766.50000000000011</v>
      </c>
      <c r="T74" s="30">
        <f t="shared" si="16"/>
        <v>766.50000000000011</v>
      </c>
      <c r="U74" s="30">
        <f t="shared" si="16"/>
        <v>766.50000000000011</v>
      </c>
      <c r="V74" s="30">
        <f t="shared" si="16"/>
        <v>766.50000000000011</v>
      </c>
      <c r="W74" s="30">
        <f t="shared" si="16"/>
        <v>766.50000000000011</v>
      </c>
      <c r="X74" s="30">
        <f t="shared" si="16"/>
        <v>766.50000000000011</v>
      </c>
      <c r="Y74" s="30">
        <f t="shared" si="16"/>
        <v>766.50000000000011</v>
      </c>
      <c r="Z74" s="30">
        <f t="shared" si="16"/>
        <v>766.50000000000011</v>
      </c>
    </row>
    <row r="75" spans="3:26" x14ac:dyDescent="0.25">
      <c r="C75" t="s">
        <v>108</v>
      </c>
      <c r="D75">
        <f>D74*$D$28</f>
        <v>5365.5000000000009</v>
      </c>
      <c r="E75">
        <f t="shared" ref="E75:Z75" si="17">E74*$D$28</f>
        <v>5365.5000000000009</v>
      </c>
      <c r="F75">
        <f t="shared" si="17"/>
        <v>5365.5000000000009</v>
      </c>
      <c r="G75">
        <f t="shared" si="17"/>
        <v>5365.5000000000009</v>
      </c>
      <c r="H75">
        <f t="shared" si="17"/>
        <v>5365.5000000000009</v>
      </c>
      <c r="I75">
        <f t="shared" si="17"/>
        <v>5365.5000000000009</v>
      </c>
      <c r="J75">
        <f t="shared" si="17"/>
        <v>5365.5000000000009</v>
      </c>
      <c r="K75">
        <f t="shared" si="17"/>
        <v>5365.5000000000009</v>
      </c>
      <c r="L75">
        <f t="shared" si="17"/>
        <v>5365.5000000000009</v>
      </c>
      <c r="M75">
        <f t="shared" si="17"/>
        <v>5365.5000000000009</v>
      </c>
      <c r="N75">
        <f t="shared" si="17"/>
        <v>5365.5000000000009</v>
      </c>
      <c r="O75">
        <f t="shared" si="17"/>
        <v>5365.5000000000009</v>
      </c>
      <c r="P75">
        <f t="shared" si="17"/>
        <v>5365.5000000000009</v>
      </c>
      <c r="Q75">
        <f t="shared" si="17"/>
        <v>5365.5000000000009</v>
      </c>
      <c r="R75">
        <f t="shared" si="17"/>
        <v>5365.5000000000009</v>
      </c>
      <c r="S75">
        <f t="shared" si="17"/>
        <v>5365.5000000000009</v>
      </c>
      <c r="T75">
        <f t="shared" si="17"/>
        <v>5365.5000000000009</v>
      </c>
      <c r="U75">
        <f t="shared" si="17"/>
        <v>5365.5000000000009</v>
      </c>
      <c r="V75">
        <f t="shared" si="17"/>
        <v>5365.5000000000009</v>
      </c>
      <c r="W75">
        <f t="shared" si="17"/>
        <v>5365.5000000000009</v>
      </c>
      <c r="X75">
        <f t="shared" si="17"/>
        <v>5365.5000000000009</v>
      </c>
      <c r="Y75">
        <f t="shared" si="17"/>
        <v>5365.5000000000009</v>
      </c>
      <c r="Z75">
        <f t="shared" si="17"/>
        <v>5365.5000000000009</v>
      </c>
    </row>
    <row r="76" spans="3:26" x14ac:dyDescent="0.25">
      <c r="C76" t="s">
        <v>109</v>
      </c>
      <c r="D76">
        <f>D75/(1+$D$29)^(D57-2019)</f>
        <v>5365.5000000000009</v>
      </c>
      <c r="E76">
        <f t="shared" ref="E76:Z76" si="18">E75/(1+$D$29)^(E57-2019)</f>
        <v>5209.2233009708743</v>
      </c>
      <c r="F76">
        <f t="shared" si="18"/>
        <v>5057.4983504571601</v>
      </c>
      <c r="G76">
        <f t="shared" si="18"/>
        <v>4910.1925732593782</v>
      </c>
      <c r="H76">
        <f t="shared" si="18"/>
        <v>4767.1772555916295</v>
      </c>
      <c r="I76">
        <f t="shared" si="18"/>
        <v>4628.3274326132332</v>
      </c>
      <c r="J76">
        <f t="shared" si="18"/>
        <v>4493.5217792361482</v>
      </c>
      <c r="K76">
        <f t="shared" si="18"/>
        <v>4362.642504112765</v>
      </c>
      <c r="L76">
        <f t="shared" si="18"/>
        <v>4235.5752467114235</v>
      </c>
      <c r="M76">
        <f t="shared" si="18"/>
        <v>4112.2089773897314</v>
      </c>
      <c r="N76">
        <f t="shared" si="18"/>
        <v>3992.4359003783798</v>
      </c>
      <c r="O76">
        <f t="shared" si="18"/>
        <v>3876.1513595906599</v>
      </c>
      <c r="P76">
        <f t="shared" si="18"/>
        <v>3763.2537471753985</v>
      </c>
      <c r="Q76">
        <f t="shared" si="18"/>
        <v>3653.6444147333968</v>
      </c>
      <c r="R76">
        <f t="shared" si="18"/>
        <v>3547.2275871198021</v>
      </c>
      <c r="S76">
        <f t="shared" si="18"/>
        <v>3443.9102787570891</v>
      </c>
      <c r="T76">
        <f t="shared" si="18"/>
        <v>3343.6022123855241</v>
      </c>
      <c r="U76">
        <f t="shared" si="18"/>
        <v>3246.2157401801205</v>
      </c>
      <c r="V76">
        <f t="shared" si="18"/>
        <v>3151.6657671651656</v>
      </c>
      <c r="W76">
        <f t="shared" si="18"/>
        <v>3059.8696768593841</v>
      </c>
      <c r="X76">
        <f t="shared" si="18"/>
        <v>2970.7472590867806</v>
      </c>
      <c r="Y76">
        <f t="shared" si="18"/>
        <v>2884.2206398900789</v>
      </c>
      <c r="Z76">
        <f t="shared" si="18"/>
        <v>2800.214213485513</v>
      </c>
    </row>
    <row r="77" spans="3:26" x14ac:dyDescent="0.25">
      <c r="C77" t="s">
        <v>110</v>
      </c>
      <c r="D77" s="1">
        <f>SUM(D76:K76)</f>
        <v>38794.08319624119</v>
      </c>
      <c r="E77" s="1">
        <f t="shared" ref="E77:O77" si="19">SUM(E76:L76)</f>
        <v>37664.158442952605</v>
      </c>
      <c r="F77" s="1">
        <f t="shared" si="19"/>
        <v>36567.144119371471</v>
      </c>
      <c r="G77" s="1">
        <f t="shared" si="19"/>
        <v>35502.081669292689</v>
      </c>
      <c r="H77" s="1">
        <f t="shared" si="19"/>
        <v>34468.040455623974</v>
      </c>
      <c r="I77" s="1">
        <f t="shared" si="19"/>
        <v>33464.116947207738</v>
      </c>
      <c r="J77" s="1">
        <f t="shared" si="19"/>
        <v>32489.433929327904</v>
      </c>
      <c r="K77" s="1">
        <f t="shared" si="19"/>
        <v>31543.139737211557</v>
      </c>
      <c r="L77" s="1">
        <f t="shared" si="19"/>
        <v>30624.407511855879</v>
      </c>
      <c r="M77" s="1">
        <f t="shared" si="19"/>
        <v>29732.434477529983</v>
      </c>
      <c r="N77" s="1">
        <f t="shared" si="19"/>
        <v>28866.441240320371</v>
      </c>
      <c r="O77" s="1">
        <f t="shared" si="19"/>
        <v>28025.671107107159</v>
      </c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9"/>
  <sheetViews>
    <sheetView topLeftCell="A13" zoomScaleNormal="10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79">
        <v>40</v>
      </c>
      <c r="E9" s="79">
        <v>40</v>
      </c>
      <c r="F9" s="79">
        <v>40</v>
      </c>
      <c r="G9" s="79">
        <v>40</v>
      </c>
      <c r="H9" s="79">
        <v>40</v>
      </c>
      <c r="I9" s="79">
        <v>40</v>
      </c>
      <c r="J9" s="79">
        <v>40</v>
      </c>
      <c r="K9" s="79">
        <v>40</v>
      </c>
      <c r="L9" s="79">
        <v>40</v>
      </c>
      <c r="M9" s="79">
        <v>40</v>
      </c>
      <c r="N9" s="79">
        <v>40</v>
      </c>
      <c r="O9" s="79">
        <v>40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16.600000000000001</v>
      </c>
      <c r="E11" s="83">
        <v>16.600000000000001</v>
      </c>
      <c r="F11" s="83">
        <v>16.600000000000001</v>
      </c>
      <c r="G11" s="83">
        <v>16.600000000000001</v>
      </c>
      <c r="H11" s="83">
        <v>16.600000000000001</v>
      </c>
      <c r="I11" s="83">
        <v>16.600000000000001</v>
      </c>
      <c r="J11" s="83">
        <v>16.600000000000001</v>
      </c>
      <c r="K11" s="83">
        <v>16.600000000000001</v>
      </c>
      <c r="L11" s="83">
        <v>16.600000000000001</v>
      </c>
      <c r="M11" s="83">
        <v>16.600000000000001</v>
      </c>
      <c r="N11" s="83">
        <v>16.600000000000001</v>
      </c>
      <c r="O11" s="83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14018.651016219945</v>
      </c>
      <c r="E14" s="90">
        <v>13610.340792446548</v>
      </c>
      <c r="F14" s="90">
        <v>13213.923099462669</v>
      </c>
      <c r="G14" s="90">
        <v>12829.051552876379</v>
      </c>
      <c r="H14" s="94">
        <v>12455.389857161532</v>
      </c>
      <c r="I14" s="94">
        <v>12092.611511807312</v>
      </c>
      <c r="J14" s="94">
        <v>11740.399526026518</v>
      </c>
      <c r="K14" s="95">
        <v>11398.446141773318</v>
      </c>
      <c r="L14" s="95">
        <v>11066.452564828463</v>
      </c>
      <c r="M14" s="95">
        <v>10744.128703716955</v>
      </c>
      <c r="N14" s="95">
        <v>10431.192916230053</v>
      </c>
      <c r="O14" s="95">
        <v>10127.371763330149</v>
      </c>
    </row>
    <row r="15" spans="3:15" x14ac:dyDescent="0.25">
      <c r="C15" s="102" t="s">
        <v>89</v>
      </c>
      <c r="D15" s="79">
        <f>5*300+6*100</f>
        <v>2100</v>
      </c>
      <c r="E15" s="90">
        <f>D15*(1-$D$13)</f>
        <v>2037</v>
      </c>
      <c r="F15" s="90">
        <f t="shared" ref="F15:O15" si="0">E15*(1-$D$13)</f>
        <v>1975.8899999999999</v>
      </c>
      <c r="G15" s="90">
        <f t="shared" si="0"/>
        <v>1916.6132999999998</v>
      </c>
      <c r="H15" s="94">
        <f t="shared" si="0"/>
        <v>1859.1149009999997</v>
      </c>
      <c r="I15" s="94">
        <f t="shared" si="0"/>
        <v>1803.3414539699997</v>
      </c>
      <c r="J15" s="94">
        <f t="shared" si="0"/>
        <v>1749.2412103508998</v>
      </c>
      <c r="K15" s="95">
        <f t="shared" si="0"/>
        <v>1696.7639740403727</v>
      </c>
      <c r="L15" s="95">
        <f t="shared" si="0"/>
        <v>1645.8610548191614</v>
      </c>
      <c r="M15" s="95">
        <f t="shared" si="0"/>
        <v>1596.4852231745865</v>
      </c>
      <c r="N15" s="95">
        <f t="shared" si="0"/>
        <v>1548.5906664793488</v>
      </c>
      <c r="O15" s="95">
        <f t="shared" si="0"/>
        <v>1502.1329464849682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95">
        <f t="shared" si="1"/>
        <v>60292.597806671118</v>
      </c>
    </row>
    <row r="19" spans="3:15" x14ac:dyDescent="0.25">
      <c r="C19" s="109" t="s">
        <v>93</v>
      </c>
      <c r="D19" s="70">
        <f>D8+D14+D15+D16+D17-D18</f>
        <v>486391.72486652969</v>
      </c>
      <c r="E19" s="90">
        <f t="shared" ref="E19:O19" si="2">E8+E14+E15+E16+E17-E18</f>
        <v>470904.87435030623</v>
      </c>
      <c r="F19" s="90">
        <f t="shared" si="2"/>
        <v>505364.75275341794</v>
      </c>
      <c r="G19" s="90">
        <f t="shared" si="2"/>
        <v>491257.24593161239</v>
      </c>
      <c r="H19" s="94">
        <f t="shared" si="2"/>
        <v>478449.5681910537</v>
      </c>
      <c r="I19" s="94">
        <f t="shared" si="2"/>
        <v>463798.48409263202</v>
      </c>
      <c r="J19" s="94">
        <f t="shared" si="2"/>
        <v>450293.11989038019</v>
      </c>
      <c r="K19" s="95">
        <f t="shared" si="2"/>
        <v>437827.65618607675</v>
      </c>
      <c r="L19" s="95">
        <f t="shared" si="2"/>
        <v>426306.6004891342</v>
      </c>
      <c r="M19" s="95">
        <f t="shared" si="2"/>
        <v>415643.76195702824</v>
      </c>
      <c r="N19" s="95">
        <f t="shared" si="2"/>
        <v>405761.32844514848</v>
      </c>
      <c r="O19" s="95">
        <f t="shared" si="2"/>
        <v>396589.03564144025</v>
      </c>
    </row>
    <row r="22" spans="3:15" x14ac:dyDescent="0.25">
      <c r="C22" s="131" t="s">
        <v>387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45</v>
      </c>
      <c r="D24" s="70">
        <v>532285.71428571432</v>
      </c>
      <c r="E24" s="87">
        <v>534885.71428571432</v>
      </c>
      <c r="F24" s="87">
        <v>537537.71428571432</v>
      </c>
      <c r="G24" s="87">
        <v>540242.75428571436</v>
      </c>
      <c r="H24" s="88">
        <v>543001.89508571429</v>
      </c>
      <c r="I24" s="88">
        <v>545816.2187017143</v>
      </c>
      <c r="J24" s="88">
        <v>548686.82879003428</v>
      </c>
      <c r="K24" s="89">
        <v>551614.85108012066</v>
      </c>
      <c r="L24" s="89">
        <v>554601.43381600874</v>
      </c>
      <c r="M24" s="89">
        <v>557647.74820661463</v>
      </c>
      <c r="N24" s="89">
        <v>560754.9888850326</v>
      </c>
      <c r="O24" s="107">
        <v>563924.374377019</v>
      </c>
    </row>
    <row r="25" spans="3:15" x14ac:dyDescent="0.25">
      <c r="C25" s="102" t="s">
        <v>23</v>
      </c>
      <c r="D25" s="117">
        <v>53228.571428571435</v>
      </c>
      <c r="E25" s="76">
        <v>53488.571428571435</v>
      </c>
      <c r="F25" s="76">
        <v>53753.771428571432</v>
      </c>
      <c r="G25" s="76">
        <v>54024.27542857144</v>
      </c>
      <c r="H25" s="77">
        <v>54300.189508571435</v>
      </c>
      <c r="I25" s="77">
        <v>54581.621870171432</v>
      </c>
      <c r="J25" s="77">
        <v>54868.682879003434</v>
      </c>
      <c r="K25" s="78">
        <v>55161.485108012072</v>
      </c>
      <c r="L25" s="78">
        <v>55460.143381600879</v>
      </c>
      <c r="M25" s="78">
        <v>55764.774820661463</v>
      </c>
      <c r="N25" s="78">
        <v>56075.498888503265</v>
      </c>
      <c r="O25" s="104">
        <v>56392.437437701905</v>
      </c>
    </row>
    <row r="26" spans="3:15" x14ac:dyDescent="0.25">
      <c r="C26" s="102" t="s">
        <v>47</v>
      </c>
      <c r="D26" s="93">
        <v>585514.2857142858</v>
      </c>
      <c r="E26" s="71">
        <v>588374.2857142858</v>
      </c>
      <c r="F26" s="71">
        <v>591291.48571428575</v>
      </c>
      <c r="G26" s="135">
        <v>594267.02971428575</v>
      </c>
      <c r="H26" s="72">
        <v>597302.0845942857</v>
      </c>
      <c r="I26" s="72">
        <v>600397.8405718857</v>
      </c>
      <c r="J26" s="72">
        <v>603555.51166903775</v>
      </c>
      <c r="K26" s="73">
        <v>606776.33618813276</v>
      </c>
      <c r="L26" s="73">
        <v>610061.57719760959</v>
      </c>
      <c r="M26" s="73">
        <v>613412.52302727615</v>
      </c>
      <c r="N26" s="73">
        <v>616830.48777353589</v>
      </c>
      <c r="O26" s="103">
        <v>620316.81181472086</v>
      </c>
    </row>
    <row r="27" spans="3:15" x14ac:dyDescent="0.25">
      <c r="C27" s="102" t="s">
        <v>84</v>
      </c>
      <c r="D27" s="79">
        <v>40</v>
      </c>
      <c r="E27" s="79">
        <v>40</v>
      </c>
      <c r="F27" s="79">
        <v>40</v>
      </c>
      <c r="G27" s="79">
        <v>40</v>
      </c>
      <c r="H27" s="79">
        <v>40</v>
      </c>
      <c r="I27" s="79">
        <v>40</v>
      </c>
      <c r="J27" s="79">
        <v>40</v>
      </c>
      <c r="K27" s="79">
        <v>40</v>
      </c>
      <c r="L27" s="79">
        <v>40</v>
      </c>
      <c r="M27" s="79">
        <v>40</v>
      </c>
      <c r="N27" s="79">
        <v>40</v>
      </c>
      <c r="O27" s="79">
        <v>40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92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51725.444261654913</v>
      </c>
      <c r="E32" s="71">
        <v>50218.877923936816</v>
      </c>
      <c r="F32" s="71">
        <v>48756.192159161954</v>
      </c>
      <c r="G32" s="80">
        <v>47336.10889239025</v>
      </c>
      <c r="H32" s="72">
        <v>45957.387274165296</v>
      </c>
      <c r="I32" s="72">
        <v>44618.822596276987</v>
      </c>
      <c r="J32" s="72">
        <v>43319.245239103875</v>
      </c>
      <c r="K32" s="73">
        <v>42057.519649615409</v>
      </c>
      <c r="L32" s="73">
        <v>40832.543349141168</v>
      </c>
      <c r="M32" s="73">
        <v>39643.24597003997</v>
      </c>
      <c r="N32" s="73">
        <v>38488.588320427152</v>
      </c>
      <c r="O32" s="103">
        <v>37367.561476142866</v>
      </c>
    </row>
    <row r="33" spans="3:15" x14ac:dyDescent="0.25">
      <c r="C33" s="102" t="s">
        <v>89</v>
      </c>
      <c r="D33" s="70">
        <f>12*600+11*1200</f>
        <v>20400</v>
      </c>
      <c r="E33" s="71">
        <f>D33*(1-$D$31)</f>
        <v>19788</v>
      </c>
      <c r="F33" s="71">
        <f t="shared" ref="F33:O33" si="3">E33*(1-$D$31)</f>
        <v>19194.36</v>
      </c>
      <c r="G33" s="80">
        <f t="shared" si="3"/>
        <v>18618.529200000001</v>
      </c>
      <c r="H33" s="72">
        <f t="shared" si="3"/>
        <v>18059.973323999999</v>
      </c>
      <c r="I33" s="72">
        <f t="shared" si="3"/>
        <v>17518.174124279998</v>
      </c>
      <c r="J33" s="72">
        <f t="shared" si="3"/>
        <v>16992.628900551597</v>
      </c>
      <c r="K33" s="73">
        <f t="shared" si="3"/>
        <v>16482.850033535047</v>
      </c>
      <c r="L33" s="73">
        <f t="shared" si="3"/>
        <v>15988.364532528996</v>
      </c>
      <c r="M33" s="73">
        <f t="shared" si="3"/>
        <v>15508.713596553125</v>
      </c>
      <c r="N33" s="73">
        <f t="shared" si="3"/>
        <v>15043.452188656531</v>
      </c>
      <c r="O33" s="103">
        <f t="shared" si="3"/>
        <v>14592.148622996834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186300</v>
      </c>
      <c r="E36" s="71">
        <f t="shared" ref="E36:O36" si="5">0.35*E24</f>
        <v>187210</v>
      </c>
      <c r="F36" s="71">
        <f t="shared" si="5"/>
        <v>188138.2</v>
      </c>
      <c r="G36" s="80">
        <f t="shared" si="5"/>
        <v>189084.96400000001</v>
      </c>
      <c r="H36" s="72">
        <f t="shared" si="5"/>
        <v>190050.66327999998</v>
      </c>
      <c r="I36" s="72">
        <f t="shared" si="5"/>
        <v>191035.6765456</v>
      </c>
      <c r="J36" s="72">
        <f t="shared" si="5"/>
        <v>192040.39007651198</v>
      </c>
      <c r="K36" s="73">
        <f t="shared" si="5"/>
        <v>193065.19787804221</v>
      </c>
      <c r="L36" s="73">
        <f t="shared" si="5"/>
        <v>194110.50183560303</v>
      </c>
      <c r="M36" s="73">
        <f t="shared" si="5"/>
        <v>195176.71187231512</v>
      </c>
      <c r="N36" s="73">
        <f t="shared" si="5"/>
        <v>196264.24610976139</v>
      </c>
      <c r="O36" s="103">
        <f t="shared" si="5"/>
        <v>197373.53103195663</v>
      </c>
    </row>
    <row r="37" spans="3:15" x14ac:dyDescent="0.25">
      <c r="C37" s="109" t="s">
        <v>93</v>
      </c>
      <c r="D37" s="79">
        <f>D26+D32+D33+D34-D36</f>
        <v>500260.86179682682</v>
      </c>
      <c r="E37" s="71">
        <f t="shared" ref="E37:O37" si="6">E26+E32+E33+E34-E36</f>
        <v>499249.93239636451</v>
      </c>
      <c r="F37" s="71">
        <f t="shared" si="6"/>
        <v>498364.77841533296</v>
      </c>
      <c r="G37" s="80">
        <f t="shared" si="6"/>
        <v>497603.63637161325</v>
      </c>
      <c r="H37" s="72">
        <f t="shared" si="6"/>
        <v>496964.83294637071</v>
      </c>
      <c r="I37" s="72">
        <f t="shared" si="6"/>
        <v>493641.26358909957</v>
      </c>
      <c r="J37" s="72">
        <f t="shared" si="6"/>
        <v>490518.66343690152</v>
      </c>
      <c r="K37" s="73">
        <f t="shared" si="6"/>
        <v>487593.23867122654</v>
      </c>
      <c r="L37" s="73">
        <f t="shared" si="6"/>
        <v>484861.34787628893</v>
      </c>
      <c r="M37" s="73">
        <f t="shared" si="6"/>
        <v>482319.49841691053</v>
      </c>
      <c r="N37" s="73">
        <f t="shared" si="6"/>
        <v>479964.34293884004</v>
      </c>
      <c r="O37" s="103">
        <f t="shared" si="6"/>
        <v>477792.67598829896</v>
      </c>
    </row>
    <row r="39" spans="3:15" x14ac:dyDescent="0.25">
      <c r="C39" t="s">
        <v>335</v>
      </c>
      <c r="D39" s="30">
        <f>D19-D37</f>
        <v>-13869.136930297129</v>
      </c>
      <c r="E39" s="30">
        <f t="shared" ref="E39:O39" si="7">E19-E37</f>
        <v>-28345.058046058286</v>
      </c>
      <c r="F39" s="30">
        <f t="shared" si="7"/>
        <v>6999.9743380849832</v>
      </c>
      <c r="G39" s="30">
        <f t="shared" si="7"/>
        <v>-6346.3904400008614</v>
      </c>
      <c r="H39" s="30">
        <f t="shared" si="7"/>
        <v>-18515.26475531701</v>
      </c>
      <c r="I39" s="30">
        <f t="shared" si="7"/>
        <v>-29842.779496467556</v>
      </c>
      <c r="J39" s="30">
        <f t="shared" si="7"/>
        <v>-40225.543546521338</v>
      </c>
      <c r="K39" s="30">
        <f t="shared" si="7"/>
        <v>-49765.582485149789</v>
      </c>
      <c r="L39" s="30">
        <f t="shared" si="7"/>
        <v>-58554.747387154726</v>
      </c>
      <c r="M39" s="30">
        <f t="shared" si="7"/>
        <v>-66675.73645988229</v>
      </c>
      <c r="N39" s="30">
        <f t="shared" si="7"/>
        <v>-74203.01449369156</v>
      </c>
      <c r="O39" s="30">
        <f t="shared" si="7"/>
        <v>-81203.640346858709</v>
      </c>
    </row>
    <row r="59" spans="3:26" x14ac:dyDescent="0.25"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>
        <v>2027</v>
      </c>
      <c r="M59">
        <v>2028</v>
      </c>
      <c r="N59">
        <v>2029</v>
      </c>
      <c r="O59">
        <v>2030</v>
      </c>
      <c r="P59">
        <v>2031</v>
      </c>
      <c r="Q59">
        <v>2032</v>
      </c>
      <c r="R59">
        <v>2033</v>
      </c>
      <c r="S59">
        <v>2034</v>
      </c>
      <c r="T59">
        <v>2035</v>
      </c>
      <c r="U59">
        <v>2036</v>
      </c>
      <c r="V59">
        <v>2037</v>
      </c>
      <c r="W59">
        <v>2038</v>
      </c>
      <c r="X59">
        <v>2039</v>
      </c>
      <c r="Y59">
        <v>2040</v>
      </c>
      <c r="Z59">
        <v>2041</v>
      </c>
    </row>
    <row r="60" spans="3:26" x14ac:dyDescent="0.25">
      <c r="C60" t="s">
        <v>98</v>
      </c>
      <c r="D60">
        <f>40*365</f>
        <v>14600</v>
      </c>
      <c r="E60">
        <f t="shared" ref="E60:Z60" si="8">40*365</f>
        <v>14600</v>
      </c>
      <c r="F60">
        <f t="shared" si="8"/>
        <v>14600</v>
      </c>
      <c r="G60">
        <f t="shared" si="8"/>
        <v>14600</v>
      </c>
      <c r="H60">
        <f t="shared" si="8"/>
        <v>14600</v>
      </c>
      <c r="I60">
        <f t="shared" si="8"/>
        <v>14600</v>
      </c>
      <c r="J60">
        <f t="shared" si="8"/>
        <v>14600</v>
      </c>
      <c r="K60">
        <f t="shared" si="8"/>
        <v>14600</v>
      </c>
      <c r="L60">
        <f t="shared" si="8"/>
        <v>14600</v>
      </c>
      <c r="M60">
        <f t="shared" si="8"/>
        <v>14600</v>
      </c>
      <c r="N60">
        <f t="shared" si="8"/>
        <v>14600</v>
      </c>
      <c r="O60">
        <f t="shared" si="8"/>
        <v>14600</v>
      </c>
      <c r="P60">
        <f t="shared" si="8"/>
        <v>14600</v>
      </c>
      <c r="Q60">
        <f t="shared" si="8"/>
        <v>14600</v>
      </c>
      <c r="R60">
        <f t="shared" si="8"/>
        <v>14600</v>
      </c>
      <c r="S60">
        <f t="shared" si="8"/>
        <v>14600</v>
      </c>
      <c r="T60">
        <f t="shared" si="8"/>
        <v>14600</v>
      </c>
      <c r="U60">
        <f t="shared" si="8"/>
        <v>14600</v>
      </c>
      <c r="V60">
        <f t="shared" si="8"/>
        <v>14600</v>
      </c>
      <c r="W60">
        <f t="shared" si="8"/>
        <v>14600</v>
      </c>
      <c r="X60">
        <f t="shared" si="8"/>
        <v>14600</v>
      </c>
      <c r="Y60">
        <f t="shared" si="8"/>
        <v>14600</v>
      </c>
      <c r="Z60">
        <f t="shared" si="8"/>
        <v>14600</v>
      </c>
    </row>
    <row r="61" spans="3:26" x14ac:dyDescent="0.25">
      <c r="C61" t="s">
        <v>99</v>
      </c>
      <c r="D61" s="30">
        <f>($D$11/100)*D60</f>
        <v>2423.6</v>
      </c>
      <c r="E61" s="30">
        <f t="shared" ref="E61:Z61" si="9">($D$11/100)*E60</f>
        <v>2423.6</v>
      </c>
      <c r="F61" s="30">
        <f t="shared" si="9"/>
        <v>2423.6</v>
      </c>
      <c r="G61" s="30">
        <f t="shared" si="9"/>
        <v>2423.6</v>
      </c>
      <c r="H61" s="30">
        <f t="shared" si="9"/>
        <v>2423.6</v>
      </c>
      <c r="I61" s="30">
        <f t="shared" si="9"/>
        <v>2423.6</v>
      </c>
      <c r="J61" s="30">
        <f t="shared" si="9"/>
        <v>2423.6</v>
      </c>
      <c r="K61" s="30">
        <f t="shared" si="9"/>
        <v>2423.6</v>
      </c>
      <c r="L61" s="30">
        <f t="shared" si="9"/>
        <v>2423.6</v>
      </c>
      <c r="M61" s="30">
        <f t="shared" si="9"/>
        <v>2423.6</v>
      </c>
      <c r="N61" s="30">
        <f t="shared" si="9"/>
        <v>2423.6</v>
      </c>
      <c r="O61" s="30">
        <f t="shared" si="9"/>
        <v>2423.6</v>
      </c>
      <c r="P61" s="30">
        <f t="shared" si="9"/>
        <v>2423.6</v>
      </c>
      <c r="Q61" s="30">
        <f t="shared" si="9"/>
        <v>2423.6</v>
      </c>
      <c r="R61" s="30">
        <f t="shared" si="9"/>
        <v>2423.6</v>
      </c>
      <c r="S61" s="30">
        <f t="shared" si="9"/>
        <v>2423.6</v>
      </c>
      <c r="T61" s="30">
        <f t="shared" si="9"/>
        <v>2423.6</v>
      </c>
      <c r="U61" s="30">
        <f t="shared" si="9"/>
        <v>2423.6</v>
      </c>
      <c r="V61" s="30">
        <f t="shared" si="9"/>
        <v>2423.6</v>
      </c>
      <c r="W61" s="30">
        <f t="shared" si="9"/>
        <v>2423.6</v>
      </c>
      <c r="X61" s="30">
        <f t="shared" si="9"/>
        <v>2423.6</v>
      </c>
      <c r="Y61" s="30">
        <f t="shared" si="9"/>
        <v>2423.6</v>
      </c>
      <c r="Z61" s="30">
        <f t="shared" si="9"/>
        <v>2423.6</v>
      </c>
    </row>
    <row r="62" spans="3:26" x14ac:dyDescent="0.25">
      <c r="C62" t="s">
        <v>101</v>
      </c>
      <c r="D62" s="1">
        <f>D61*$D$12</f>
        <v>1938.88</v>
      </c>
      <c r="E62" s="1">
        <f t="shared" ref="E62:Z62" si="10">E61*$D$12</f>
        <v>1938.88</v>
      </c>
      <c r="F62" s="1">
        <f t="shared" si="10"/>
        <v>1938.88</v>
      </c>
      <c r="G62" s="1">
        <f t="shared" si="10"/>
        <v>1938.88</v>
      </c>
      <c r="H62" s="1">
        <f t="shared" si="10"/>
        <v>1938.88</v>
      </c>
      <c r="I62" s="1">
        <f t="shared" si="10"/>
        <v>1938.88</v>
      </c>
      <c r="J62" s="1">
        <f t="shared" si="10"/>
        <v>1938.88</v>
      </c>
      <c r="K62" s="1">
        <f t="shared" si="10"/>
        <v>1938.88</v>
      </c>
      <c r="L62" s="1">
        <f t="shared" si="10"/>
        <v>1938.88</v>
      </c>
      <c r="M62" s="1">
        <f t="shared" si="10"/>
        <v>1938.88</v>
      </c>
      <c r="N62" s="1">
        <f t="shared" si="10"/>
        <v>1938.88</v>
      </c>
      <c r="O62" s="1">
        <f t="shared" si="10"/>
        <v>1938.88</v>
      </c>
      <c r="P62" s="1">
        <f t="shared" si="10"/>
        <v>1938.88</v>
      </c>
      <c r="Q62" s="1">
        <f t="shared" si="10"/>
        <v>1938.88</v>
      </c>
      <c r="R62" s="1">
        <f t="shared" si="10"/>
        <v>1938.88</v>
      </c>
      <c r="S62" s="1">
        <f t="shared" si="10"/>
        <v>1938.88</v>
      </c>
      <c r="T62" s="1">
        <f t="shared" si="10"/>
        <v>1938.88</v>
      </c>
      <c r="U62" s="1">
        <f t="shared" si="10"/>
        <v>1938.88</v>
      </c>
      <c r="V62" s="1">
        <f t="shared" si="10"/>
        <v>1938.88</v>
      </c>
      <c r="W62" s="1">
        <f t="shared" si="10"/>
        <v>1938.88</v>
      </c>
      <c r="X62" s="1">
        <f t="shared" si="10"/>
        <v>1938.88</v>
      </c>
      <c r="Y62" s="1">
        <f t="shared" si="10"/>
        <v>1938.88</v>
      </c>
      <c r="Z62" s="1">
        <f t="shared" si="10"/>
        <v>1938.88</v>
      </c>
    </row>
    <row r="63" spans="3:26" x14ac:dyDescent="0.25">
      <c r="C63" t="s">
        <v>100</v>
      </c>
      <c r="D63">
        <f>D62/(1+$D$13)^(D59-2019)</f>
        <v>1938.88</v>
      </c>
      <c r="E63">
        <f t="shared" ref="E63:Z63" si="11">E62/(1+$D$13)^(E59-2019)</f>
        <v>1882.4077669902913</v>
      </c>
      <c r="F63">
        <f t="shared" si="11"/>
        <v>1827.5803563012539</v>
      </c>
      <c r="G63">
        <f t="shared" si="11"/>
        <v>1774.3498604866541</v>
      </c>
      <c r="H63">
        <f t="shared" si="11"/>
        <v>1722.6697674627712</v>
      </c>
      <c r="I63">
        <f t="shared" si="11"/>
        <v>1672.4949198667682</v>
      </c>
      <c r="J63">
        <f t="shared" si="11"/>
        <v>1623.781475598804</v>
      </c>
      <c r="K63">
        <f t="shared" si="11"/>
        <v>1576.4868695134019</v>
      </c>
      <c r="L63">
        <f t="shared" si="11"/>
        <v>1530.5697762266038</v>
      </c>
      <c r="M63">
        <f t="shared" si="11"/>
        <v>1485.9900740064115</v>
      </c>
      <c r="N63">
        <f t="shared" si="11"/>
        <v>1442.7088097149626</v>
      </c>
      <c r="O63">
        <f t="shared" si="11"/>
        <v>1400.6881647718083</v>
      </c>
      <c r="P63">
        <f t="shared" si="11"/>
        <v>1359.891422108552</v>
      </c>
      <c r="Q63">
        <f t="shared" si="11"/>
        <v>1320.2829340859728</v>
      </c>
      <c r="R63">
        <f t="shared" si="11"/>
        <v>1281.8280913456047</v>
      </c>
      <c r="S63">
        <f t="shared" si="11"/>
        <v>1244.493292568548</v>
      </c>
      <c r="T63">
        <f t="shared" si="11"/>
        <v>1208.2459151150954</v>
      </c>
      <c r="U63">
        <f t="shared" si="11"/>
        <v>1173.05428651951</v>
      </c>
      <c r="V63">
        <f t="shared" si="11"/>
        <v>1138.8876568150583</v>
      </c>
      <c r="W63">
        <f t="shared" si="11"/>
        <v>1105.7161716651053</v>
      </c>
      <c r="X63">
        <f t="shared" si="11"/>
        <v>1073.5108462768012</v>
      </c>
      <c r="Y63">
        <f t="shared" si="11"/>
        <v>1042.2435400745644</v>
      </c>
      <c r="Z63">
        <f t="shared" si="11"/>
        <v>1011.8869321112275</v>
      </c>
    </row>
    <row r="64" spans="3:26" x14ac:dyDescent="0.25">
      <c r="C64" t="s">
        <v>102</v>
      </c>
      <c r="D64">
        <f>SUM(D63:K63)</f>
        <v>14018.651016219945</v>
      </c>
      <c r="E64">
        <f>SUM(E63:L63)</f>
        <v>13610.340792446548</v>
      </c>
      <c r="F64">
        <f t="shared" ref="F64:O64" si="12">SUM(F63:M63)</f>
        <v>13213.923099462669</v>
      </c>
      <c r="G64">
        <f t="shared" si="12"/>
        <v>12829.051552876379</v>
      </c>
      <c r="H64">
        <f t="shared" si="12"/>
        <v>12455.389857161532</v>
      </c>
      <c r="I64">
        <f t="shared" si="12"/>
        <v>12092.611511807312</v>
      </c>
      <c r="J64">
        <f t="shared" si="12"/>
        <v>11740.399526026518</v>
      </c>
      <c r="K64">
        <f t="shared" si="12"/>
        <v>11398.446141773318</v>
      </c>
      <c r="L64">
        <f t="shared" si="12"/>
        <v>11066.452564828463</v>
      </c>
      <c r="M64">
        <f t="shared" si="12"/>
        <v>10744.128703716955</v>
      </c>
      <c r="N64">
        <f t="shared" si="12"/>
        <v>10431.192916230053</v>
      </c>
      <c r="O64">
        <f t="shared" si="12"/>
        <v>10127.371763330149</v>
      </c>
    </row>
    <row r="66" spans="3:26" x14ac:dyDescent="0.25">
      <c r="C66" t="s">
        <v>103</v>
      </c>
      <c r="D66">
        <f>27*300+27*100</f>
        <v>10800</v>
      </c>
    </row>
    <row r="70" spans="3:26" x14ac:dyDescent="0.25">
      <c r="C70" t="s">
        <v>104</v>
      </c>
      <c r="D70">
        <v>4300</v>
      </c>
      <c r="E70">
        <v>4300</v>
      </c>
      <c r="F70">
        <v>4300</v>
      </c>
      <c r="G70">
        <v>4300</v>
      </c>
      <c r="H70">
        <v>4300</v>
      </c>
      <c r="I70">
        <v>4300</v>
      </c>
      <c r="J70">
        <v>4300</v>
      </c>
      <c r="K70">
        <v>4300</v>
      </c>
      <c r="L70">
        <v>4300</v>
      </c>
      <c r="M70">
        <v>4300</v>
      </c>
      <c r="N70">
        <v>4300</v>
      </c>
      <c r="O70">
        <v>4300</v>
      </c>
      <c r="P70">
        <v>4300</v>
      </c>
      <c r="Q70">
        <v>4300</v>
      </c>
      <c r="R70">
        <v>4300</v>
      </c>
      <c r="S70">
        <v>4300</v>
      </c>
      <c r="T70">
        <v>4300</v>
      </c>
      <c r="U70">
        <v>4300</v>
      </c>
      <c r="V70">
        <v>4300</v>
      </c>
      <c r="W70">
        <v>4300</v>
      </c>
      <c r="X70">
        <v>4300</v>
      </c>
      <c r="Y70">
        <v>4300</v>
      </c>
      <c r="Z70">
        <v>4300</v>
      </c>
    </row>
    <row r="71" spans="3:26" x14ac:dyDescent="0.25">
      <c r="C71" t="s">
        <v>105</v>
      </c>
      <c r="D71">
        <f>D70/(1+0.03)^(D59-2019)</f>
        <v>4300</v>
      </c>
      <c r="E71">
        <f t="shared" ref="E71:O71" si="13">E70/(1+0.03)^(E59-2019)</f>
        <v>4174.7572815533977</v>
      </c>
      <c r="F71">
        <f t="shared" si="13"/>
        <v>4053.162409275144</v>
      </c>
      <c r="G71">
        <f t="shared" si="13"/>
        <v>3935.1091352185863</v>
      </c>
      <c r="H71">
        <f t="shared" si="13"/>
        <v>3820.4943060374626</v>
      </c>
      <c r="I71">
        <f t="shared" si="13"/>
        <v>3709.2177728519055</v>
      </c>
      <c r="J71">
        <f t="shared" si="13"/>
        <v>3601.1823037397139</v>
      </c>
      <c r="K71">
        <f t="shared" si="13"/>
        <v>3496.2934987764211</v>
      </c>
      <c r="L71">
        <f t="shared" si="13"/>
        <v>3394.4597075499237</v>
      </c>
      <c r="M71">
        <f t="shared" si="13"/>
        <v>3295.5919490775959</v>
      </c>
      <c r="N71">
        <f t="shared" si="13"/>
        <v>3199.6038340559185</v>
      </c>
      <c r="O71">
        <f t="shared" si="13"/>
        <v>3106.4114893746778</v>
      </c>
    </row>
    <row r="72" spans="3:26" x14ac:dyDescent="0.25">
      <c r="C72" t="s">
        <v>106</v>
      </c>
      <c r="D72" s="145">
        <f>SUM(D71:K71)</f>
        <v>31090.216707452633</v>
      </c>
      <c r="E72" s="145">
        <f>SUM(E71:L71)</f>
        <v>30184.676415002552</v>
      </c>
      <c r="F72" s="145">
        <f>SUM(F71:M71)</f>
        <v>29305.511082526751</v>
      </c>
      <c r="G72" s="145">
        <f t="shared" ref="G72:O72" si="14">SUM(G71:N71)</f>
        <v>28451.952507307524</v>
      </c>
      <c r="H72" s="145">
        <f t="shared" si="14"/>
        <v>27623.254861463614</v>
      </c>
      <c r="I72" s="145">
        <f t="shared" si="14"/>
        <v>23802.760555426157</v>
      </c>
      <c r="J72" s="145">
        <f t="shared" si="14"/>
        <v>20093.542782574252</v>
      </c>
      <c r="K72" s="145">
        <f t="shared" si="14"/>
        <v>16492.360478834536</v>
      </c>
      <c r="L72" s="145">
        <f t="shared" si="14"/>
        <v>12996.066980058116</v>
      </c>
      <c r="M72" s="145">
        <f t="shared" si="14"/>
        <v>9601.6072725081922</v>
      </c>
      <c r="N72" s="145">
        <f t="shared" si="14"/>
        <v>6306.0153234305963</v>
      </c>
      <c r="O72" s="145">
        <f t="shared" si="14"/>
        <v>3106.4114893746778</v>
      </c>
    </row>
    <row r="75" spans="3:26" x14ac:dyDescent="0.25">
      <c r="C75" t="s">
        <v>98</v>
      </c>
      <c r="D75">
        <f>D60</f>
        <v>14600</v>
      </c>
      <c r="E75">
        <f t="shared" ref="E75:Z75" si="15">E60</f>
        <v>14600</v>
      </c>
      <c r="F75">
        <f t="shared" si="15"/>
        <v>14600</v>
      </c>
      <c r="G75">
        <f t="shared" si="15"/>
        <v>14600</v>
      </c>
      <c r="H75">
        <f t="shared" si="15"/>
        <v>14600</v>
      </c>
      <c r="I75">
        <f t="shared" si="15"/>
        <v>14600</v>
      </c>
      <c r="J75">
        <f t="shared" si="15"/>
        <v>14600</v>
      </c>
      <c r="K75">
        <f t="shared" si="15"/>
        <v>14600</v>
      </c>
      <c r="L75">
        <f t="shared" si="15"/>
        <v>14600</v>
      </c>
      <c r="M75">
        <f t="shared" si="15"/>
        <v>14600</v>
      </c>
      <c r="N75">
        <f t="shared" si="15"/>
        <v>14600</v>
      </c>
      <c r="O75">
        <f t="shared" si="15"/>
        <v>14600</v>
      </c>
      <c r="P75">
        <f t="shared" si="15"/>
        <v>14600</v>
      </c>
      <c r="Q75">
        <f t="shared" si="15"/>
        <v>14600</v>
      </c>
      <c r="R75">
        <f t="shared" si="15"/>
        <v>14600</v>
      </c>
      <c r="S75">
        <f t="shared" si="15"/>
        <v>14600</v>
      </c>
      <c r="T75">
        <f t="shared" si="15"/>
        <v>14600</v>
      </c>
      <c r="U75">
        <f t="shared" si="15"/>
        <v>14600</v>
      </c>
      <c r="V75">
        <f t="shared" si="15"/>
        <v>14600</v>
      </c>
      <c r="W75">
        <f t="shared" si="15"/>
        <v>14600</v>
      </c>
      <c r="X75">
        <f t="shared" si="15"/>
        <v>14600</v>
      </c>
      <c r="Y75">
        <f t="shared" si="15"/>
        <v>14600</v>
      </c>
      <c r="Z75">
        <f t="shared" si="15"/>
        <v>14600</v>
      </c>
    </row>
    <row r="76" spans="3:26" x14ac:dyDescent="0.25">
      <c r="C76" t="s">
        <v>107</v>
      </c>
      <c r="D76" s="30">
        <f>($D$29/100)*D75</f>
        <v>1022.0000000000001</v>
      </c>
      <c r="E76" s="30">
        <f t="shared" ref="E76:Z76" si="16">($D$29/100)*E75</f>
        <v>1022.0000000000001</v>
      </c>
      <c r="F76" s="30">
        <f t="shared" si="16"/>
        <v>1022.0000000000001</v>
      </c>
      <c r="G76" s="30">
        <f t="shared" si="16"/>
        <v>1022.0000000000001</v>
      </c>
      <c r="H76" s="30">
        <f t="shared" si="16"/>
        <v>1022.0000000000001</v>
      </c>
      <c r="I76" s="30">
        <f t="shared" si="16"/>
        <v>1022.0000000000001</v>
      </c>
      <c r="J76" s="30">
        <f t="shared" si="16"/>
        <v>1022.0000000000001</v>
      </c>
      <c r="K76" s="30">
        <f t="shared" si="16"/>
        <v>1022.0000000000001</v>
      </c>
      <c r="L76" s="30">
        <f t="shared" si="16"/>
        <v>1022.0000000000001</v>
      </c>
      <c r="M76" s="30">
        <f t="shared" si="16"/>
        <v>1022.0000000000001</v>
      </c>
      <c r="N76" s="30">
        <f t="shared" si="16"/>
        <v>1022.0000000000001</v>
      </c>
      <c r="O76" s="30">
        <f t="shared" si="16"/>
        <v>1022.0000000000001</v>
      </c>
      <c r="P76" s="30">
        <f t="shared" si="16"/>
        <v>1022.0000000000001</v>
      </c>
      <c r="Q76" s="30">
        <f t="shared" si="16"/>
        <v>1022.0000000000001</v>
      </c>
      <c r="R76" s="30">
        <f t="shared" si="16"/>
        <v>1022.0000000000001</v>
      </c>
      <c r="S76" s="30">
        <f t="shared" si="16"/>
        <v>1022.0000000000001</v>
      </c>
      <c r="T76" s="30">
        <f t="shared" si="16"/>
        <v>1022.0000000000001</v>
      </c>
      <c r="U76" s="30">
        <f t="shared" si="16"/>
        <v>1022.0000000000001</v>
      </c>
      <c r="V76" s="30">
        <f t="shared" si="16"/>
        <v>1022.0000000000001</v>
      </c>
      <c r="W76" s="30">
        <f t="shared" si="16"/>
        <v>1022.0000000000001</v>
      </c>
      <c r="X76" s="30">
        <f t="shared" si="16"/>
        <v>1022.0000000000001</v>
      </c>
      <c r="Y76" s="30">
        <f t="shared" si="16"/>
        <v>1022.0000000000001</v>
      </c>
      <c r="Z76" s="30">
        <f t="shared" si="16"/>
        <v>1022.0000000000001</v>
      </c>
    </row>
    <row r="77" spans="3:26" x14ac:dyDescent="0.25">
      <c r="C77" t="s">
        <v>108</v>
      </c>
      <c r="D77">
        <f>D76*$D$30</f>
        <v>7154.0000000000009</v>
      </c>
      <c r="E77">
        <f t="shared" ref="E77:Z77" si="17">E76*$D$30</f>
        <v>7154.0000000000009</v>
      </c>
      <c r="F77">
        <f t="shared" si="17"/>
        <v>7154.0000000000009</v>
      </c>
      <c r="G77">
        <f t="shared" si="17"/>
        <v>7154.0000000000009</v>
      </c>
      <c r="H77">
        <f t="shared" si="17"/>
        <v>7154.0000000000009</v>
      </c>
      <c r="I77">
        <f t="shared" si="17"/>
        <v>7154.0000000000009</v>
      </c>
      <c r="J77">
        <f t="shared" si="17"/>
        <v>7154.0000000000009</v>
      </c>
      <c r="K77">
        <f t="shared" si="17"/>
        <v>7154.0000000000009</v>
      </c>
      <c r="L77">
        <f t="shared" si="17"/>
        <v>7154.0000000000009</v>
      </c>
      <c r="M77">
        <f t="shared" si="17"/>
        <v>7154.0000000000009</v>
      </c>
      <c r="N77">
        <f t="shared" si="17"/>
        <v>7154.0000000000009</v>
      </c>
      <c r="O77">
        <f t="shared" si="17"/>
        <v>7154.0000000000009</v>
      </c>
      <c r="P77">
        <f t="shared" si="17"/>
        <v>7154.0000000000009</v>
      </c>
      <c r="Q77">
        <f t="shared" si="17"/>
        <v>7154.0000000000009</v>
      </c>
      <c r="R77">
        <f t="shared" si="17"/>
        <v>7154.0000000000009</v>
      </c>
      <c r="S77">
        <f t="shared" si="17"/>
        <v>7154.0000000000009</v>
      </c>
      <c r="T77">
        <f t="shared" si="17"/>
        <v>7154.0000000000009</v>
      </c>
      <c r="U77">
        <f t="shared" si="17"/>
        <v>7154.0000000000009</v>
      </c>
      <c r="V77">
        <f t="shared" si="17"/>
        <v>7154.0000000000009</v>
      </c>
      <c r="W77">
        <f t="shared" si="17"/>
        <v>7154.0000000000009</v>
      </c>
      <c r="X77">
        <f t="shared" si="17"/>
        <v>7154.0000000000009</v>
      </c>
      <c r="Y77">
        <f t="shared" si="17"/>
        <v>7154.0000000000009</v>
      </c>
      <c r="Z77">
        <f t="shared" si="17"/>
        <v>7154.0000000000009</v>
      </c>
    </row>
    <row r="78" spans="3:26" x14ac:dyDescent="0.25">
      <c r="C78" t="s">
        <v>109</v>
      </c>
      <c r="D78">
        <f>D77/(1+$D$31)^(D59-2019)</f>
        <v>7154.0000000000009</v>
      </c>
      <c r="E78">
        <f t="shared" ref="E78:Z78" si="18">E77/(1+$D$31)^(E59-2019)</f>
        <v>6945.6310679611661</v>
      </c>
      <c r="F78">
        <f t="shared" si="18"/>
        <v>6743.3311339428801</v>
      </c>
      <c r="G78">
        <f t="shared" si="18"/>
        <v>6546.9234310125048</v>
      </c>
      <c r="H78">
        <f t="shared" si="18"/>
        <v>6356.2363407888397</v>
      </c>
      <c r="I78">
        <f t="shared" si="18"/>
        <v>6171.103243484311</v>
      </c>
      <c r="J78">
        <f t="shared" si="18"/>
        <v>5991.3623723148648</v>
      </c>
      <c r="K78">
        <f t="shared" si="18"/>
        <v>5816.8566721503539</v>
      </c>
      <c r="L78">
        <f t="shared" si="18"/>
        <v>5647.4336622818973</v>
      </c>
      <c r="M78">
        <f t="shared" si="18"/>
        <v>5482.9453031863077</v>
      </c>
      <c r="N78">
        <f t="shared" si="18"/>
        <v>5323.2478671711724</v>
      </c>
      <c r="O78">
        <f t="shared" si="18"/>
        <v>5168.2018127875463</v>
      </c>
      <c r="P78">
        <f t="shared" si="18"/>
        <v>5017.6716629005314</v>
      </c>
      <c r="Q78">
        <f t="shared" si="18"/>
        <v>4871.5258863111958</v>
      </c>
      <c r="R78">
        <f t="shared" si="18"/>
        <v>4729.6367828264029</v>
      </c>
      <c r="S78">
        <f t="shared" si="18"/>
        <v>4591.8803716761186</v>
      </c>
      <c r="T78">
        <f t="shared" si="18"/>
        <v>4458.1362831806991</v>
      </c>
      <c r="U78">
        <f t="shared" si="18"/>
        <v>4328.287653573494</v>
      </c>
      <c r="V78">
        <f t="shared" si="18"/>
        <v>4202.2210228868871</v>
      </c>
      <c r="W78">
        <f t="shared" si="18"/>
        <v>4079.8262358125121</v>
      </c>
      <c r="X78">
        <f t="shared" si="18"/>
        <v>3960.9963454490407</v>
      </c>
      <c r="Y78">
        <f t="shared" si="18"/>
        <v>3845.6275198534381</v>
      </c>
      <c r="Z78">
        <f t="shared" si="18"/>
        <v>3733.6189513140175</v>
      </c>
    </row>
    <row r="79" spans="3:26" x14ac:dyDescent="0.25">
      <c r="C79" t="s">
        <v>110</v>
      </c>
      <c r="D79" s="1">
        <f>SUM(D78:K78)</f>
        <v>51725.444261654913</v>
      </c>
      <c r="E79" s="1">
        <f t="shared" ref="E79:O79" si="19">SUM(E78:L78)</f>
        <v>50218.877923936816</v>
      </c>
      <c r="F79" s="1">
        <f t="shared" si="19"/>
        <v>48756.192159161954</v>
      </c>
      <c r="G79" s="1">
        <f t="shared" si="19"/>
        <v>47336.10889239025</v>
      </c>
      <c r="H79" s="1">
        <f t="shared" si="19"/>
        <v>45957.387274165296</v>
      </c>
      <c r="I79" s="1">
        <f t="shared" si="19"/>
        <v>44618.822596276987</v>
      </c>
      <c r="J79" s="1">
        <f t="shared" si="19"/>
        <v>43319.245239103875</v>
      </c>
      <c r="K79" s="1">
        <f t="shared" si="19"/>
        <v>42057.519649615409</v>
      </c>
      <c r="L79" s="1">
        <f t="shared" si="19"/>
        <v>40832.543349141168</v>
      </c>
      <c r="M79" s="1">
        <f t="shared" si="19"/>
        <v>39643.24597003997</v>
      </c>
      <c r="N79" s="1">
        <f t="shared" si="19"/>
        <v>38488.588320427152</v>
      </c>
      <c r="O79" s="1">
        <f t="shared" si="19"/>
        <v>37367.561476142866</v>
      </c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7"/>
  <sheetViews>
    <sheetView topLeftCell="A7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237"/>
      <c r="D5" s="238">
        <v>2019</v>
      </c>
      <c r="E5" s="239">
        <v>2020</v>
      </c>
      <c r="F5" s="239">
        <v>2021</v>
      </c>
      <c r="G5" s="239">
        <v>2022</v>
      </c>
      <c r="H5" s="240">
        <v>2023</v>
      </c>
      <c r="I5" s="240">
        <v>2024</v>
      </c>
      <c r="J5" s="240">
        <v>2025</v>
      </c>
      <c r="K5" s="241">
        <v>2026</v>
      </c>
      <c r="L5" s="241">
        <v>2027</v>
      </c>
      <c r="M5" s="241">
        <v>2028</v>
      </c>
      <c r="N5" s="241">
        <v>2029</v>
      </c>
      <c r="O5" s="242">
        <v>2030</v>
      </c>
    </row>
    <row r="6" spans="3:15" x14ac:dyDescent="0.25">
      <c r="C6" s="243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98">
        <v>401950.65204447415</v>
      </c>
    </row>
    <row r="7" spans="3:15" x14ac:dyDescent="0.25">
      <c r="C7" s="243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99">
        <v>40195.065204447419</v>
      </c>
    </row>
    <row r="8" spans="3:15" x14ac:dyDescent="0.25">
      <c r="C8" s="243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0">
        <v>442145.71724892157</v>
      </c>
    </row>
    <row r="9" spans="3:15" x14ac:dyDescent="0.25">
      <c r="C9" s="243" t="s">
        <v>84</v>
      </c>
      <c r="D9" s="79">
        <v>60</v>
      </c>
      <c r="E9" s="80">
        <v>60</v>
      </c>
      <c r="F9" s="80">
        <v>60</v>
      </c>
      <c r="G9" s="80">
        <v>60</v>
      </c>
      <c r="H9" s="81">
        <v>60</v>
      </c>
      <c r="I9" s="81">
        <v>60</v>
      </c>
      <c r="J9" s="81">
        <v>60</v>
      </c>
      <c r="K9" s="82">
        <v>60</v>
      </c>
      <c r="L9" s="82">
        <v>60</v>
      </c>
      <c r="M9" s="82">
        <v>60</v>
      </c>
      <c r="N9" s="82">
        <v>60</v>
      </c>
      <c r="O9" s="100">
        <v>60</v>
      </c>
    </row>
    <row r="10" spans="3:15" x14ac:dyDescent="0.25">
      <c r="C10" s="243" t="s">
        <v>94</v>
      </c>
      <c r="D10" s="79">
        <v>8</v>
      </c>
      <c r="E10" s="80">
        <v>8</v>
      </c>
      <c r="F10" s="80">
        <v>8</v>
      </c>
      <c r="G10" s="80">
        <v>8</v>
      </c>
      <c r="H10" s="81">
        <v>8</v>
      </c>
      <c r="I10" s="81">
        <v>8</v>
      </c>
      <c r="J10" s="81">
        <v>8</v>
      </c>
      <c r="K10" s="82">
        <v>8</v>
      </c>
      <c r="L10" s="82">
        <v>8</v>
      </c>
      <c r="M10" s="82">
        <v>8</v>
      </c>
      <c r="N10" s="82">
        <v>8</v>
      </c>
      <c r="O10" s="100">
        <v>8</v>
      </c>
    </row>
    <row r="11" spans="3:15" x14ac:dyDescent="0.25">
      <c r="C11" s="243" t="s">
        <v>85</v>
      </c>
      <c r="D11" s="83">
        <v>16.600000000000001</v>
      </c>
      <c r="E11" s="80">
        <v>16.600000000000001</v>
      </c>
      <c r="F11" s="80">
        <v>16.600000000000001</v>
      </c>
      <c r="G11" s="80">
        <v>16.600000000000001</v>
      </c>
      <c r="H11" s="81">
        <v>16.600000000000001</v>
      </c>
      <c r="I11" s="81">
        <v>16.600000000000001</v>
      </c>
      <c r="J11" s="81">
        <v>16.600000000000001</v>
      </c>
      <c r="K11" s="82">
        <v>16.600000000000001</v>
      </c>
      <c r="L11" s="82">
        <v>16.600000000000001</v>
      </c>
      <c r="M11" s="82">
        <v>16.600000000000001</v>
      </c>
      <c r="N11" s="82">
        <v>16.600000000000001</v>
      </c>
      <c r="O11" s="100">
        <v>16.600000000000001</v>
      </c>
    </row>
    <row r="12" spans="3:15" x14ac:dyDescent="0.25">
      <c r="C12" s="243" t="s">
        <v>86</v>
      </c>
      <c r="D12" s="83">
        <v>0.8</v>
      </c>
      <c r="E12" s="80">
        <v>0.8</v>
      </c>
      <c r="F12" s="80">
        <v>0.8</v>
      </c>
      <c r="G12" s="80">
        <v>0.8</v>
      </c>
      <c r="H12" s="81">
        <v>0.8</v>
      </c>
      <c r="I12" s="81">
        <v>0.8</v>
      </c>
      <c r="J12" s="81">
        <v>0.8</v>
      </c>
      <c r="K12" s="82">
        <v>0.8</v>
      </c>
      <c r="L12" s="82">
        <v>0.8</v>
      </c>
      <c r="M12" s="82">
        <v>0.8</v>
      </c>
      <c r="N12" s="82">
        <v>0.8</v>
      </c>
      <c r="O12" s="100">
        <v>0.8</v>
      </c>
    </row>
    <row r="13" spans="3:15" x14ac:dyDescent="0.25">
      <c r="C13" s="243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243" t="s">
        <v>88</v>
      </c>
      <c r="D14" s="79">
        <v>21027.976524329919</v>
      </c>
      <c r="E14" s="90">
        <v>20415.511188669825</v>
      </c>
      <c r="F14" s="90">
        <v>19820.884649194002</v>
      </c>
      <c r="G14" s="90">
        <v>19243.577329314568</v>
      </c>
      <c r="H14" s="94">
        <v>18683.084785742296</v>
      </c>
      <c r="I14" s="94">
        <v>18138.917267710971</v>
      </c>
      <c r="J14" s="94">
        <v>17610.599289039776</v>
      </c>
      <c r="K14" s="95">
        <v>17097.669212659977</v>
      </c>
      <c r="L14" s="95">
        <v>16599.678847242696</v>
      </c>
      <c r="M14" s="95">
        <v>16116.193055575433</v>
      </c>
      <c r="N14" s="95">
        <v>15646.789374345082</v>
      </c>
      <c r="O14" s="101">
        <v>15191.057644995224</v>
      </c>
    </row>
    <row r="15" spans="3:15" x14ac:dyDescent="0.25">
      <c r="C15" s="243" t="s">
        <v>89</v>
      </c>
      <c r="D15" s="79">
        <v>3300</v>
      </c>
      <c r="E15" s="90">
        <f>D15*(1-$D$13)</f>
        <v>3201</v>
      </c>
      <c r="F15" s="90">
        <f t="shared" ref="F15:O15" si="0">E15*(1-$D$13)</f>
        <v>3104.97</v>
      </c>
      <c r="G15" s="90">
        <f t="shared" si="0"/>
        <v>3011.8208999999997</v>
      </c>
      <c r="H15" s="94">
        <f t="shared" si="0"/>
        <v>2921.4662729999995</v>
      </c>
      <c r="I15" s="94">
        <f t="shared" si="0"/>
        <v>2833.8222848099995</v>
      </c>
      <c r="J15" s="94">
        <f t="shared" si="0"/>
        <v>2748.8076162656994</v>
      </c>
      <c r="K15" s="95">
        <f t="shared" si="0"/>
        <v>2666.3433877777284</v>
      </c>
      <c r="L15" s="95">
        <f t="shared" si="0"/>
        <v>2586.3530861443965</v>
      </c>
      <c r="M15" s="95">
        <f t="shared" si="0"/>
        <v>2508.7624935600643</v>
      </c>
      <c r="N15" s="95">
        <f t="shared" si="0"/>
        <v>2433.4996187532624</v>
      </c>
      <c r="O15" s="101">
        <f t="shared" si="0"/>
        <v>2360.4946301906643</v>
      </c>
    </row>
    <row r="16" spans="3:15" x14ac:dyDescent="0.25">
      <c r="C16" s="243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243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243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101">
        <f t="shared" si="1"/>
        <v>60292.597806671118</v>
      </c>
    </row>
    <row r="19" spans="3:15" x14ac:dyDescent="0.25">
      <c r="C19" s="244" t="s">
        <v>93</v>
      </c>
      <c r="D19" s="161">
        <f>D8+D14+D15+D16+D17-D18</f>
        <v>494601.05037463969</v>
      </c>
      <c r="E19" s="158">
        <f t="shared" ref="E19:O19" si="2">E8+E14+E15+E16+E17-E18</f>
        <v>478874.04474652943</v>
      </c>
      <c r="F19" s="158">
        <f t="shared" si="2"/>
        <v>513100.79430314922</v>
      </c>
      <c r="G19" s="158">
        <f t="shared" si="2"/>
        <v>498766.97930805065</v>
      </c>
      <c r="H19" s="159">
        <f t="shared" si="2"/>
        <v>485739.61449163442</v>
      </c>
      <c r="I19" s="159">
        <f t="shared" si="2"/>
        <v>470875.27067937568</v>
      </c>
      <c r="J19" s="159">
        <f t="shared" si="2"/>
        <v>457162.88605930831</v>
      </c>
      <c r="K19" s="162">
        <f t="shared" si="2"/>
        <v>444496.45867070078</v>
      </c>
      <c r="L19" s="162">
        <f t="shared" si="2"/>
        <v>432780.31880287366</v>
      </c>
      <c r="M19" s="162">
        <f t="shared" si="2"/>
        <v>421928.10357927223</v>
      </c>
      <c r="N19" s="162">
        <f t="shared" si="2"/>
        <v>411861.83385553741</v>
      </c>
      <c r="O19" s="172">
        <f t="shared" si="2"/>
        <v>402511.08320681105</v>
      </c>
    </row>
    <row r="20" spans="3:15" x14ac:dyDescent="0.25">
      <c r="C20" s="131" t="s">
        <v>388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237"/>
      <c r="D21" s="238">
        <v>2019</v>
      </c>
      <c r="E21" s="239">
        <v>2020</v>
      </c>
      <c r="F21" s="239">
        <v>2021</v>
      </c>
      <c r="G21" s="239">
        <v>2022</v>
      </c>
      <c r="H21" s="240">
        <v>2023</v>
      </c>
      <c r="I21" s="240">
        <v>2024</v>
      </c>
      <c r="J21" s="240">
        <v>2025</v>
      </c>
      <c r="K21" s="241">
        <v>2026</v>
      </c>
      <c r="L21" s="241">
        <v>2027</v>
      </c>
      <c r="M21" s="241">
        <v>2028</v>
      </c>
      <c r="N21" s="241">
        <v>2029</v>
      </c>
      <c r="O21" s="242">
        <v>2030</v>
      </c>
    </row>
    <row r="22" spans="3:15" x14ac:dyDescent="0.25">
      <c r="C22" s="243" t="s">
        <v>45</v>
      </c>
      <c r="D22" s="70">
        <v>532285.71428571432</v>
      </c>
      <c r="E22" s="87">
        <v>534885.71428571432</v>
      </c>
      <c r="F22" s="87">
        <v>537537.71428571432</v>
      </c>
      <c r="G22" s="87">
        <v>540242.75428571436</v>
      </c>
      <c r="H22" s="88">
        <v>543001.89508571429</v>
      </c>
      <c r="I22" s="88">
        <v>545816.2187017143</v>
      </c>
      <c r="J22" s="88">
        <v>548686.82879003428</v>
      </c>
      <c r="K22" s="89">
        <v>551614.85108012066</v>
      </c>
      <c r="L22" s="89">
        <v>554601.43381600874</v>
      </c>
      <c r="M22" s="89">
        <v>557647.74820661463</v>
      </c>
      <c r="N22" s="89">
        <v>560754.9888850326</v>
      </c>
      <c r="O22" s="245">
        <v>563924.374377019</v>
      </c>
    </row>
    <row r="23" spans="3:15" x14ac:dyDescent="0.25">
      <c r="C23" s="243" t="s">
        <v>23</v>
      </c>
      <c r="D23" s="117">
        <v>53228.571428571435</v>
      </c>
      <c r="E23" s="76">
        <v>53488.571428571435</v>
      </c>
      <c r="F23" s="76">
        <v>53753.771428571432</v>
      </c>
      <c r="G23" s="76">
        <v>54024.27542857144</v>
      </c>
      <c r="H23" s="77">
        <v>54300.189508571435</v>
      </c>
      <c r="I23" s="77">
        <v>54581.621870171432</v>
      </c>
      <c r="J23" s="77">
        <v>54868.682879003434</v>
      </c>
      <c r="K23" s="78">
        <v>55161.485108012072</v>
      </c>
      <c r="L23" s="78">
        <v>55460.143381600879</v>
      </c>
      <c r="M23" s="78">
        <v>55764.774820661463</v>
      </c>
      <c r="N23" s="78">
        <v>56075.498888503265</v>
      </c>
      <c r="O23" s="99">
        <v>56392.437437701905</v>
      </c>
    </row>
    <row r="24" spans="3:15" x14ac:dyDescent="0.25">
      <c r="C24" s="243" t="s">
        <v>47</v>
      </c>
      <c r="D24" s="93">
        <v>585514.2857142858</v>
      </c>
      <c r="E24" s="71">
        <v>588374.2857142858</v>
      </c>
      <c r="F24" s="71">
        <v>591291.48571428575</v>
      </c>
      <c r="G24" s="135">
        <v>594267.02971428575</v>
      </c>
      <c r="H24" s="72">
        <v>597302.0845942857</v>
      </c>
      <c r="I24" s="72">
        <v>600397.8405718857</v>
      </c>
      <c r="J24" s="72">
        <v>603555.51166903775</v>
      </c>
      <c r="K24" s="73">
        <v>606776.33618813276</v>
      </c>
      <c r="L24" s="73">
        <v>610061.57719760959</v>
      </c>
      <c r="M24" s="73">
        <v>613412.52302727615</v>
      </c>
      <c r="N24" s="73">
        <v>616830.48777353589</v>
      </c>
      <c r="O24" s="98">
        <v>620316.81181472086</v>
      </c>
    </row>
    <row r="25" spans="3:15" x14ac:dyDescent="0.25">
      <c r="C25" s="243" t="s">
        <v>84</v>
      </c>
      <c r="D25" s="79">
        <v>60</v>
      </c>
      <c r="E25" s="71">
        <v>60</v>
      </c>
      <c r="F25" s="71">
        <v>60</v>
      </c>
      <c r="G25" s="135">
        <v>60</v>
      </c>
      <c r="H25" s="72">
        <v>60</v>
      </c>
      <c r="I25" s="72">
        <v>60</v>
      </c>
      <c r="J25" s="72">
        <v>60</v>
      </c>
      <c r="K25" s="73">
        <v>60</v>
      </c>
      <c r="L25" s="73">
        <v>60</v>
      </c>
      <c r="M25" s="73">
        <v>60</v>
      </c>
      <c r="N25" s="73">
        <v>60</v>
      </c>
      <c r="O25" s="98">
        <v>60</v>
      </c>
    </row>
    <row r="26" spans="3:15" x14ac:dyDescent="0.25">
      <c r="C26" s="243" t="s">
        <v>94</v>
      </c>
      <c r="D26" s="79">
        <v>8</v>
      </c>
      <c r="E26" s="71">
        <v>8</v>
      </c>
      <c r="F26" s="71">
        <v>8</v>
      </c>
      <c r="G26" s="135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98">
        <v>8</v>
      </c>
    </row>
    <row r="27" spans="3:15" x14ac:dyDescent="0.25">
      <c r="C27" s="243" t="s">
        <v>95</v>
      </c>
      <c r="D27" s="83">
        <v>7</v>
      </c>
      <c r="E27" s="71">
        <v>7</v>
      </c>
      <c r="F27" s="71">
        <v>7</v>
      </c>
      <c r="G27" s="135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98">
        <v>7</v>
      </c>
    </row>
    <row r="28" spans="3:15" x14ac:dyDescent="0.25">
      <c r="C28" s="243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98">
        <v>7</v>
      </c>
    </row>
    <row r="29" spans="3:15" x14ac:dyDescent="0.25">
      <c r="C29" s="243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246">
        <v>0.03</v>
      </c>
    </row>
    <row r="30" spans="3:15" x14ac:dyDescent="0.25">
      <c r="C30" s="243" t="s">
        <v>88</v>
      </c>
      <c r="D30" s="70">
        <v>77588.166392482381</v>
      </c>
      <c r="E30" s="71">
        <v>75328.316885905209</v>
      </c>
      <c r="F30" s="71">
        <v>73134.288238742942</v>
      </c>
      <c r="G30" s="80">
        <v>71004.163338585378</v>
      </c>
      <c r="H30" s="72">
        <v>68936.080911247947</v>
      </c>
      <c r="I30" s="72">
        <v>66928.233894415476</v>
      </c>
      <c r="J30" s="72">
        <v>64978.867858655809</v>
      </c>
      <c r="K30" s="73">
        <v>63086.279474423114</v>
      </c>
      <c r="L30" s="73">
        <v>61248.815023711759</v>
      </c>
      <c r="M30" s="73">
        <v>59464.868955059967</v>
      </c>
      <c r="N30" s="73">
        <v>57732.882480640743</v>
      </c>
      <c r="O30" s="98">
        <v>56051.342214214317</v>
      </c>
    </row>
    <row r="31" spans="3:15" x14ac:dyDescent="0.25">
      <c r="C31" s="243" t="s">
        <v>89</v>
      </c>
      <c r="D31" s="70">
        <v>31200</v>
      </c>
      <c r="E31" s="71">
        <f>D31*(1-$D$29)</f>
        <v>30264</v>
      </c>
      <c r="F31" s="71">
        <f t="shared" ref="F31:O31" si="3">E31*(1-$D$29)</f>
        <v>29356.079999999998</v>
      </c>
      <c r="G31" s="80">
        <f t="shared" si="3"/>
        <v>28475.397599999997</v>
      </c>
      <c r="H31" s="72">
        <f t="shared" si="3"/>
        <v>27621.135671999997</v>
      </c>
      <c r="I31" s="72">
        <f t="shared" si="3"/>
        <v>26792.501601839995</v>
      </c>
      <c r="J31" s="72">
        <f t="shared" si="3"/>
        <v>25988.726553784792</v>
      </c>
      <c r="K31" s="73">
        <f t="shared" si="3"/>
        <v>25209.064757171247</v>
      </c>
      <c r="L31" s="73">
        <f t="shared" si="3"/>
        <v>24452.792814456108</v>
      </c>
      <c r="M31" s="73">
        <f t="shared" si="3"/>
        <v>23719.209030022423</v>
      </c>
      <c r="N31" s="73">
        <f t="shared" si="3"/>
        <v>23007.632759121749</v>
      </c>
      <c r="O31" s="98">
        <f t="shared" si="3"/>
        <v>22317.403776348096</v>
      </c>
    </row>
    <row r="32" spans="3:15" x14ac:dyDescent="0.25">
      <c r="C32" s="243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98">
        <v>2889.6851063950494</v>
      </c>
    </row>
    <row r="33" spans="3:15" x14ac:dyDescent="0.25">
      <c r="C33" s="243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98">
        <f t="shared" si="4"/>
        <v>257.50850511170893</v>
      </c>
    </row>
    <row r="34" spans="3:15" x14ac:dyDescent="0.25">
      <c r="C34" s="243" t="s">
        <v>87</v>
      </c>
      <c r="D34" s="79">
        <f>0.35*D22</f>
        <v>186300</v>
      </c>
      <c r="E34" s="71">
        <f t="shared" ref="E34:O34" si="5">0.35*E22</f>
        <v>187210</v>
      </c>
      <c r="F34" s="71">
        <f t="shared" si="5"/>
        <v>188138.2</v>
      </c>
      <c r="G34" s="80">
        <f t="shared" si="5"/>
        <v>189084.96400000001</v>
      </c>
      <c r="H34" s="72">
        <f t="shared" si="5"/>
        <v>190050.66327999998</v>
      </c>
      <c r="I34" s="72">
        <f t="shared" si="5"/>
        <v>191035.6765456</v>
      </c>
      <c r="J34" s="72">
        <f t="shared" si="5"/>
        <v>192040.39007651198</v>
      </c>
      <c r="K34" s="73">
        <f t="shared" si="5"/>
        <v>193065.19787804221</v>
      </c>
      <c r="L34" s="73">
        <f t="shared" si="5"/>
        <v>194110.50183560303</v>
      </c>
      <c r="M34" s="73">
        <f t="shared" si="5"/>
        <v>195176.71187231512</v>
      </c>
      <c r="N34" s="73">
        <f t="shared" si="5"/>
        <v>196264.24610976139</v>
      </c>
      <c r="O34" s="98">
        <f t="shared" si="5"/>
        <v>197373.53103195663</v>
      </c>
    </row>
    <row r="35" spans="3:15" x14ac:dyDescent="0.25">
      <c r="C35" s="244" t="s">
        <v>93</v>
      </c>
      <c r="D35" s="163">
        <f>D24+D30+D31+D32-D34</f>
        <v>536923.58392765431</v>
      </c>
      <c r="E35" s="164">
        <f t="shared" ref="E35:O35" si="6">E24+E30+E31+E32-E34</f>
        <v>534835.37135833292</v>
      </c>
      <c r="F35" s="164">
        <f t="shared" si="6"/>
        <v>532904.59449491394</v>
      </c>
      <c r="G35" s="165">
        <f t="shared" si="6"/>
        <v>531128.55921780842</v>
      </c>
      <c r="H35" s="166">
        <f t="shared" si="6"/>
        <v>529504.68893145339</v>
      </c>
      <c r="I35" s="166">
        <f t="shared" si="6"/>
        <v>525225.00236479798</v>
      </c>
      <c r="J35" s="166">
        <f t="shared" si="6"/>
        <v>521174.38370968669</v>
      </c>
      <c r="K35" s="167">
        <f t="shared" si="6"/>
        <v>517348.21321967046</v>
      </c>
      <c r="L35" s="167">
        <f t="shared" si="6"/>
        <v>513742.04783278669</v>
      </c>
      <c r="M35" s="167">
        <f t="shared" si="6"/>
        <v>510351.61683539976</v>
      </c>
      <c r="N35" s="167">
        <f t="shared" si="6"/>
        <v>507172.81766951887</v>
      </c>
      <c r="O35" s="247">
        <f t="shared" si="6"/>
        <v>504201.71187972161</v>
      </c>
    </row>
    <row r="37" spans="3:15" x14ac:dyDescent="0.25">
      <c r="C37" t="s">
        <v>327</v>
      </c>
      <c r="D37" s="30">
        <f t="shared" ref="D37:O37" si="7">D19-D35</f>
        <v>-42322.533553014626</v>
      </c>
      <c r="E37" s="30">
        <f t="shared" si="7"/>
        <v>-55961.326611803495</v>
      </c>
      <c r="F37" s="30">
        <f t="shared" si="7"/>
        <v>-19803.80019176472</v>
      </c>
      <c r="G37" s="30">
        <f t="shared" si="7"/>
        <v>-32361.579909757769</v>
      </c>
      <c r="H37" s="30">
        <f t="shared" si="7"/>
        <v>-43765.074439818971</v>
      </c>
      <c r="I37" s="30">
        <f t="shared" si="7"/>
        <v>-54349.731685422303</v>
      </c>
      <c r="J37" s="30">
        <f t="shared" si="7"/>
        <v>-64011.497650378384</v>
      </c>
      <c r="K37" s="30">
        <f t="shared" si="7"/>
        <v>-72851.754548969679</v>
      </c>
      <c r="L37" s="30">
        <f t="shared" si="7"/>
        <v>-80961.729029913025</v>
      </c>
      <c r="M37" s="30">
        <f t="shared" si="7"/>
        <v>-88423.513256127539</v>
      </c>
      <c r="N37" s="30">
        <f t="shared" si="7"/>
        <v>-95310.983813981467</v>
      </c>
      <c r="O37" s="30">
        <f t="shared" si="7"/>
        <v>-101690.62867291056</v>
      </c>
    </row>
    <row r="57" spans="3:26" x14ac:dyDescent="0.25">
      <c r="D57">
        <v>2019</v>
      </c>
      <c r="E57">
        <v>2020</v>
      </c>
      <c r="F57">
        <v>2021</v>
      </c>
      <c r="G57">
        <v>2022</v>
      </c>
      <c r="H57">
        <v>2023</v>
      </c>
      <c r="I57">
        <v>2024</v>
      </c>
      <c r="J57">
        <v>2025</v>
      </c>
      <c r="K57">
        <v>2026</v>
      </c>
      <c r="L57">
        <v>2027</v>
      </c>
      <c r="M57">
        <v>2028</v>
      </c>
      <c r="N57">
        <v>2029</v>
      </c>
      <c r="O57">
        <v>2030</v>
      </c>
      <c r="P57">
        <v>2031</v>
      </c>
      <c r="Q57">
        <v>2032</v>
      </c>
      <c r="R57">
        <v>2033</v>
      </c>
      <c r="S57">
        <v>2034</v>
      </c>
      <c r="T57">
        <v>2035</v>
      </c>
      <c r="U57">
        <v>2036</v>
      </c>
      <c r="V57">
        <v>2037</v>
      </c>
      <c r="W57">
        <v>2038</v>
      </c>
      <c r="X57">
        <v>2039</v>
      </c>
      <c r="Y57">
        <v>2040</v>
      </c>
      <c r="Z57">
        <v>2041</v>
      </c>
    </row>
    <row r="58" spans="3:26" x14ac:dyDescent="0.25">
      <c r="C58" t="s">
        <v>98</v>
      </c>
      <c r="D58">
        <f>60*365</f>
        <v>21900</v>
      </c>
      <c r="E58">
        <f t="shared" ref="E58:Z58" si="8">60*365</f>
        <v>21900</v>
      </c>
      <c r="F58">
        <f t="shared" si="8"/>
        <v>21900</v>
      </c>
      <c r="G58">
        <f t="shared" si="8"/>
        <v>21900</v>
      </c>
      <c r="H58">
        <f t="shared" si="8"/>
        <v>21900</v>
      </c>
      <c r="I58">
        <f t="shared" si="8"/>
        <v>21900</v>
      </c>
      <c r="J58">
        <f t="shared" si="8"/>
        <v>21900</v>
      </c>
      <c r="K58">
        <f t="shared" si="8"/>
        <v>21900</v>
      </c>
      <c r="L58">
        <f t="shared" si="8"/>
        <v>21900</v>
      </c>
      <c r="M58">
        <f t="shared" si="8"/>
        <v>21900</v>
      </c>
      <c r="N58">
        <f t="shared" si="8"/>
        <v>21900</v>
      </c>
      <c r="O58">
        <f t="shared" si="8"/>
        <v>21900</v>
      </c>
      <c r="P58">
        <f t="shared" si="8"/>
        <v>21900</v>
      </c>
      <c r="Q58">
        <f t="shared" si="8"/>
        <v>21900</v>
      </c>
      <c r="R58">
        <f t="shared" si="8"/>
        <v>21900</v>
      </c>
      <c r="S58">
        <f t="shared" si="8"/>
        <v>21900</v>
      </c>
      <c r="T58">
        <f t="shared" si="8"/>
        <v>21900</v>
      </c>
      <c r="U58">
        <f t="shared" si="8"/>
        <v>21900</v>
      </c>
      <c r="V58">
        <f t="shared" si="8"/>
        <v>21900</v>
      </c>
      <c r="W58">
        <f t="shared" si="8"/>
        <v>21900</v>
      </c>
      <c r="X58">
        <f t="shared" si="8"/>
        <v>21900</v>
      </c>
      <c r="Y58">
        <f t="shared" si="8"/>
        <v>21900</v>
      </c>
      <c r="Z58">
        <f t="shared" si="8"/>
        <v>21900</v>
      </c>
    </row>
    <row r="59" spans="3:26" x14ac:dyDescent="0.25">
      <c r="C59" t="s">
        <v>99</v>
      </c>
      <c r="D59" s="30">
        <f>($D$11/100)*D58</f>
        <v>3635.4</v>
      </c>
      <c r="E59" s="30">
        <f t="shared" ref="E59:Z59" si="9">($D$11/100)*E58</f>
        <v>3635.4</v>
      </c>
      <c r="F59" s="30">
        <f t="shared" si="9"/>
        <v>3635.4</v>
      </c>
      <c r="G59" s="30">
        <f t="shared" si="9"/>
        <v>3635.4</v>
      </c>
      <c r="H59" s="30">
        <f t="shared" si="9"/>
        <v>3635.4</v>
      </c>
      <c r="I59" s="30">
        <f t="shared" si="9"/>
        <v>3635.4</v>
      </c>
      <c r="J59" s="30">
        <f t="shared" si="9"/>
        <v>3635.4</v>
      </c>
      <c r="K59" s="30">
        <f t="shared" si="9"/>
        <v>3635.4</v>
      </c>
      <c r="L59" s="30">
        <f t="shared" si="9"/>
        <v>3635.4</v>
      </c>
      <c r="M59" s="30">
        <f t="shared" si="9"/>
        <v>3635.4</v>
      </c>
      <c r="N59" s="30">
        <f t="shared" si="9"/>
        <v>3635.4</v>
      </c>
      <c r="O59" s="30">
        <f t="shared" si="9"/>
        <v>3635.4</v>
      </c>
      <c r="P59" s="30">
        <f t="shared" si="9"/>
        <v>3635.4</v>
      </c>
      <c r="Q59" s="30">
        <f t="shared" si="9"/>
        <v>3635.4</v>
      </c>
      <c r="R59" s="30">
        <f t="shared" si="9"/>
        <v>3635.4</v>
      </c>
      <c r="S59" s="30">
        <f t="shared" si="9"/>
        <v>3635.4</v>
      </c>
      <c r="T59" s="30">
        <f t="shared" si="9"/>
        <v>3635.4</v>
      </c>
      <c r="U59" s="30">
        <f t="shared" si="9"/>
        <v>3635.4</v>
      </c>
      <c r="V59" s="30">
        <f t="shared" si="9"/>
        <v>3635.4</v>
      </c>
      <c r="W59" s="30">
        <f t="shared" si="9"/>
        <v>3635.4</v>
      </c>
      <c r="X59" s="30">
        <f t="shared" si="9"/>
        <v>3635.4</v>
      </c>
      <c r="Y59" s="30">
        <f t="shared" si="9"/>
        <v>3635.4</v>
      </c>
      <c r="Z59" s="30">
        <f t="shared" si="9"/>
        <v>3635.4</v>
      </c>
    </row>
    <row r="60" spans="3:26" x14ac:dyDescent="0.25">
      <c r="C60" t="s">
        <v>101</v>
      </c>
      <c r="D60" s="1">
        <f>D59*$D$12</f>
        <v>2908.32</v>
      </c>
      <c r="E60" s="1">
        <f t="shared" ref="E60:Z60" si="10">E59*$D$12</f>
        <v>2908.32</v>
      </c>
      <c r="F60" s="1">
        <f t="shared" si="10"/>
        <v>2908.32</v>
      </c>
      <c r="G60" s="1">
        <f t="shared" si="10"/>
        <v>2908.32</v>
      </c>
      <c r="H60" s="1">
        <f t="shared" si="10"/>
        <v>2908.32</v>
      </c>
      <c r="I60" s="1">
        <f t="shared" si="10"/>
        <v>2908.32</v>
      </c>
      <c r="J60" s="1">
        <f t="shared" si="10"/>
        <v>2908.32</v>
      </c>
      <c r="K60" s="1">
        <f t="shared" si="10"/>
        <v>2908.32</v>
      </c>
      <c r="L60" s="1">
        <f t="shared" si="10"/>
        <v>2908.32</v>
      </c>
      <c r="M60" s="1">
        <f t="shared" si="10"/>
        <v>2908.32</v>
      </c>
      <c r="N60" s="1">
        <f t="shared" si="10"/>
        <v>2908.32</v>
      </c>
      <c r="O60" s="1">
        <f t="shared" si="10"/>
        <v>2908.32</v>
      </c>
      <c r="P60" s="1">
        <f t="shared" si="10"/>
        <v>2908.32</v>
      </c>
      <c r="Q60" s="1">
        <f t="shared" si="10"/>
        <v>2908.32</v>
      </c>
      <c r="R60" s="1">
        <f t="shared" si="10"/>
        <v>2908.32</v>
      </c>
      <c r="S60" s="1">
        <f t="shared" si="10"/>
        <v>2908.32</v>
      </c>
      <c r="T60" s="1">
        <f t="shared" si="10"/>
        <v>2908.32</v>
      </c>
      <c r="U60" s="1">
        <f t="shared" si="10"/>
        <v>2908.32</v>
      </c>
      <c r="V60" s="1">
        <f t="shared" si="10"/>
        <v>2908.32</v>
      </c>
      <c r="W60" s="1">
        <f t="shared" si="10"/>
        <v>2908.32</v>
      </c>
      <c r="X60" s="1">
        <f t="shared" si="10"/>
        <v>2908.32</v>
      </c>
      <c r="Y60" s="1">
        <f t="shared" si="10"/>
        <v>2908.32</v>
      </c>
      <c r="Z60" s="1">
        <f t="shared" si="10"/>
        <v>2908.32</v>
      </c>
    </row>
    <row r="61" spans="3:26" x14ac:dyDescent="0.25">
      <c r="C61" t="s">
        <v>100</v>
      </c>
      <c r="D61">
        <f>D60/(1+$D$13)^(D57-2019)</f>
        <v>2908.32</v>
      </c>
      <c r="E61">
        <f t="shared" ref="E61:Z61" si="11">E60/(1+$D$13)^(E57-2019)</f>
        <v>2823.6116504854372</v>
      </c>
      <c r="F61">
        <f t="shared" si="11"/>
        <v>2741.3705344518808</v>
      </c>
      <c r="G61">
        <f t="shared" si="11"/>
        <v>2661.5247907299813</v>
      </c>
      <c r="H61">
        <f t="shared" si="11"/>
        <v>2584.0046511941568</v>
      </c>
      <c r="I61">
        <f t="shared" si="11"/>
        <v>2508.7423798001523</v>
      </c>
      <c r="J61">
        <f t="shared" si="11"/>
        <v>2435.6722133982062</v>
      </c>
      <c r="K61">
        <f t="shared" si="11"/>
        <v>2364.7303042701028</v>
      </c>
      <c r="L61">
        <f t="shared" si="11"/>
        <v>2295.8546643399059</v>
      </c>
      <c r="M61">
        <f t="shared" si="11"/>
        <v>2228.9851110096174</v>
      </c>
      <c r="N61">
        <f t="shared" si="11"/>
        <v>2164.0632145724439</v>
      </c>
      <c r="O61">
        <f t="shared" si="11"/>
        <v>2101.0322471577124</v>
      </c>
      <c r="P61">
        <f t="shared" si="11"/>
        <v>2039.837133162828</v>
      </c>
      <c r="Q61">
        <f t="shared" si="11"/>
        <v>1980.4244011289593</v>
      </c>
      <c r="R61">
        <f t="shared" si="11"/>
        <v>1922.7421370184068</v>
      </c>
      <c r="S61">
        <f t="shared" si="11"/>
        <v>1866.739938852822</v>
      </c>
      <c r="T61">
        <f t="shared" si="11"/>
        <v>1812.3688726726432</v>
      </c>
      <c r="U61">
        <f t="shared" si="11"/>
        <v>1759.5814297792651</v>
      </c>
      <c r="V61">
        <f t="shared" si="11"/>
        <v>1708.3314852225876</v>
      </c>
      <c r="W61">
        <f t="shared" si="11"/>
        <v>1658.5742574976578</v>
      </c>
      <c r="X61">
        <f t="shared" si="11"/>
        <v>1610.2662694152018</v>
      </c>
      <c r="Y61">
        <f t="shared" si="11"/>
        <v>1563.3653101118466</v>
      </c>
      <c r="Z61">
        <f t="shared" si="11"/>
        <v>1517.8303981668412</v>
      </c>
    </row>
    <row r="62" spans="3:26" x14ac:dyDescent="0.25">
      <c r="C62" t="s">
        <v>102</v>
      </c>
      <c r="D62">
        <f>SUM(D61:K61)</f>
        <v>21027.976524329919</v>
      </c>
      <c r="E62">
        <f>SUM(E61:L61)</f>
        <v>20415.511188669825</v>
      </c>
      <c r="F62">
        <f t="shared" ref="F62:O62" si="12">SUM(F61:M61)</f>
        <v>19820.884649194002</v>
      </c>
      <c r="G62">
        <f t="shared" si="12"/>
        <v>19243.577329314568</v>
      </c>
      <c r="H62">
        <f t="shared" si="12"/>
        <v>18683.084785742296</v>
      </c>
      <c r="I62">
        <f t="shared" si="12"/>
        <v>18138.917267710971</v>
      </c>
      <c r="J62">
        <f t="shared" si="12"/>
        <v>17610.599289039776</v>
      </c>
      <c r="K62">
        <f t="shared" si="12"/>
        <v>17097.669212659977</v>
      </c>
      <c r="L62">
        <f t="shared" si="12"/>
        <v>16599.678847242696</v>
      </c>
      <c r="M62">
        <f t="shared" si="12"/>
        <v>16116.193055575433</v>
      </c>
      <c r="N62">
        <f t="shared" si="12"/>
        <v>15646.789374345082</v>
      </c>
      <c r="O62">
        <f t="shared" si="12"/>
        <v>15191.057644995224</v>
      </c>
    </row>
    <row r="64" spans="3:26" x14ac:dyDescent="0.25">
      <c r="C64" t="s">
        <v>103</v>
      </c>
      <c r="D64">
        <f>27*300+27*100</f>
        <v>10800</v>
      </c>
    </row>
    <row r="68" spans="3:26" x14ac:dyDescent="0.25">
      <c r="C68" t="s">
        <v>104</v>
      </c>
      <c r="D68">
        <v>4300</v>
      </c>
      <c r="E68">
        <v>4300</v>
      </c>
      <c r="F68">
        <v>4300</v>
      </c>
      <c r="G68">
        <v>4300</v>
      </c>
      <c r="H68">
        <v>4300</v>
      </c>
      <c r="I68">
        <v>4300</v>
      </c>
      <c r="J68">
        <v>4300</v>
      </c>
      <c r="K68">
        <v>4300</v>
      </c>
      <c r="L68">
        <v>4300</v>
      </c>
      <c r="M68">
        <v>4300</v>
      </c>
      <c r="N68">
        <v>4300</v>
      </c>
      <c r="O68">
        <v>4300</v>
      </c>
      <c r="P68">
        <v>4300</v>
      </c>
      <c r="Q68">
        <v>4300</v>
      </c>
      <c r="R68">
        <v>4300</v>
      </c>
      <c r="S68">
        <v>4300</v>
      </c>
      <c r="T68">
        <v>4300</v>
      </c>
      <c r="U68">
        <v>4300</v>
      </c>
      <c r="V68">
        <v>4300</v>
      </c>
      <c r="W68">
        <v>4300</v>
      </c>
      <c r="X68">
        <v>4300</v>
      </c>
      <c r="Y68">
        <v>4300</v>
      </c>
      <c r="Z68">
        <v>4300</v>
      </c>
    </row>
    <row r="69" spans="3:26" x14ac:dyDescent="0.25">
      <c r="C69" t="s">
        <v>105</v>
      </c>
      <c r="D69">
        <f>D68/(1+0.03)^(D57-2019)</f>
        <v>4300</v>
      </c>
      <c r="E69">
        <f t="shared" ref="E69:O69" si="13">E68/(1+0.03)^(E57-2019)</f>
        <v>4174.7572815533977</v>
      </c>
      <c r="F69">
        <f t="shared" si="13"/>
        <v>4053.162409275144</v>
      </c>
      <c r="G69">
        <f t="shared" si="13"/>
        <v>3935.1091352185863</v>
      </c>
      <c r="H69">
        <f t="shared" si="13"/>
        <v>3820.4943060374626</v>
      </c>
      <c r="I69">
        <f t="shared" si="13"/>
        <v>3709.2177728519055</v>
      </c>
      <c r="J69">
        <f t="shared" si="13"/>
        <v>3601.1823037397139</v>
      </c>
      <c r="K69">
        <f t="shared" si="13"/>
        <v>3496.2934987764211</v>
      </c>
      <c r="L69">
        <f t="shared" si="13"/>
        <v>3394.4597075499237</v>
      </c>
      <c r="M69">
        <f t="shared" si="13"/>
        <v>3295.5919490775959</v>
      </c>
      <c r="N69">
        <f t="shared" si="13"/>
        <v>3199.6038340559185</v>
      </c>
      <c r="O69">
        <f t="shared" si="13"/>
        <v>3106.4114893746778</v>
      </c>
    </row>
    <row r="70" spans="3:26" x14ac:dyDescent="0.25">
      <c r="C70" t="s">
        <v>106</v>
      </c>
      <c r="D70" s="145">
        <f>SUM(D69:K69)</f>
        <v>31090.216707452633</v>
      </c>
      <c r="E70" s="145">
        <f>SUM(E69:L69)</f>
        <v>30184.676415002552</v>
      </c>
      <c r="F70" s="145">
        <f>SUM(F69:M69)</f>
        <v>29305.511082526751</v>
      </c>
      <c r="G70" s="145">
        <f t="shared" ref="G70:O70" si="14">SUM(G69:N69)</f>
        <v>28451.952507307524</v>
      </c>
      <c r="H70" s="145">
        <f t="shared" si="14"/>
        <v>27623.254861463614</v>
      </c>
      <c r="I70" s="145">
        <f t="shared" si="14"/>
        <v>23802.760555426157</v>
      </c>
      <c r="J70" s="145">
        <f t="shared" si="14"/>
        <v>20093.542782574252</v>
      </c>
      <c r="K70" s="145">
        <f t="shared" si="14"/>
        <v>16492.360478834536</v>
      </c>
      <c r="L70" s="145">
        <f t="shared" si="14"/>
        <v>12996.066980058116</v>
      </c>
      <c r="M70" s="145">
        <f t="shared" si="14"/>
        <v>9601.6072725081922</v>
      </c>
      <c r="N70" s="145">
        <f t="shared" si="14"/>
        <v>6306.0153234305963</v>
      </c>
      <c r="O70" s="145">
        <f t="shared" si="14"/>
        <v>3106.4114893746778</v>
      </c>
    </row>
    <row r="73" spans="3:26" x14ac:dyDescent="0.25">
      <c r="C73" t="s">
        <v>98</v>
      </c>
      <c r="D73">
        <f>D58</f>
        <v>21900</v>
      </c>
      <c r="E73">
        <f t="shared" ref="E73:Z73" si="15">E58</f>
        <v>21900</v>
      </c>
      <c r="F73">
        <f t="shared" si="15"/>
        <v>21900</v>
      </c>
      <c r="G73">
        <f t="shared" si="15"/>
        <v>21900</v>
      </c>
      <c r="H73">
        <f t="shared" si="15"/>
        <v>21900</v>
      </c>
      <c r="I73">
        <f t="shared" si="15"/>
        <v>21900</v>
      </c>
      <c r="J73">
        <f t="shared" si="15"/>
        <v>21900</v>
      </c>
      <c r="K73">
        <f t="shared" si="15"/>
        <v>21900</v>
      </c>
      <c r="L73">
        <f t="shared" si="15"/>
        <v>21900</v>
      </c>
      <c r="M73">
        <f t="shared" si="15"/>
        <v>21900</v>
      </c>
      <c r="N73">
        <f t="shared" si="15"/>
        <v>21900</v>
      </c>
      <c r="O73">
        <f t="shared" si="15"/>
        <v>21900</v>
      </c>
      <c r="P73">
        <f t="shared" si="15"/>
        <v>21900</v>
      </c>
      <c r="Q73">
        <f t="shared" si="15"/>
        <v>21900</v>
      </c>
      <c r="R73">
        <f t="shared" si="15"/>
        <v>21900</v>
      </c>
      <c r="S73">
        <f t="shared" si="15"/>
        <v>21900</v>
      </c>
      <c r="T73">
        <f t="shared" si="15"/>
        <v>21900</v>
      </c>
      <c r="U73">
        <f t="shared" si="15"/>
        <v>21900</v>
      </c>
      <c r="V73">
        <f t="shared" si="15"/>
        <v>21900</v>
      </c>
      <c r="W73">
        <f t="shared" si="15"/>
        <v>21900</v>
      </c>
      <c r="X73">
        <f t="shared" si="15"/>
        <v>21900</v>
      </c>
      <c r="Y73">
        <f t="shared" si="15"/>
        <v>21900</v>
      </c>
      <c r="Z73">
        <f t="shared" si="15"/>
        <v>21900</v>
      </c>
    </row>
    <row r="74" spans="3:26" x14ac:dyDescent="0.25">
      <c r="C74" t="s">
        <v>107</v>
      </c>
      <c r="D74" s="30">
        <f>($D$27/100)*D73</f>
        <v>1533.0000000000002</v>
      </c>
      <c r="E74" s="30">
        <f t="shared" ref="E74:Z74" si="16">($D$27/100)*E73</f>
        <v>1533.0000000000002</v>
      </c>
      <c r="F74" s="30">
        <f t="shared" si="16"/>
        <v>1533.0000000000002</v>
      </c>
      <c r="G74" s="30">
        <f t="shared" si="16"/>
        <v>1533.0000000000002</v>
      </c>
      <c r="H74" s="30">
        <f t="shared" si="16"/>
        <v>1533.0000000000002</v>
      </c>
      <c r="I74" s="30">
        <f t="shared" si="16"/>
        <v>1533.0000000000002</v>
      </c>
      <c r="J74" s="30">
        <f t="shared" si="16"/>
        <v>1533.0000000000002</v>
      </c>
      <c r="K74" s="30">
        <f t="shared" si="16"/>
        <v>1533.0000000000002</v>
      </c>
      <c r="L74" s="30">
        <f t="shared" si="16"/>
        <v>1533.0000000000002</v>
      </c>
      <c r="M74" s="30">
        <f t="shared" si="16"/>
        <v>1533.0000000000002</v>
      </c>
      <c r="N74" s="30">
        <f t="shared" si="16"/>
        <v>1533.0000000000002</v>
      </c>
      <c r="O74" s="30">
        <f t="shared" si="16"/>
        <v>1533.0000000000002</v>
      </c>
      <c r="P74" s="30">
        <f t="shared" si="16"/>
        <v>1533.0000000000002</v>
      </c>
      <c r="Q74" s="30">
        <f t="shared" si="16"/>
        <v>1533.0000000000002</v>
      </c>
      <c r="R74" s="30">
        <f t="shared" si="16"/>
        <v>1533.0000000000002</v>
      </c>
      <c r="S74" s="30">
        <f t="shared" si="16"/>
        <v>1533.0000000000002</v>
      </c>
      <c r="T74" s="30">
        <f t="shared" si="16"/>
        <v>1533.0000000000002</v>
      </c>
      <c r="U74" s="30">
        <f t="shared" si="16"/>
        <v>1533.0000000000002</v>
      </c>
      <c r="V74" s="30">
        <f t="shared" si="16"/>
        <v>1533.0000000000002</v>
      </c>
      <c r="W74" s="30">
        <f t="shared" si="16"/>
        <v>1533.0000000000002</v>
      </c>
      <c r="X74" s="30">
        <f t="shared" si="16"/>
        <v>1533.0000000000002</v>
      </c>
      <c r="Y74" s="30">
        <f t="shared" si="16"/>
        <v>1533.0000000000002</v>
      </c>
      <c r="Z74" s="30">
        <f t="shared" si="16"/>
        <v>1533.0000000000002</v>
      </c>
    </row>
    <row r="75" spans="3:26" x14ac:dyDescent="0.25">
      <c r="C75" t="s">
        <v>108</v>
      </c>
      <c r="D75">
        <f>D74*$D$28</f>
        <v>10731.000000000002</v>
      </c>
      <c r="E75">
        <f t="shared" ref="E75:Z75" si="17">E74*$D$28</f>
        <v>10731.000000000002</v>
      </c>
      <c r="F75">
        <f t="shared" si="17"/>
        <v>10731.000000000002</v>
      </c>
      <c r="G75">
        <f t="shared" si="17"/>
        <v>10731.000000000002</v>
      </c>
      <c r="H75">
        <f t="shared" si="17"/>
        <v>10731.000000000002</v>
      </c>
      <c r="I75">
        <f t="shared" si="17"/>
        <v>10731.000000000002</v>
      </c>
      <c r="J75">
        <f t="shared" si="17"/>
        <v>10731.000000000002</v>
      </c>
      <c r="K75">
        <f t="shared" si="17"/>
        <v>10731.000000000002</v>
      </c>
      <c r="L75">
        <f t="shared" si="17"/>
        <v>10731.000000000002</v>
      </c>
      <c r="M75">
        <f t="shared" si="17"/>
        <v>10731.000000000002</v>
      </c>
      <c r="N75">
        <f t="shared" si="17"/>
        <v>10731.000000000002</v>
      </c>
      <c r="O75">
        <f t="shared" si="17"/>
        <v>10731.000000000002</v>
      </c>
      <c r="P75">
        <f t="shared" si="17"/>
        <v>10731.000000000002</v>
      </c>
      <c r="Q75">
        <f t="shared" si="17"/>
        <v>10731.000000000002</v>
      </c>
      <c r="R75">
        <f t="shared" si="17"/>
        <v>10731.000000000002</v>
      </c>
      <c r="S75">
        <f t="shared" si="17"/>
        <v>10731.000000000002</v>
      </c>
      <c r="T75">
        <f t="shared" si="17"/>
        <v>10731.000000000002</v>
      </c>
      <c r="U75">
        <f t="shared" si="17"/>
        <v>10731.000000000002</v>
      </c>
      <c r="V75">
        <f t="shared" si="17"/>
        <v>10731.000000000002</v>
      </c>
      <c r="W75">
        <f t="shared" si="17"/>
        <v>10731.000000000002</v>
      </c>
      <c r="X75">
        <f t="shared" si="17"/>
        <v>10731.000000000002</v>
      </c>
      <c r="Y75">
        <f t="shared" si="17"/>
        <v>10731.000000000002</v>
      </c>
      <c r="Z75">
        <f t="shared" si="17"/>
        <v>10731.000000000002</v>
      </c>
    </row>
    <row r="76" spans="3:26" x14ac:dyDescent="0.25">
      <c r="C76" t="s">
        <v>109</v>
      </c>
      <c r="D76">
        <f>D75/(1+$D$29)^(D57-2019)</f>
        <v>10731.000000000002</v>
      </c>
      <c r="E76">
        <f t="shared" ref="E76:Z76" si="18">E75/(1+$D$29)^(E57-2019)</f>
        <v>10418.446601941749</v>
      </c>
      <c r="F76">
        <f t="shared" si="18"/>
        <v>10114.99670091432</v>
      </c>
      <c r="G76">
        <f t="shared" si="18"/>
        <v>9820.3851465187563</v>
      </c>
      <c r="H76">
        <f t="shared" si="18"/>
        <v>9534.3545111832591</v>
      </c>
      <c r="I76">
        <f t="shared" si="18"/>
        <v>9256.6548652264664</v>
      </c>
      <c r="J76">
        <f t="shared" si="18"/>
        <v>8987.0435584722964</v>
      </c>
      <c r="K76">
        <f t="shared" si="18"/>
        <v>8725.28500822553</v>
      </c>
      <c r="L76">
        <f t="shared" si="18"/>
        <v>8471.1504934228469</v>
      </c>
      <c r="M76">
        <f t="shared" si="18"/>
        <v>8224.4179547794629</v>
      </c>
      <c r="N76">
        <f t="shared" si="18"/>
        <v>7984.8718007567595</v>
      </c>
      <c r="O76">
        <f t="shared" si="18"/>
        <v>7752.3027191813198</v>
      </c>
      <c r="P76">
        <f t="shared" si="18"/>
        <v>7526.5074943507971</v>
      </c>
      <c r="Q76">
        <f t="shared" si="18"/>
        <v>7307.2888294667937</v>
      </c>
      <c r="R76">
        <f t="shared" si="18"/>
        <v>7094.4551742396043</v>
      </c>
      <c r="S76">
        <f t="shared" si="18"/>
        <v>6887.8205575141783</v>
      </c>
      <c r="T76">
        <f t="shared" si="18"/>
        <v>6687.2044247710483</v>
      </c>
      <c r="U76">
        <f t="shared" si="18"/>
        <v>6492.431480360241</v>
      </c>
      <c r="V76">
        <f t="shared" si="18"/>
        <v>6303.3315343303311</v>
      </c>
      <c r="W76">
        <f t="shared" si="18"/>
        <v>6119.7393537187681</v>
      </c>
      <c r="X76">
        <f t="shared" si="18"/>
        <v>5941.4945181735611</v>
      </c>
      <c r="Y76">
        <f t="shared" si="18"/>
        <v>5768.4412797801579</v>
      </c>
      <c r="Z76">
        <f t="shared" si="18"/>
        <v>5600.4284269710261</v>
      </c>
    </row>
    <row r="77" spans="3:26" x14ac:dyDescent="0.25">
      <c r="C77" t="s">
        <v>110</v>
      </c>
      <c r="D77" s="1">
        <f>SUM(D76:K76)</f>
        <v>77588.166392482381</v>
      </c>
      <c r="E77" s="1">
        <f t="shared" ref="E77:O77" si="19">SUM(E76:L76)</f>
        <v>75328.316885905209</v>
      </c>
      <c r="F77" s="1">
        <f t="shared" si="19"/>
        <v>73134.288238742942</v>
      </c>
      <c r="G77" s="1">
        <f t="shared" si="19"/>
        <v>71004.163338585378</v>
      </c>
      <c r="H77" s="1">
        <f t="shared" si="19"/>
        <v>68936.080911247947</v>
      </c>
      <c r="I77" s="1">
        <f t="shared" si="19"/>
        <v>66928.233894415476</v>
      </c>
      <c r="J77" s="1">
        <f t="shared" si="19"/>
        <v>64978.867858655809</v>
      </c>
      <c r="K77" s="1">
        <f t="shared" si="19"/>
        <v>63086.279474423114</v>
      </c>
      <c r="L77" s="1">
        <f t="shared" si="19"/>
        <v>61248.815023711759</v>
      </c>
      <c r="M77" s="1">
        <f t="shared" si="19"/>
        <v>59464.868955059967</v>
      </c>
      <c r="N77" s="1">
        <f t="shared" si="19"/>
        <v>57732.882480640743</v>
      </c>
      <c r="O77" s="1">
        <f t="shared" si="19"/>
        <v>56051.342214214317</v>
      </c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0"/>
  <sheetViews>
    <sheetView topLeftCell="A13" zoomScaleNormal="100" workbookViewId="0">
      <selection activeCell="D37" sqref="D37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79">
        <v>80</v>
      </c>
      <c r="E9" s="79">
        <v>80</v>
      </c>
      <c r="F9" s="79">
        <v>80</v>
      </c>
      <c r="G9" s="79">
        <v>80</v>
      </c>
      <c r="H9" s="79">
        <v>80</v>
      </c>
      <c r="I9" s="79">
        <v>80</v>
      </c>
      <c r="J9" s="79">
        <v>80</v>
      </c>
      <c r="K9" s="79">
        <v>80</v>
      </c>
      <c r="L9" s="79">
        <v>80</v>
      </c>
      <c r="M9" s="79">
        <v>80</v>
      </c>
      <c r="N9" s="79">
        <v>80</v>
      </c>
      <c r="O9" s="79">
        <v>80</v>
      </c>
    </row>
    <row r="10" spans="3:15" x14ac:dyDescent="0.25">
      <c r="C10" s="102" t="s">
        <v>94</v>
      </c>
      <c r="D10" s="79">
        <v>8</v>
      </c>
      <c r="E10" s="79">
        <v>8</v>
      </c>
      <c r="F10" s="79">
        <v>8</v>
      </c>
      <c r="G10" s="79">
        <v>8</v>
      </c>
      <c r="H10" s="79">
        <v>8</v>
      </c>
      <c r="I10" s="79">
        <v>8</v>
      </c>
      <c r="J10" s="79">
        <v>8</v>
      </c>
      <c r="K10" s="79">
        <v>8</v>
      </c>
      <c r="L10" s="79">
        <v>8</v>
      </c>
      <c r="M10" s="79">
        <v>8</v>
      </c>
      <c r="N10" s="79">
        <v>8</v>
      </c>
      <c r="O10" s="79">
        <v>8</v>
      </c>
    </row>
    <row r="11" spans="3:15" x14ac:dyDescent="0.25">
      <c r="C11" s="102" t="s">
        <v>85</v>
      </c>
      <c r="D11" s="83">
        <v>16.600000000000001</v>
      </c>
      <c r="E11" s="83">
        <v>16.600000000000001</v>
      </c>
      <c r="F11" s="83">
        <v>16.600000000000001</v>
      </c>
      <c r="G11" s="83">
        <v>16.600000000000001</v>
      </c>
      <c r="H11" s="83">
        <v>16.600000000000001</v>
      </c>
      <c r="I11" s="83">
        <v>16.600000000000001</v>
      </c>
      <c r="J11" s="83">
        <v>16.600000000000001</v>
      </c>
      <c r="K11" s="83">
        <v>16.600000000000001</v>
      </c>
      <c r="L11" s="83">
        <v>16.600000000000001</v>
      </c>
      <c r="M11" s="83">
        <v>16.600000000000001</v>
      </c>
      <c r="N11" s="83">
        <v>16.600000000000001</v>
      </c>
      <c r="O11" s="83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28037.302032439889</v>
      </c>
      <c r="E14" s="90">
        <v>27220.681584893096</v>
      </c>
      <c r="F14" s="90">
        <v>26427.846198925337</v>
      </c>
      <c r="G14" s="90">
        <v>25658.103105752758</v>
      </c>
      <c r="H14" s="94">
        <v>24910.779714323064</v>
      </c>
      <c r="I14" s="94">
        <v>24185.223023614624</v>
      </c>
      <c r="J14" s="94">
        <v>23480.799052053037</v>
      </c>
      <c r="K14" s="95">
        <v>22796.892283546636</v>
      </c>
      <c r="L14" s="95">
        <v>22132.905129656927</v>
      </c>
      <c r="M14" s="95">
        <v>21488.25740743391</v>
      </c>
      <c r="N14" s="95">
        <v>20862.385832460106</v>
      </c>
      <c r="O14" s="95">
        <v>20254.743526660299</v>
      </c>
    </row>
    <row r="15" spans="3:15" x14ac:dyDescent="0.25">
      <c r="C15" s="102" t="s">
        <v>89</v>
      </c>
      <c r="D15" s="79">
        <v>4500</v>
      </c>
      <c r="E15" s="90">
        <f>D15*(1-$D$13)</f>
        <v>4365</v>
      </c>
      <c r="F15" s="90">
        <f t="shared" ref="F15:O15" si="0">E15*(1-$D$13)</f>
        <v>4234.05</v>
      </c>
      <c r="G15" s="90">
        <f t="shared" si="0"/>
        <v>4107.0285000000003</v>
      </c>
      <c r="H15" s="94">
        <f t="shared" si="0"/>
        <v>3983.8176450000001</v>
      </c>
      <c r="I15" s="94">
        <f t="shared" si="0"/>
        <v>3864.3031156500001</v>
      </c>
      <c r="J15" s="94">
        <f t="shared" si="0"/>
        <v>3748.3740221805001</v>
      </c>
      <c r="K15" s="95">
        <f t="shared" si="0"/>
        <v>3635.9228015150852</v>
      </c>
      <c r="L15" s="95">
        <f t="shared" si="0"/>
        <v>3526.8451174696324</v>
      </c>
      <c r="M15" s="95">
        <f t="shared" si="0"/>
        <v>3421.0397639455432</v>
      </c>
      <c r="N15" s="95">
        <f t="shared" si="0"/>
        <v>3318.408571027177</v>
      </c>
      <c r="O15" s="95">
        <f t="shared" si="0"/>
        <v>3218.8563138963618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95">
        <f t="shared" si="1"/>
        <v>60292.597806671118</v>
      </c>
    </row>
    <row r="19" spans="3:15" x14ac:dyDescent="0.25">
      <c r="C19" s="109" t="s">
        <v>93</v>
      </c>
      <c r="D19" s="70">
        <f>D8+D14+D15+D16+D17-D18</f>
        <v>502810.37588274968</v>
      </c>
      <c r="E19" s="90">
        <f t="shared" ref="E19:O19" si="2">E8+E14+E15+E16+E17-E18</f>
        <v>486843.21514275274</v>
      </c>
      <c r="F19" s="90">
        <f t="shared" si="2"/>
        <v>520836.83585288061</v>
      </c>
      <c r="G19" s="90">
        <f t="shared" si="2"/>
        <v>506276.7126844888</v>
      </c>
      <c r="H19" s="94">
        <f t="shared" si="2"/>
        <v>493029.66079221515</v>
      </c>
      <c r="I19" s="94">
        <f t="shared" si="2"/>
        <v>477952.05726611934</v>
      </c>
      <c r="J19" s="94">
        <f t="shared" si="2"/>
        <v>464032.65222823631</v>
      </c>
      <c r="K19" s="95">
        <f t="shared" si="2"/>
        <v>451165.26115532476</v>
      </c>
      <c r="L19" s="95">
        <f t="shared" si="2"/>
        <v>439254.03711661318</v>
      </c>
      <c r="M19" s="95">
        <f t="shared" si="2"/>
        <v>428212.44520151621</v>
      </c>
      <c r="N19" s="95">
        <f t="shared" si="2"/>
        <v>417962.33926592633</v>
      </c>
      <c r="O19" s="95">
        <f t="shared" si="2"/>
        <v>408433.13077218184</v>
      </c>
    </row>
    <row r="22" spans="3:15" x14ac:dyDescent="0.25">
      <c r="C22" s="131" t="s">
        <v>389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3:15" x14ac:dyDescent="0.25">
      <c r="C23" s="123"/>
      <c r="D23" s="124">
        <v>2019</v>
      </c>
      <c r="E23" s="125">
        <v>2020</v>
      </c>
      <c r="F23" s="125">
        <v>2021</v>
      </c>
      <c r="G23" s="125">
        <v>2022</v>
      </c>
      <c r="H23" s="126">
        <v>2023</v>
      </c>
      <c r="I23" s="126">
        <v>2024</v>
      </c>
      <c r="J23" s="126">
        <v>2025</v>
      </c>
      <c r="K23" s="127">
        <v>2026</v>
      </c>
      <c r="L23" s="127">
        <v>2027</v>
      </c>
      <c r="M23" s="127">
        <v>2028</v>
      </c>
      <c r="N23" s="127">
        <v>2029</v>
      </c>
      <c r="O23" s="128">
        <v>2030</v>
      </c>
    </row>
    <row r="24" spans="3:15" x14ac:dyDescent="0.25">
      <c r="C24" s="102" t="s">
        <v>45</v>
      </c>
      <c r="D24" s="70">
        <v>532285.71428571432</v>
      </c>
      <c r="E24" s="87">
        <v>534885.71428571432</v>
      </c>
      <c r="F24" s="87">
        <v>537537.71428571432</v>
      </c>
      <c r="G24" s="87">
        <v>540242.75428571436</v>
      </c>
      <c r="H24" s="88">
        <v>543001.89508571429</v>
      </c>
      <c r="I24" s="88">
        <v>545816.2187017143</v>
      </c>
      <c r="J24" s="88">
        <v>548686.82879003428</v>
      </c>
      <c r="K24" s="89">
        <v>551614.85108012066</v>
      </c>
      <c r="L24" s="89">
        <v>554601.43381600874</v>
      </c>
      <c r="M24" s="89">
        <v>557647.74820661463</v>
      </c>
      <c r="N24" s="89">
        <v>560754.9888850326</v>
      </c>
      <c r="O24" s="107">
        <v>563924.374377019</v>
      </c>
    </row>
    <row r="25" spans="3:15" x14ac:dyDescent="0.25">
      <c r="C25" s="102" t="s">
        <v>23</v>
      </c>
      <c r="D25" s="117">
        <v>53228.571428571435</v>
      </c>
      <c r="E25" s="76">
        <v>53488.571428571435</v>
      </c>
      <c r="F25" s="76">
        <v>53753.771428571432</v>
      </c>
      <c r="G25" s="76">
        <v>54024.27542857144</v>
      </c>
      <c r="H25" s="77">
        <v>54300.189508571435</v>
      </c>
      <c r="I25" s="77">
        <v>54581.621870171432</v>
      </c>
      <c r="J25" s="77">
        <v>54868.682879003434</v>
      </c>
      <c r="K25" s="78">
        <v>55161.485108012072</v>
      </c>
      <c r="L25" s="78">
        <v>55460.143381600879</v>
      </c>
      <c r="M25" s="78">
        <v>55764.774820661463</v>
      </c>
      <c r="N25" s="78">
        <v>56075.498888503265</v>
      </c>
      <c r="O25" s="104">
        <v>56392.437437701905</v>
      </c>
    </row>
    <row r="26" spans="3:15" x14ac:dyDescent="0.25">
      <c r="C26" s="102" t="s">
        <v>47</v>
      </c>
      <c r="D26" s="93">
        <v>585514.2857142858</v>
      </c>
      <c r="E26" s="71">
        <v>588374.2857142858</v>
      </c>
      <c r="F26" s="71">
        <v>591291.48571428575</v>
      </c>
      <c r="G26" s="135">
        <v>594267.02971428575</v>
      </c>
      <c r="H26" s="72">
        <v>597302.0845942857</v>
      </c>
      <c r="I26" s="72">
        <v>600397.8405718857</v>
      </c>
      <c r="J26" s="72">
        <v>603555.51166903775</v>
      </c>
      <c r="K26" s="73">
        <v>606776.33618813276</v>
      </c>
      <c r="L26" s="73">
        <v>610061.57719760959</v>
      </c>
      <c r="M26" s="73">
        <v>613412.52302727615</v>
      </c>
      <c r="N26" s="73">
        <v>616830.48777353589</v>
      </c>
      <c r="O26" s="103">
        <v>620316.81181472086</v>
      </c>
    </row>
    <row r="27" spans="3:15" x14ac:dyDescent="0.25">
      <c r="C27" s="102" t="s">
        <v>84</v>
      </c>
      <c r="D27" s="79">
        <v>80</v>
      </c>
      <c r="E27" s="79">
        <v>80</v>
      </c>
      <c r="F27" s="79">
        <v>80</v>
      </c>
      <c r="G27" s="79">
        <v>80</v>
      </c>
      <c r="H27" s="79">
        <v>80</v>
      </c>
      <c r="I27" s="79">
        <v>80</v>
      </c>
      <c r="J27" s="79">
        <v>80</v>
      </c>
      <c r="K27" s="79">
        <v>80</v>
      </c>
      <c r="L27" s="79">
        <v>80</v>
      </c>
      <c r="M27" s="79">
        <v>80</v>
      </c>
      <c r="N27" s="79">
        <v>80</v>
      </c>
      <c r="O27" s="79">
        <v>80</v>
      </c>
    </row>
    <row r="28" spans="3:15" x14ac:dyDescent="0.25">
      <c r="C28" s="102" t="s">
        <v>94</v>
      </c>
      <c r="D28" s="79">
        <v>8</v>
      </c>
      <c r="E28" s="79">
        <v>8</v>
      </c>
      <c r="F28" s="79">
        <v>8</v>
      </c>
      <c r="G28" s="79">
        <v>8</v>
      </c>
      <c r="H28" s="79">
        <v>8</v>
      </c>
      <c r="I28" s="79">
        <v>8</v>
      </c>
      <c r="J28" s="79">
        <v>8</v>
      </c>
      <c r="K28" s="79">
        <v>8</v>
      </c>
      <c r="L28" s="79">
        <v>8</v>
      </c>
      <c r="M28" s="79">
        <v>8</v>
      </c>
      <c r="N28" s="79">
        <v>8</v>
      </c>
      <c r="O28" s="79">
        <v>8</v>
      </c>
    </row>
    <row r="29" spans="3:15" x14ac:dyDescent="0.25">
      <c r="C29" s="102" t="s">
        <v>95</v>
      </c>
      <c r="D29" s="83">
        <v>7</v>
      </c>
      <c r="E29" s="83">
        <v>7</v>
      </c>
      <c r="F29" s="83">
        <v>7</v>
      </c>
      <c r="G29" s="83">
        <v>7</v>
      </c>
      <c r="H29" s="83">
        <v>7</v>
      </c>
      <c r="I29" s="83">
        <v>7</v>
      </c>
      <c r="J29" s="83">
        <v>7</v>
      </c>
      <c r="K29" s="83">
        <v>7</v>
      </c>
      <c r="L29" s="83">
        <v>7</v>
      </c>
      <c r="M29" s="83">
        <v>7</v>
      </c>
      <c r="N29" s="83">
        <v>7</v>
      </c>
      <c r="O29" s="83">
        <v>7</v>
      </c>
    </row>
    <row r="30" spans="3:15" x14ac:dyDescent="0.25">
      <c r="C30" s="102" t="s">
        <v>96</v>
      </c>
      <c r="D30" s="70">
        <v>7</v>
      </c>
      <c r="E30" s="71">
        <v>7</v>
      </c>
      <c r="F30" s="71">
        <v>7</v>
      </c>
      <c r="G30" s="80">
        <v>7</v>
      </c>
      <c r="H30" s="72">
        <v>7</v>
      </c>
      <c r="I30" s="72">
        <v>7</v>
      </c>
      <c r="J30" s="72">
        <v>7</v>
      </c>
      <c r="K30" s="73">
        <v>7</v>
      </c>
      <c r="L30" s="73">
        <v>7</v>
      </c>
      <c r="M30" s="73">
        <v>7</v>
      </c>
      <c r="N30" s="73">
        <v>7</v>
      </c>
      <c r="O30" s="103">
        <v>7</v>
      </c>
    </row>
    <row r="31" spans="3:15" x14ac:dyDescent="0.25">
      <c r="C31" s="102" t="s">
        <v>97</v>
      </c>
      <c r="D31" s="150">
        <v>0.03</v>
      </c>
      <c r="E31" s="151">
        <v>0.03</v>
      </c>
      <c r="F31" s="151">
        <v>0.03</v>
      </c>
      <c r="G31" s="151">
        <v>0.03</v>
      </c>
      <c r="H31" s="152">
        <v>0.03</v>
      </c>
      <c r="I31" s="152">
        <v>0.03</v>
      </c>
      <c r="J31" s="152">
        <v>0.03</v>
      </c>
      <c r="K31" s="153">
        <v>0.03</v>
      </c>
      <c r="L31" s="153">
        <v>0.03</v>
      </c>
      <c r="M31" s="153">
        <v>0.03</v>
      </c>
      <c r="N31" s="153">
        <v>0.03</v>
      </c>
      <c r="O31" s="154">
        <v>0.03</v>
      </c>
    </row>
    <row r="32" spans="3:15" x14ac:dyDescent="0.25">
      <c r="C32" s="102" t="s">
        <v>88</v>
      </c>
      <c r="D32" s="70">
        <v>103450.88852330983</v>
      </c>
      <c r="E32" s="71">
        <v>100437.75584787363</v>
      </c>
      <c r="F32" s="71">
        <v>97512.384318323908</v>
      </c>
      <c r="G32" s="80">
        <v>94672.2177847805</v>
      </c>
      <c r="H32" s="72">
        <v>91914.774548330592</v>
      </c>
      <c r="I32" s="72">
        <v>89237.645192553973</v>
      </c>
      <c r="J32" s="72">
        <v>86638.49047820775</v>
      </c>
      <c r="K32" s="73">
        <v>84115.039299230819</v>
      </c>
      <c r="L32" s="73">
        <v>81665.086698282335</v>
      </c>
      <c r="M32" s="73">
        <v>79286.491940079941</v>
      </c>
      <c r="N32" s="73">
        <v>76977.176640854304</v>
      </c>
      <c r="O32" s="103">
        <v>74735.122952285732</v>
      </c>
    </row>
    <row r="33" spans="3:15" x14ac:dyDescent="0.25">
      <c r="C33" s="102" t="s">
        <v>89</v>
      </c>
      <c r="D33" s="70">
        <v>41400</v>
      </c>
      <c r="E33" s="71">
        <f>D33*(1-$D$31)</f>
        <v>40158</v>
      </c>
      <c r="F33" s="71">
        <f t="shared" ref="F33:O33" si="3">E33*(1-$D$31)</f>
        <v>38953.26</v>
      </c>
      <c r="G33" s="80">
        <f t="shared" si="3"/>
        <v>37784.662199999999</v>
      </c>
      <c r="H33" s="72">
        <f t="shared" si="3"/>
        <v>36651.122334</v>
      </c>
      <c r="I33" s="72">
        <f t="shared" si="3"/>
        <v>35551.588663980001</v>
      </c>
      <c r="J33" s="72">
        <f t="shared" si="3"/>
        <v>34485.0410040606</v>
      </c>
      <c r="K33" s="73">
        <f t="shared" si="3"/>
        <v>33450.489773938782</v>
      </c>
      <c r="L33" s="73">
        <f t="shared" si="3"/>
        <v>32446.975080720618</v>
      </c>
      <c r="M33" s="73">
        <f t="shared" si="3"/>
        <v>31473.565828298997</v>
      </c>
      <c r="N33" s="73">
        <f t="shared" si="3"/>
        <v>30529.358853450027</v>
      </c>
      <c r="O33" s="103">
        <f t="shared" si="3"/>
        <v>29613.478087846524</v>
      </c>
    </row>
    <row r="34" spans="3:15" x14ac:dyDescent="0.25">
      <c r="C34" s="102" t="s">
        <v>90</v>
      </c>
      <c r="D34" s="79">
        <v>28921.13182088617</v>
      </c>
      <c r="E34" s="71">
        <v>28078.768758141909</v>
      </c>
      <c r="F34" s="71">
        <v>27260.940541885349</v>
      </c>
      <c r="G34" s="80">
        <v>26466.932564937233</v>
      </c>
      <c r="H34" s="72">
        <v>25696.051033919644</v>
      </c>
      <c r="I34" s="72">
        <v>22142.102842256889</v>
      </c>
      <c r="J34" s="72">
        <v>18691.667704720232</v>
      </c>
      <c r="K34" s="73">
        <v>15341.730677985615</v>
      </c>
      <c r="L34" s="73">
        <v>12089.3646326122</v>
      </c>
      <c r="M34" s="73">
        <v>8931.7276953564578</v>
      </c>
      <c r="N34" s="73">
        <v>5866.0607659819507</v>
      </c>
      <c r="O34" s="103">
        <v>2889.6851063950494</v>
      </c>
    </row>
    <row r="35" spans="3:15" x14ac:dyDescent="0.25">
      <c r="C35" s="102" t="s">
        <v>91</v>
      </c>
      <c r="D35" s="79">
        <v>360</v>
      </c>
      <c r="E35" s="71">
        <f>D35*(1-$D$31)</f>
        <v>349.2</v>
      </c>
      <c r="F35" s="71">
        <f t="shared" ref="F35:O35" si="4">E35*(1-$D$31)</f>
        <v>338.72399999999999</v>
      </c>
      <c r="G35" s="80">
        <f t="shared" si="4"/>
        <v>328.56227999999999</v>
      </c>
      <c r="H35" s="72">
        <f t="shared" si="4"/>
        <v>318.70541159999999</v>
      </c>
      <c r="I35" s="72">
        <f t="shared" si="4"/>
        <v>309.14424925200001</v>
      </c>
      <c r="J35" s="72">
        <f t="shared" si="4"/>
        <v>299.86992177444</v>
      </c>
      <c r="K35" s="73">
        <f t="shared" si="4"/>
        <v>290.87382412120678</v>
      </c>
      <c r="L35" s="73">
        <f t="shared" si="4"/>
        <v>282.14760939757059</v>
      </c>
      <c r="M35" s="73">
        <f t="shared" si="4"/>
        <v>273.68318111564349</v>
      </c>
      <c r="N35" s="73">
        <f t="shared" si="4"/>
        <v>265.47268568217419</v>
      </c>
      <c r="O35" s="103">
        <f t="shared" si="4"/>
        <v>257.50850511170893</v>
      </c>
    </row>
    <row r="36" spans="3:15" x14ac:dyDescent="0.25">
      <c r="C36" s="102" t="s">
        <v>87</v>
      </c>
      <c r="D36" s="79">
        <f>0.35*D24</f>
        <v>186300</v>
      </c>
      <c r="E36" s="71">
        <f t="shared" ref="E36:O36" si="5">0.35*E24</f>
        <v>187210</v>
      </c>
      <c r="F36" s="71">
        <f t="shared" si="5"/>
        <v>188138.2</v>
      </c>
      <c r="G36" s="80">
        <f t="shared" si="5"/>
        <v>189084.96400000001</v>
      </c>
      <c r="H36" s="72">
        <f t="shared" si="5"/>
        <v>190050.66327999998</v>
      </c>
      <c r="I36" s="72">
        <f t="shared" si="5"/>
        <v>191035.6765456</v>
      </c>
      <c r="J36" s="72">
        <f t="shared" si="5"/>
        <v>192040.39007651198</v>
      </c>
      <c r="K36" s="73">
        <f t="shared" si="5"/>
        <v>193065.19787804221</v>
      </c>
      <c r="L36" s="73">
        <f t="shared" si="5"/>
        <v>194110.50183560303</v>
      </c>
      <c r="M36" s="73">
        <f t="shared" si="5"/>
        <v>195176.71187231512</v>
      </c>
      <c r="N36" s="73">
        <f t="shared" si="5"/>
        <v>196264.24610976139</v>
      </c>
      <c r="O36" s="103">
        <f t="shared" si="5"/>
        <v>197373.53103195663</v>
      </c>
    </row>
    <row r="37" spans="3:15" x14ac:dyDescent="0.25">
      <c r="C37" s="109" t="s">
        <v>93</v>
      </c>
      <c r="D37" s="79">
        <f>D26+D32+D33+D34-D36</f>
        <v>572986.3060584818</v>
      </c>
      <c r="E37" s="71">
        <f t="shared" ref="E37:O37" si="6">E26+E32+E33+E34-E36</f>
        <v>569838.81032030133</v>
      </c>
      <c r="F37" s="71">
        <f t="shared" si="6"/>
        <v>566879.87057449506</v>
      </c>
      <c r="G37" s="80">
        <f t="shared" si="6"/>
        <v>564105.87826400355</v>
      </c>
      <c r="H37" s="72">
        <f t="shared" si="6"/>
        <v>561513.36923053593</v>
      </c>
      <c r="I37" s="72">
        <f t="shared" si="6"/>
        <v>556293.50072507653</v>
      </c>
      <c r="J37" s="72">
        <f t="shared" si="6"/>
        <v>551330.32077951438</v>
      </c>
      <c r="K37" s="73">
        <f t="shared" si="6"/>
        <v>546618.39806124568</v>
      </c>
      <c r="L37" s="73">
        <f t="shared" si="6"/>
        <v>542152.50177362177</v>
      </c>
      <c r="M37" s="73">
        <f t="shared" si="6"/>
        <v>537927.59661869647</v>
      </c>
      <c r="N37" s="73">
        <f t="shared" si="6"/>
        <v>533938.83792406076</v>
      </c>
      <c r="O37" s="103">
        <f t="shared" si="6"/>
        <v>530181.56692929147</v>
      </c>
    </row>
    <row r="39" spans="3:15" x14ac:dyDescent="0.25">
      <c r="C39" t="s">
        <v>329</v>
      </c>
      <c r="D39" s="30">
        <f>D19-D37</f>
        <v>-70175.930175732123</v>
      </c>
      <c r="E39" s="30">
        <f t="shared" ref="E39:O39" si="7">E19-E37</f>
        <v>-82995.595177548588</v>
      </c>
      <c r="F39" s="30">
        <f t="shared" si="7"/>
        <v>-46043.034721614444</v>
      </c>
      <c r="G39" s="30">
        <f t="shared" si="7"/>
        <v>-57829.165579514753</v>
      </c>
      <c r="H39" s="30">
        <f t="shared" si="7"/>
        <v>-68483.708438320784</v>
      </c>
      <c r="I39" s="30">
        <f t="shared" si="7"/>
        <v>-78341.44345895719</v>
      </c>
      <c r="J39" s="30">
        <f t="shared" si="7"/>
        <v>-87297.668551278068</v>
      </c>
      <c r="K39" s="30">
        <f t="shared" si="7"/>
        <v>-95453.136905920925</v>
      </c>
      <c r="L39" s="30">
        <f t="shared" si="7"/>
        <v>-102898.46465700859</v>
      </c>
      <c r="M39" s="30">
        <f t="shared" si="7"/>
        <v>-109715.15141718026</v>
      </c>
      <c r="N39" s="30">
        <f t="shared" si="7"/>
        <v>-115976.49865813443</v>
      </c>
      <c r="O39" s="30">
        <f t="shared" si="7"/>
        <v>-121748.43615710962</v>
      </c>
    </row>
    <row r="60" spans="3:26" x14ac:dyDescent="0.25">
      <c r="D60">
        <v>2019</v>
      </c>
      <c r="E60">
        <v>2020</v>
      </c>
      <c r="F60">
        <v>2021</v>
      </c>
      <c r="G60">
        <v>2022</v>
      </c>
      <c r="H60">
        <v>2023</v>
      </c>
      <c r="I60">
        <v>2024</v>
      </c>
      <c r="J60">
        <v>2025</v>
      </c>
      <c r="K60">
        <v>2026</v>
      </c>
      <c r="L60">
        <v>2027</v>
      </c>
      <c r="M60">
        <v>2028</v>
      </c>
      <c r="N60">
        <v>2029</v>
      </c>
      <c r="O60">
        <v>2030</v>
      </c>
      <c r="P60">
        <v>2031</v>
      </c>
      <c r="Q60">
        <v>2032</v>
      </c>
      <c r="R60">
        <v>2033</v>
      </c>
      <c r="S60">
        <v>2034</v>
      </c>
      <c r="T60">
        <v>2035</v>
      </c>
      <c r="U60">
        <v>2036</v>
      </c>
      <c r="V60">
        <v>2037</v>
      </c>
      <c r="W60">
        <v>2038</v>
      </c>
      <c r="X60">
        <v>2039</v>
      </c>
      <c r="Y60">
        <v>2040</v>
      </c>
      <c r="Z60">
        <v>2041</v>
      </c>
    </row>
    <row r="61" spans="3:26" x14ac:dyDescent="0.25">
      <c r="C61" t="s">
        <v>98</v>
      </c>
      <c r="D61">
        <f>80*365</f>
        <v>29200</v>
      </c>
      <c r="E61">
        <f t="shared" ref="E61:Z61" si="8">80*365</f>
        <v>29200</v>
      </c>
      <c r="F61">
        <f t="shared" si="8"/>
        <v>29200</v>
      </c>
      <c r="G61">
        <f t="shared" si="8"/>
        <v>29200</v>
      </c>
      <c r="H61">
        <f t="shared" si="8"/>
        <v>29200</v>
      </c>
      <c r="I61">
        <f t="shared" si="8"/>
        <v>29200</v>
      </c>
      <c r="J61">
        <f t="shared" si="8"/>
        <v>29200</v>
      </c>
      <c r="K61">
        <f t="shared" si="8"/>
        <v>29200</v>
      </c>
      <c r="L61">
        <f t="shared" si="8"/>
        <v>29200</v>
      </c>
      <c r="M61">
        <f t="shared" si="8"/>
        <v>29200</v>
      </c>
      <c r="N61">
        <f t="shared" si="8"/>
        <v>29200</v>
      </c>
      <c r="O61">
        <f t="shared" si="8"/>
        <v>29200</v>
      </c>
      <c r="P61">
        <f t="shared" si="8"/>
        <v>29200</v>
      </c>
      <c r="Q61">
        <f t="shared" si="8"/>
        <v>29200</v>
      </c>
      <c r="R61">
        <f t="shared" si="8"/>
        <v>29200</v>
      </c>
      <c r="S61">
        <f t="shared" si="8"/>
        <v>29200</v>
      </c>
      <c r="T61">
        <f t="shared" si="8"/>
        <v>29200</v>
      </c>
      <c r="U61">
        <f t="shared" si="8"/>
        <v>29200</v>
      </c>
      <c r="V61">
        <f t="shared" si="8"/>
        <v>29200</v>
      </c>
      <c r="W61">
        <f t="shared" si="8"/>
        <v>29200</v>
      </c>
      <c r="X61">
        <f t="shared" si="8"/>
        <v>29200</v>
      </c>
      <c r="Y61">
        <f t="shared" si="8"/>
        <v>29200</v>
      </c>
      <c r="Z61">
        <f t="shared" si="8"/>
        <v>29200</v>
      </c>
    </row>
    <row r="62" spans="3:26" x14ac:dyDescent="0.25">
      <c r="C62" t="s">
        <v>99</v>
      </c>
      <c r="D62" s="30">
        <f>($D$11/100)*D61</f>
        <v>4847.2</v>
      </c>
      <c r="E62" s="30">
        <f t="shared" ref="E62:Z62" si="9">($D$11/100)*E61</f>
        <v>4847.2</v>
      </c>
      <c r="F62" s="30">
        <f t="shared" si="9"/>
        <v>4847.2</v>
      </c>
      <c r="G62" s="30">
        <f t="shared" si="9"/>
        <v>4847.2</v>
      </c>
      <c r="H62" s="30">
        <f t="shared" si="9"/>
        <v>4847.2</v>
      </c>
      <c r="I62" s="30">
        <f t="shared" si="9"/>
        <v>4847.2</v>
      </c>
      <c r="J62" s="30">
        <f t="shared" si="9"/>
        <v>4847.2</v>
      </c>
      <c r="K62" s="30">
        <f t="shared" si="9"/>
        <v>4847.2</v>
      </c>
      <c r="L62" s="30">
        <f t="shared" si="9"/>
        <v>4847.2</v>
      </c>
      <c r="M62" s="30">
        <f t="shared" si="9"/>
        <v>4847.2</v>
      </c>
      <c r="N62" s="30">
        <f t="shared" si="9"/>
        <v>4847.2</v>
      </c>
      <c r="O62" s="30">
        <f t="shared" si="9"/>
        <v>4847.2</v>
      </c>
      <c r="P62" s="30">
        <f t="shared" si="9"/>
        <v>4847.2</v>
      </c>
      <c r="Q62" s="30">
        <f t="shared" si="9"/>
        <v>4847.2</v>
      </c>
      <c r="R62" s="30">
        <f t="shared" si="9"/>
        <v>4847.2</v>
      </c>
      <c r="S62" s="30">
        <f t="shared" si="9"/>
        <v>4847.2</v>
      </c>
      <c r="T62" s="30">
        <f t="shared" si="9"/>
        <v>4847.2</v>
      </c>
      <c r="U62" s="30">
        <f t="shared" si="9"/>
        <v>4847.2</v>
      </c>
      <c r="V62" s="30">
        <f t="shared" si="9"/>
        <v>4847.2</v>
      </c>
      <c r="W62" s="30">
        <f t="shared" si="9"/>
        <v>4847.2</v>
      </c>
      <c r="X62" s="30">
        <f t="shared" si="9"/>
        <v>4847.2</v>
      </c>
      <c r="Y62" s="30">
        <f t="shared" si="9"/>
        <v>4847.2</v>
      </c>
      <c r="Z62" s="30">
        <f t="shared" si="9"/>
        <v>4847.2</v>
      </c>
    </row>
    <row r="63" spans="3:26" x14ac:dyDescent="0.25">
      <c r="C63" t="s">
        <v>101</v>
      </c>
      <c r="D63" s="1">
        <f>D62*$D$12</f>
        <v>3877.76</v>
      </c>
      <c r="E63" s="1">
        <f t="shared" ref="E63:Z63" si="10">E62*$D$12</f>
        <v>3877.76</v>
      </c>
      <c r="F63" s="1">
        <f t="shared" si="10"/>
        <v>3877.76</v>
      </c>
      <c r="G63" s="1">
        <f t="shared" si="10"/>
        <v>3877.76</v>
      </c>
      <c r="H63" s="1">
        <f t="shared" si="10"/>
        <v>3877.76</v>
      </c>
      <c r="I63" s="1">
        <f t="shared" si="10"/>
        <v>3877.76</v>
      </c>
      <c r="J63" s="1">
        <f t="shared" si="10"/>
        <v>3877.76</v>
      </c>
      <c r="K63" s="1">
        <f t="shared" si="10"/>
        <v>3877.76</v>
      </c>
      <c r="L63" s="1">
        <f t="shared" si="10"/>
        <v>3877.76</v>
      </c>
      <c r="M63" s="1">
        <f t="shared" si="10"/>
        <v>3877.76</v>
      </c>
      <c r="N63" s="1">
        <f t="shared" si="10"/>
        <v>3877.76</v>
      </c>
      <c r="O63" s="1">
        <f t="shared" si="10"/>
        <v>3877.76</v>
      </c>
      <c r="P63" s="1">
        <f t="shared" si="10"/>
        <v>3877.76</v>
      </c>
      <c r="Q63" s="1">
        <f t="shared" si="10"/>
        <v>3877.76</v>
      </c>
      <c r="R63" s="1">
        <f t="shared" si="10"/>
        <v>3877.76</v>
      </c>
      <c r="S63" s="1">
        <f t="shared" si="10"/>
        <v>3877.76</v>
      </c>
      <c r="T63" s="1">
        <f t="shared" si="10"/>
        <v>3877.76</v>
      </c>
      <c r="U63" s="1">
        <f t="shared" si="10"/>
        <v>3877.76</v>
      </c>
      <c r="V63" s="1">
        <f t="shared" si="10"/>
        <v>3877.76</v>
      </c>
      <c r="W63" s="1">
        <f t="shared" si="10"/>
        <v>3877.76</v>
      </c>
      <c r="X63" s="1">
        <f t="shared" si="10"/>
        <v>3877.76</v>
      </c>
      <c r="Y63" s="1">
        <f t="shared" si="10"/>
        <v>3877.76</v>
      </c>
      <c r="Z63" s="1">
        <f t="shared" si="10"/>
        <v>3877.76</v>
      </c>
    </row>
    <row r="64" spans="3:26" x14ac:dyDescent="0.25">
      <c r="C64" t="s">
        <v>100</v>
      </c>
      <c r="D64">
        <f>D63/(1+$D$13)^(D60-2019)</f>
        <v>3877.76</v>
      </c>
      <c r="E64">
        <f t="shared" ref="E64:Z64" si="11">E63/(1+$D$13)^(E60-2019)</f>
        <v>3764.8155339805826</v>
      </c>
      <c r="F64">
        <f t="shared" si="11"/>
        <v>3655.1607126025078</v>
      </c>
      <c r="G64">
        <f t="shared" si="11"/>
        <v>3548.6997209733081</v>
      </c>
      <c r="H64">
        <f t="shared" si="11"/>
        <v>3445.3395349255425</v>
      </c>
      <c r="I64">
        <f t="shared" si="11"/>
        <v>3344.9898397335364</v>
      </c>
      <c r="J64">
        <f t="shared" si="11"/>
        <v>3247.5629511976081</v>
      </c>
      <c r="K64">
        <f t="shared" si="11"/>
        <v>3152.9737390268037</v>
      </c>
      <c r="L64">
        <f t="shared" si="11"/>
        <v>3061.1395524532077</v>
      </c>
      <c r="M64">
        <f t="shared" si="11"/>
        <v>2971.9801480128231</v>
      </c>
      <c r="N64">
        <f t="shared" si="11"/>
        <v>2885.4176194299253</v>
      </c>
      <c r="O64">
        <f t="shared" si="11"/>
        <v>2801.3763295436165</v>
      </c>
      <c r="P64">
        <f t="shared" si="11"/>
        <v>2719.782844217104</v>
      </c>
      <c r="Q64">
        <f t="shared" si="11"/>
        <v>2640.5658681719456</v>
      </c>
      <c r="R64">
        <f t="shared" si="11"/>
        <v>2563.6561826912093</v>
      </c>
      <c r="S64">
        <f t="shared" si="11"/>
        <v>2488.986585137096</v>
      </c>
      <c r="T64">
        <f t="shared" si="11"/>
        <v>2416.4918302301908</v>
      </c>
      <c r="U64">
        <f t="shared" si="11"/>
        <v>2346.10857303902</v>
      </c>
      <c r="V64">
        <f t="shared" si="11"/>
        <v>2277.7753136301167</v>
      </c>
      <c r="W64">
        <f t="shared" si="11"/>
        <v>2211.4323433302106</v>
      </c>
      <c r="X64">
        <f t="shared" si="11"/>
        <v>2147.0216925536024</v>
      </c>
      <c r="Y64">
        <f t="shared" si="11"/>
        <v>2084.4870801491288</v>
      </c>
      <c r="Z64">
        <f t="shared" si="11"/>
        <v>2023.7738642224549</v>
      </c>
    </row>
    <row r="65" spans="3:26" x14ac:dyDescent="0.25">
      <c r="C65" t="s">
        <v>102</v>
      </c>
      <c r="D65">
        <f>SUM(D64:K64)</f>
        <v>28037.302032439889</v>
      </c>
      <c r="E65">
        <f>SUM(E64:L64)</f>
        <v>27220.681584893096</v>
      </c>
      <c r="F65">
        <f t="shared" ref="F65:O65" si="12">SUM(F64:M64)</f>
        <v>26427.846198925337</v>
      </c>
      <c r="G65">
        <f t="shared" si="12"/>
        <v>25658.103105752758</v>
      </c>
      <c r="H65">
        <f t="shared" si="12"/>
        <v>24910.779714323064</v>
      </c>
      <c r="I65">
        <f t="shared" si="12"/>
        <v>24185.223023614624</v>
      </c>
      <c r="J65">
        <f t="shared" si="12"/>
        <v>23480.799052053037</v>
      </c>
      <c r="K65">
        <f t="shared" si="12"/>
        <v>22796.892283546636</v>
      </c>
      <c r="L65">
        <f t="shared" si="12"/>
        <v>22132.905129656927</v>
      </c>
      <c r="M65">
        <f t="shared" si="12"/>
        <v>21488.25740743391</v>
      </c>
      <c r="N65">
        <f t="shared" si="12"/>
        <v>20862.385832460106</v>
      </c>
      <c r="O65">
        <f t="shared" si="12"/>
        <v>20254.743526660299</v>
      </c>
    </row>
    <row r="67" spans="3:26" x14ac:dyDescent="0.25">
      <c r="C67" t="s">
        <v>103</v>
      </c>
      <c r="D67">
        <f>27*300+27*100</f>
        <v>10800</v>
      </c>
    </row>
    <row r="71" spans="3:26" x14ac:dyDescent="0.25">
      <c r="C71" t="s">
        <v>104</v>
      </c>
      <c r="D71">
        <v>4300</v>
      </c>
      <c r="E71">
        <v>4300</v>
      </c>
      <c r="F71">
        <v>4300</v>
      </c>
      <c r="G71">
        <v>4300</v>
      </c>
      <c r="H71">
        <v>4300</v>
      </c>
      <c r="I71">
        <v>4300</v>
      </c>
      <c r="J71">
        <v>4300</v>
      </c>
      <c r="K71">
        <v>4300</v>
      </c>
      <c r="L71">
        <v>4300</v>
      </c>
      <c r="M71">
        <v>4300</v>
      </c>
      <c r="N71">
        <v>4300</v>
      </c>
      <c r="O71">
        <v>4300</v>
      </c>
      <c r="P71">
        <v>4300</v>
      </c>
      <c r="Q71">
        <v>4300</v>
      </c>
      <c r="R71">
        <v>4300</v>
      </c>
      <c r="S71">
        <v>4300</v>
      </c>
      <c r="T71">
        <v>4300</v>
      </c>
      <c r="U71">
        <v>4300</v>
      </c>
      <c r="V71">
        <v>4300</v>
      </c>
      <c r="W71">
        <v>4300</v>
      </c>
      <c r="X71">
        <v>4300</v>
      </c>
      <c r="Y71">
        <v>4300</v>
      </c>
      <c r="Z71">
        <v>4300</v>
      </c>
    </row>
    <row r="72" spans="3:26" x14ac:dyDescent="0.25">
      <c r="C72" t="s">
        <v>105</v>
      </c>
      <c r="D72">
        <f>D71/(1+0.03)^(D60-2019)</f>
        <v>4300</v>
      </c>
      <c r="E72">
        <f t="shared" ref="E72:O72" si="13">E71/(1+0.03)^(E60-2019)</f>
        <v>4174.7572815533977</v>
      </c>
      <c r="F72">
        <f t="shared" si="13"/>
        <v>4053.162409275144</v>
      </c>
      <c r="G72">
        <f t="shared" si="13"/>
        <v>3935.1091352185863</v>
      </c>
      <c r="H72">
        <f t="shared" si="13"/>
        <v>3820.4943060374626</v>
      </c>
      <c r="I72">
        <f t="shared" si="13"/>
        <v>3709.2177728519055</v>
      </c>
      <c r="J72">
        <f t="shared" si="13"/>
        <v>3601.1823037397139</v>
      </c>
      <c r="K72">
        <f t="shared" si="13"/>
        <v>3496.2934987764211</v>
      </c>
      <c r="L72">
        <f t="shared" si="13"/>
        <v>3394.4597075499237</v>
      </c>
      <c r="M72">
        <f t="shared" si="13"/>
        <v>3295.5919490775959</v>
      </c>
      <c r="N72">
        <f t="shared" si="13"/>
        <v>3199.6038340559185</v>
      </c>
      <c r="O72">
        <f t="shared" si="13"/>
        <v>3106.4114893746778</v>
      </c>
    </row>
    <row r="73" spans="3:26" x14ac:dyDescent="0.25">
      <c r="C73" t="s">
        <v>106</v>
      </c>
      <c r="D73" s="145">
        <f>SUM(D72:K72)</f>
        <v>31090.216707452633</v>
      </c>
      <c r="E73" s="145">
        <f>SUM(E72:L72)</f>
        <v>30184.676415002552</v>
      </c>
      <c r="F73" s="145">
        <f>SUM(F72:M72)</f>
        <v>29305.511082526751</v>
      </c>
      <c r="G73" s="145">
        <f t="shared" ref="G73:O73" si="14">SUM(G72:N72)</f>
        <v>28451.952507307524</v>
      </c>
      <c r="H73" s="145">
        <f t="shared" si="14"/>
        <v>27623.254861463614</v>
      </c>
      <c r="I73" s="145">
        <f t="shared" si="14"/>
        <v>23802.760555426157</v>
      </c>
      <c r="J73" s="145">
        <f t="shared" si="14"/>
        <v>20093.542782574252</v>
      </c>
      <c r="K73" s="145">
        <f t="shared" si="14"/>
        <v>16492.360478834536</v>
      </c>
      <c r="L73" s="145">
        <f t="shared" si="14"/>
        <v>12996.066980058116</v>
      </c>
      <c r="M73" s="145">
        <f t="shared" si="14"/>
        <v>9601.6072725081922</v>
      </c>
      <c r="N73" s="145">
        <f t="shared" si="14"/>
        <v>6306.0153234305963</v>
      </c>
      <c r="O73" s="145">
        <f t="shared" si="14"/>
        <v>3106.4114893746778</v>
      </c>
    </row>
    <row r="76" spans="3:26" x14ac:dyDescent="0.25">
      <c r="C76" t="s">
        <v>98</v>
      </c>
      <c r="D76">
        <f>D61</f>
        <v>29200</v>
      </c>
      <c r="E76">
        <f t="shared" ref="E76:Z76" si="15">E61</f>
        <v>29200</v>
      </c>
      <c r="F76">
        <f t="shared" si="15"/>
        <v>29200</v>
      </c>
      <c r="G76">
        <f t="shared" si="15"/>
        <v>29200</v>
      </c>
      <c r="H76">
        <f t="shared" si="15"/>
        <v>29200</v>
      </c>
      <c r="I76">
        <f t="shared" si="15"/>
        <v>29200</v>
      </c>
      <c r="J76">
        <f t="shared" si="15"/>
        <v>29200</v>
      </c>
      <c r="K76">
        <f t="shared" si="15"/>
        <v>29200</v>
      </c>
      <c r="L76">
        <f t="shared" si="15"/>
        <v>29200</v>
      </c>
      <c r="M76">
        <f t="shared" si="15"/>
        <v>29200</v>
      </c>
      <c r="N76">
        <f t="shared" si="15"/>
        <v>29200</v>
      </c>
      <c r="O76">
        <f t="shared" si="15"/>
        <v>29200</v>
      </c>
      <c r="P76">
        <f t="shared" si="15"/>
        <v>29200</v>
      </c>
      <c r="Q76">
        <f t="shared" si="15"/>
        <v>29200</v>
      </c>
      <c r="R76">
        <f t="shared" si="15"/>
        <v>29200</v>
      </c>
      <c r="S76">
        <f t="shared" si="15"/>
        <v>29200</v>
      </c>
      <c r="T76">
        <f t="shared" si="15"/>
        <v>29200</v>
      </c>
      <c r="U76">
        <f t="shared" si="15"/>
        <v>29200</v>
      </c>
      <c r="V76">
        <f t="shared" si="15"/>
        <v>29200</v>
      </c>
      <c r="W76">
        <f t="shared" si="15"/>
        <v>29200</v>
      </c>
      <c r="X76">
        <f t="shared" si="15"/>
        <v>29200</v>
      </c>
      <c r="Y76">
        <f t="shared" si="15"/>
        <v>29200</v>
      </c>
      <c r="Z76">
        <f t="shared" si="15"/>
        <v>29200</v>
      </c>
    </row>
    <row r="77" spans="3:26" x14ac:dyDescent="0.25">
      <c r="C77" t="s">
        <v>107</v>
      </c>
      <c r="D77" s="30">
        <f>($D$29/100)*D76</f>
        <v>2044.0000000000002</v>
      </c>
      <c r="E77" s="30">
        <f t="shared" ref="E77:Z77" si="16">($D$29/100)*E76</f>
        <v>2044.0000000000002</v>
      </c>
      <c r="F77" s="30">
        <f t="shared" si="16"/>
        <v>2044.0000000000002</v>
      </c>
      <c r="G77" s="30">
        <f t="shared" si="16"/>
        <v>2044.0000000000002</v>
      </c>
      <c r="H77" s="30">
        <f t="shared" si="16"/>
        <v>2044.0000000000002</v>
      </c>
      <c r="I77" s="30">
        <f t="shared" si="16"/>
        <v>2044.0000000000002</v>
      </c>
      <c r="J77" s="30">
        <f t="shared" si="16"/>
        <v>2044.0000000000002</v>
      </c>
      <c r="K77" s="30">
        <f t="shared" si="16"/>
        <v>2044.0000000000002</v>
      </c>
      <c r="L77" s="30">
        <f t="shared" si="16"/>
        <v>2044.0000000000002</v>
      </c>
      <c r="M77" s="30">
        <f t="shared" si="16"/>
        <v>2044.0000000000002</v>
      </c>
      <c r="N77" s="30">
        <f t="shared" si="16"/>
        <v>2044.0000000000002</v>
      </c>
      <c r="O77" s="30">
        <f t="shared" si="16"/>
        <v>2044.0000000000002</v>
      </c>
      <c r="P77" s="30">
        <f t="shared" si="16"/>
        <v>2044.0000000000002</v>
      </c>
      <c r="Q77" s="30">
        <f t="shared" si="16"/>
        <v>2044.0000000000002</v>
      </c>
      <c r="R77" s="30">
        <f t="shared" si="16"/>
        <v>2044.0000000000002</v>
      </c>
      <c r="S77" s="30">
        <f t="shared" si="16"/>
        <v>2044.0000000000002</v>
      </c>
      <c r="T77" s="30">
        <f t="shared" si="16"/>
        <v>2044.0000000000002</v>
      </c>
      <c r="U77" s="30">
        <f t="shared" si="16"/>
        <v>2044.0000000000002</v>
      </c>
      <c r="V77" s="30">
        <f t="shared" si="16"/>
        <v>2044.0000000000002</v>
      </c>
      <c r="W77" s="30">
        <f t="shared" si="16"/>
        <v>2044.0000000000002</v>
      </c>
      <c r="X77" s="30">
        <f t="shared" si="16"/>
        <v>2044.0000000000002</v>
      </c>
      <c r="Y77" s="30">
        <f t="shared" si="16"/>
        <v>2044.0000000000002</v>
      </c>
      <c r="Z77" s="30">
        <f t="shared" si="16"/>
        <v>2044.0000000000002</v>
      </c>
    </row>
    <row r="78" spans="3:26" x14ac:dyDescent="0.25">
      <c r="C78" t="s">
        <v>108</v>
      </c>
      <c r="D78">
        <f>D77*$D$30</f>
        <v>14308.000000000002</v>
      </c>
      <c r="E78">
        <f t="shared" ref="E78:Z78" si="17">E77*$D$30</f>
        <v>14308.000000000002</v>
      </c>
      <c r="F78">
        <f t="shared" si="17"/>
        <v>14308.000000000002</v>
      </c>
      <c r="G78">
        <f t="shared" si="17"/>
        <v>14308.000000000002</v>
      </c>
      <c r="H78">
        <f t="shared" si="17"/>
        <v>14308.000000000002</v>
      </c>
      <c r="I78">
        <f t="shared" si="17"/>
        <v>14308.000000000002</v>
      </c>
      <c r="J78">
        <f t="shared" si="17"/>
        <v>14308.000000000002</v>
      </c>
      <c r="K78">
        <f t="shared" si="17"/>
        <v>14308.000000000002</v>
      </c>
      <c r="L78">
        <f t="shared" si="17"/>
        <v>14308.000000000002</v>
      </c>
      <c r="M78">
        <f t="shared" si="17"/>
        <v>14308.000000000002</v>
      </c>
      <c r="N78">
        <f t="shared" si="17"/>
        <v>14308.000000000002</v>
      </c>
      <c r="O78">
        <f t="shared" si="17"/>
        <v>14308.000000000002</v>
      </c>
      <c r="P78">
        <f t="shared" si="17"/>
        <v>14308.000000000002</v>
      </c>
      <c r="Q78">
        <f t="shared" si="17"/>
        <v>14308.000000000002</v>
      </c>
      <c r="R78">
        <f t="shared" si="17"/>
        <v>14308.000000000002</v>
      </c>
      <c r="S78">
        <f t="shared" si="17"/>
        <v>14308.000000000002</v>
      </c>
      <c r="T78">
        <f t="shared" si="17"/>
        <v>14308.000000000002</v>
      </c>
      <c r="U78">
        <f t="shared" si="17"/>
        <v>14308.000000000002</v>
      </c>
      <c r="V78">
        <f t="shared" si="17"/>
        <v>14308.000000000002</v>
      </c>
      <c r="W78">
        <f t="shared" si="17"/>
        <v>14308.000000000002</v>
      </c>
      <c r="X78">
        <f t="shared" si="17"/>
        <v>14308.000000000002</v>
      </c>
      <c r="Y78">
        <f t="shared" si="17"/>
        <v>14308.000000000002</v>
      </c>
      <c r="Z78">
        <f t="shared" si="17"/>
        <v>14308.000000000002</v>
      </c>
    </row>
    <row r="79" spans="3:26" x14ac:dyDescent="0.25">
      <c r="C79" t="s">
        <v>109</v>
      </c>
      <c r="D79">
        <f>D78/(1+$D$31)^(D60-2019)</f>
        <v>14308.000000000002</v>
      </c>
      <c r="E79">
        <f t="shared" ref="E79:Z79" si="18">E78/(1+$D$31)^(E60-2019)</f>
        <v>13891.262135922332</v>
      </c>
      <c r="F79">
        <f t="shared" si="18"/>
        <v>13486.66226788576</v>
      </c>
      <c r="G79">
        <f t="shared" si="18"/>
        <v>13093.84686202501</v>
      </c>
      <c r="H79">
        <f t="shared" si="18"/>
        <v>12712.472681577679</v>
      </c>
      <c r="I79">
        <f t="shared" si="18"/>
        <v>12342.206486968622</v>
      </c>
      <c r="J79">
        <f t="shared" si="18"/>
        <v>11982.72474462973</v>
      </c>
      <c r="K79">
        <f t="shared" si="18"/>
        <v>11633.713344300708</v>
      </c>
      <c r="L79">
        <f t="shared" si="18"/>
        <v>11294.867324563795</v>
      </c>
      <c r="M79">
        <f t="shared" si="18"/>
        <v>10965.890606372615</v>
      </c>
      <c r="N79">
        <f t="shared" si="18"/>
        <v>10646.495734342345</v>
      </c>
      <c r="O79">
        <f t="shared" si="18"/>
        <v>10336.403625575093</v>
      </c>
      <c r="P79">
        <f t="shared" si="18"/>
        <v>10035.343325801063</v>
      </c>
      <c r="Q79">
        <f t="shared" si="18"/>
        <v>9743.0517726223916</v>
      </c>
      <c r="R79">
        <f t="shared" si="18"/>
        <v>9459.2735656528057</v>
      </c>
      <c r="S79">
        <f t="shared" si="18"/>
        <v>9183.7607433522371</v>
      </c>
      <c r="T79">
        <f t="shared" si="18"/>
        <v>8916.2725663613983</v>
      </c>
      <c r="U79">
        <f t="shared" si="18"/>
        <v>8656.5753071469881</v>
      </c>
      <c r="V79">
        <f t="shared" si="18"/>
        <v>8404.4420457737742</v>
      </c>
      <c r="W79">
        <f t="shared" si="18"/>
        <v>8159.6524716250242</v>
      </c>
      <c r="X79">
        <f t="shared" si="18"/>
        <v>7921.9926908980815</v>
      </c>
      <c r="Y79">
        <f t="shared" si="18"/>
        <v>7691.2550397068762</v>
      </c>
      <c r="Z79">
        <f t="shared" si="18"/>
        <v>7467.237902628035</v>
      </c>
    </row>
    <row r="80" spans="3:26" x14ac:dyDescent="0.25">
      <c r="C80" t="s">
        <v>110</v>
      </c>
      <c r="D80" s="1">
        <f>SUM(D79:K79)</f>
        <v>103450.88852330983</v>
      </c>
      <c r="E80" s="1">
        <f t="shared" ref="E80:O80" si="19">SUM(E79:L79)</f>
        <v>100437.75584787363</v>
      </c>
      <c r="F80" s="1">
        <f t="shared" si="19"/>
        <v>97512.384318323908</v>
      </c>
      <c r="G80" s="1">
        <f t="shared" si="19"/>
        <v>94672.2177847805</v>
      </c>
      <c r="H80" s="1">
        <f t="shared" si="19"/>
        <v>91914.774548330592</v>
      </c>
      <c r="I80" s="1">
        <f t="shared" si="19"/>
        <v>89237.645192553973</v>
      </c>
      <c r="J80" s="1">
        <f t="shared" si="19"/>
        <v>86638.49047820775</v>
      </c>
      <c r="K80" s="1">
        <f t="shared" si="19"/>
        <v>84115.039299230819</v>
      </c>
      <c r="L80" s="1">
        <f t="shared" si="19"/>
        <v>81665.086698282335</v>
      </c>
      <c r="M80" s="1">
        <f t="shared" si="19"/>
        <v>79286.491940079941</v>
      </c>
      <c r="N80" s="1">
        <f t="shared" si="19"/>
        <v>76977.176640854304</v>
      </c>
      <c r="O80" s="1">
        <f t="shared" si="19"/>
        <v>74735.122952285732</v>
      </c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9"/>
  <sheetViews>
    <sheetView zoomScaleNormal="100" workbookViewId="0">
      <selection activeCell="D19" sqref="D19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83">
        <v>90</v>
      </c>
      <c r="E9" s="147">
        <v>90</v>
      </c>
      <c r="F9" s="147">
        <v>90</v>
      </c>
      <c r="G9" s="147">
        <v>90</v>
      </c>
      <c r="H9" s="148">
        <v>90</v>
      </c>
      <c r="I9" s="148">
        <v>90</v>
      </c>
      <c r="J9" s="148">
        <v>90</v>
      </c>
      <c r="K9" s="149">
        <v>90</v>
      </c>
      <c r="L9" s="149">
        <v>90</v>
      </c>
      <c r="M9" s="149">
        <v>90</v>
      </c>
      <c r="N9" s="149">
        <v>90</v>
      </c>
      <c r="O9" s="169">
        <v>90</v>
      </c>
    </row>
    <row r="10" spans="3:15" x14ac:dyDescent="0.25">
      <c r="C10" s="102" t="s">
        <v>94</v>
      </c>
      <c r="D10" s="83">
        <v>8</v>
      </c>
      <c r="E10" s="147">
        <v>8</v>
      </c>
      <c r="F10" s="147">
        <v>8</v>
      </c>
      <c r="G10" s="147">
        <v>8</v>
      </c>
      <c r="H10" s="148">
        <v>8</v>
      </c>
      <c r="I10" s="148">
        <v>8</v>
      </c>
      <c r="J10" s="148">
        <v>8</v>
      </c>
      <c r="K10" s="149">
        <v>8</v>
      </c>
      <c r="L10" s="149">
        <v>8</v>
      </c>
      <c r="M10" s="149">
        <v>8</v>
      </c>
      <c r="N10" s="149">
        <v>8</v>
      </c>
      <c r="O10" s="169">
        <v>8</v>
      </c>
    </row>
    <row r="11" spans="3:15" x14ac:dyDescent="0.25">
      <c r="C11" s="102" t="s">
        <v>85</v>
      </c>
      <c r="D11" s="83">
        <v>16.600000000000001</v>
      </c>
      <c r="E11" s="147">
        <v>16.600000000000001</v>
      </c>
      <c r="F11" s="147">
        <v>16.600000000000001</v>
      </c>
      <c r="G11" s="147">
        <v>16.600000000000001</v>
      </c>
      <c r="H11" s="148">
        <v>16.600000000000001</v>
      </c>
      <c r="I11" s="148">
        <v>16.600000000000001</v>
      </c>
      <c r="J11" s="148">
        <v>16.600000000000001</v>
      </c>
      <c r="K11" s="149">
        <v>16.600000000000001</v>
      </c>
      <c r="L11" s="149">
        <v>16.600000000000001</v>
      </c>
      <c r="M11" s="149">
        <v>16.600000000000001</v>
      </c>
      <c r="N11" s="149">
        <v>16.600000000000001</v>
      </c>
      <c r="O11" s="169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6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70">
        <v>0.03</v>
      </c>
    </row>
    <row r="14" spans="3:15" x14ac:dyDescent="0.25">
      <c r="C14" s="102" t="s">
        <v>88</v>
      </c>
      <c r="D14" s="79">
        <v>31541.964786494875</v>
      </c>
      <c r="E14" s="90">
        <v>30623.266783004736</v>
      </c>
      <c r="F14" s="90">
        <v>29731.326973791005</v>
      </c>
      <c r="G14" s="90">
        <v>28865.365993971856</v>
      </c>
      <c r="H14" s="94">
        <v>28024.627178613449</v>
      </c>
      <c r="I14" s="94">
        <v>27208.375901566451</v>
      </c>
      <c r="J14" s="94">
        <v>26415.898933559663</v>
      </c>
      <c r="K14" s="95">
        <v>25646.503818989964</v>
      </c>
      <c r="L14" s="95">
        <v>24899.518270864042</v>
      </c>
      <c r="M14" s="95">
        <v>24174.289583363156</v>
      </c>
      <c r="N14" s="95">
        <v>23470.184061517622</v>
      </c>
      <c r="O14" s="101">
        <v>22786.586467492838</v>
      </c>
    </row>
    <row r="15" spans="3:15" x14ac:dyDescent="0.25">
      <c r="C15" s="102" t="s">
        <v>89</v>
      </c>
      <c r="D15" s="79">
        <f>13*300+13*100</f>
        <v>5200</v>
      </c>
      <c r="E15" s="90">
        <f>D15*(1-$D$13)</f>
        <v>5044</v>
      </c>
      <c r="F15" s="90">
        <f t="shared" ref="F15:O15" si="0">E15*(1-$D$13)</f>
        <v>4892.68</v>
      </c>
      <c r="G15" s="90">
        <f t="shared" si="0"/>
        <v>4745.8995999999997</v>
      </c>
      <c r="H15" s="94">
        <f t="shared" si="0"/>
        <v>4603.5226119999998</v>
      </c>
      <c r="I15" s="94">
        <f t="shared" si="0"/>
        <v>4465.41693364</v>
      </c>
      <c r="J15" s="94">
        <f t="shared" si="0"/>
        <v>4331.4544256308</v>
      </c>
      <c r="K15" s="95">
        <f t="shared" si="0"/>
        <v>4201.5107928618754</v>
      </c>
      <c r="L15" s="95">
        <f t="shared" si="0"/>
        <v>4075.465469076019</v>
      </c>
      <c r="M15" s="95">
        <f t="shared" si="0"/>
        <v>3953.2015050037385</v>
      </c>
      <c r="N15" s="95">
        <f t="shared" si="0"/>
        <v>3834.6054598536261</v>
      </c>
      <c r="O15" s="101">
        <f t="shared" si="0"/>
        <v>3719.5672960580173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101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7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101">
        <f t="shared" si="1"/>
        <v>60292.597806671118</v>
      </c>
    </row>
    <row r="19" spans="3:15" x14ac:dyDescent="0.25">
      <c r="C19" s="160" t="s">
        <v>93</v>
      </c>
      <c r="D19" s="161">
        <f>D8+D14+D15+D16+D17-D18</f>
        <v>507015.03863680467</v>
      </c>
      <c r="E19" s="158">
        <f t="shared" ref="E19:O19" si="2">E8+E14+E15+E16+E17-E18</f>
        <v>490924.80034086434</v>
      </c>
      <c r="F19" s="158">
        <f t="shared" si="2"/>
        <v>524798.94662774634</v>
      </c>
      <c r="G19" s="158">
        <f t="shared" si="2"/>
        <v>510122.84667270788</v>
      </c>
      <c r="H19" s="159">
        <f t="shared" si="2"/>
        <v>496763.21322350553</v>
      </c>
      <c r="I19" s="159">
        <f t="shared" si="2"/>
        <v>481576.32396206114</v>
      </c>
      <c r="J19" s="159">
        <f t="shared" si="2"/>
        <v>467550.83251319325</v>
      </c>
      <c r="K19" s="162">
        <f t="shared" si="2"/>
        <v>454580.46068211488</v>
      </c>
      <c r="L19" s="162">
        <f t="shared" si="2"/>
        <v>442569.27060942666</v>
      </c>
      <c r="M19" s="162">
        <f t="shared" si="2"/>
        <v>431430.6391185036</v>
      </c>
      <c r="N19" s="162">
        <f t="shared" si="2"/>
        <v>421086.33438381029</v>
      </c>
      <c r="O19" s="172">
        <f t="shared" si="2"/>
        <v>411465.68469517602</v>
      </c>
    </row>
    <row r="20" spans="3:15" x14ac:dyDescent="0.25">
      <c r="C20" s="131" t="s">
        <v>389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45</v>
      </c>
      <c r="D22" s="70">
        <v>532285.71428571432</v>
      </c>
      <c r="E22" s="87">
        <v>534885.71428571432</v>
      </c>
      <c r="F22" s="87">
        <v>537537.71428571432</v>
      </c>
      <c r="G22" s="87">
        <v>540242.75428571436</v>
      </c>
      <c r="H22" s="88">
        <v>543001.89508571429</v>
      </c>
      <c r="I22" s="88">
        <v>545816.2187017143</v>
      </c>
      <c r="J22" s="88">
        <v>548686.82879003428</v>
      </c>
      <c r="K22" s="89">
        <v>551614.85108012066</v>
      </c>
      <c r="L22" s="89">
        <v>554601.43381600874</v>
      </c>
      <c r="M22" s="89">
        <v>557647.74820661463</v>
      </c>
      <c r="N22" s="89">
        <v>560754.9888850326</v>
      </c>
      <c r="O22" s="107">
        <v>563924.374377019</v>
      </c>
    </row>
    <row r="23" spans="3:15" x14ac:dyDescent="0.25">
      <c r="C23" s="102" t="s">
        <v>23</v>
      </c>
      <c r="D23" s="117">
        <v>53228.571428571435</v>
      </c>
      <c r="E23" s="76">
        <v>53488.571428571435</v>
      </c>
      <c r="F23" s="76">
        <v>53753.771428571432</v>
      </c>
      <c r="G23" s="76">
        <v>54024.27542857144</v>
      </c>
      <c r="H23" s="77">
        <v>54300.189508571435</v>
      </c>
      <c r="I23" s="77">
        <v>54581.621870171432</v>
      </c>
      <c r="J23" s="77">
        <v>54868.682879003434</v>
      </c>
      <c r="K23" s="78">
        <v>55161.485108012072</v>
      </c>
      <c r="L23" s="78">
        <v>55460.143381600879</v>
      </c>
      <c r="M23" s="78">
        <v>55764.774820661463</v>
      </c>
      <c r="N23" s="78">
        <v>56075.498888503265</v>
      </c>
      <c r="O23" s="104">
        <v>56392.437437701905</v>
      </c>
    </row>
    <row r="24" spans="3:15" x14ac:dyDescent="0.25">
      <c r="C24" s="102" t="s">
        <v>47</v>
      </c>
      <c r="D24" s="93">
        <v>585514.2857142858</v>
      </c>
      <c r="E24" s="71">
        <v>588374.2857142858</v>
      </c>
      <c r="F24" s="71">
        <v>591291.48571428575</v>
      </c>
      <c r="G24" s="135">
        <v>594267.02971428575</v>
      </c>
      <c r="H24" s="72">
        <v>597302.0845942857</v>
      </c>
      <c r="I24" s="72">
        <v>600397.8405718857</v>
      </c>
      <c r="J24" s="72">
        <v>603555.51166903775</v>
      </c>
      <c r="K24" s="73">
        <v>606776.33618813276</v>
      </c>
      <c r="L24" s="73">
        <v>610061.57719760959</v>
      </c>
      <c r="M24" s="73">
        <v>613412.52302727615</v>
      </c>
      <c r="N24" s="73">
        <v>616830.48777353589</v>
      </c>
      <c r="O24" s="103">
        <v>620316.81181472086</v>
      </c>
    </row>
    <row r="25" spans="3:15" x14ac:dyDescent="0.25">
      <c r="C25" s="102" t="s">
        <v>84</v>
      </c>
      <c r="D25" s="70">
        <v>90</v>
      </c>
      <c r="E25" s="71">
        <v>90</v>
      </c>
      <c r="F25" s="71">
        <v>90</v>
      </c>
      <c r="G25" s="80">
        <v>90</v>
      </c>
      <c r="H25" s="72">
        <v>90</v>
      </c>
      <c r="I25" s="72">
        <v>90</v>
      </c>
      <c r="J25" s="72">
        <v>90</v>
      </c>
      <c r="K25" s="73">
        <v>90</v>
      </c>
      <c r="L25" s="73">
        <v>90</v>
      </c>
      <c r="M25" s="73">
        <v>90</v>
      </c>
      <c r="N25" s="73">
        <v>90</v>
      </c>
      <c r="O25" s="103">
        <v>90</v>
      </c>
    </row>
    <row r="26" spans="3:15" x14ac:dyDescent="0.25">
      <c r="C26" s="102" t="s">
        <v>94</v>
      </c>
      <c r="D26" s="70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70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116382.24958872356</v>
      </c>
      <c r="E30" s="71">
        <v>112992.47532885782</v>
      </c>
      <c r="F30" s="71">
        <v>109701.4323581144</v>
      </c>
      <c r="G30" s="80">
        <v>106506.24500787805</v>
      </c>
      <c r="H30" s="72">
        <v>103404.1213668719</v>
      </c>
      <c r="I30" s="72">
        <v>100392.35084162321</v>
      </c>
      <c r="J30" s="72">
        <v>97468.301787983699</v>
      </c>
      <c r="K30" s="73">
        <v>94629.419211634668</v>
      </c>
      <c r="L30" s="73">
        <v>91873.222535567635</v>
      </c>
      <c r="M30" s="73">
        <v>89197.303432589935</v>
      </c>
      <c r="N30" s="73">
        <v>86599.323720961096</v>
      </c>
      <c r="O30" s="103">
        <v>84077.013321321458</v>
      </c>
    </row>
    <row r="31" spans="3:15" x14ac:dyDescent="0.25">
      <c r="C31" s="102" t="s">
        <v>89</v>
      </c>
      <c r="D31" s="70">
        <f>26*1200+26*600</f>
        <v>46800</v>
      </c>
      <c r="E31" s="71">
        <f>D31*(1-$D$29)</f>
        <v>45396</v>
      </c>
      <c r="F31" s="71">
        <f t="shared" ref="F31:O31" si="3">E31*(1-$D$29)</f>
        <v>44034.119999999995</v>
      </c>
      <c r="G31" s="80">
        <f t="shared" si="3"/>
        <v>42713.096399999995</v>
      </c>
      <c r="H31" s="72">
        <f t="shared" si="3"/>
        <v>41431.703507999991</v>
      </c>
      <c r="I31" s="72">
        <f t="shared" si="3"/>
        <v>40188.752402759994</v>
      </c>
      <c r="J31" s="72">
        <f t="shared" si="3"/>
        <v>38983.089830677192</v>
      </c>
      <c r="K31" s="73">
        <f t="shared" si="3"/>
        <v>37813.597135756878</v>
      </c>
      <c r="L31" s="73">
        <f t="shared" si="3"/>
        <v>36679.189221684173</v>
      </c>
      <c r="M31" s="73">
        <f t="shared" si="3"/>
        <v>35578.813545033649</v>
      </c>
      <c r="N31" s="73">
        <f t="shared" si="3"/>
        <v>34511.449138682641</v>
      </c>
      <c r="O31" s="103">
        <f t="shared" si="3"/>
        <v>33476.105664522162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186300</v>
      </c>
      <c r="E34" s="71">
        <f t="shared" ref="E34:O34" si="5">0.35*E22</f>
        <v>187210</v>
      </c>
      <c r="F34" s="71">
        <f t="shared" si="5"/>
        <v>188138.2</v>
      </c>
      <c r="G34" s="80">
        <f t="shared" si="5"/>
        <v>189084.96400000001</v>
      </c>
      <c r="H34" s="72">
        <f t="shared" si="5"/>
        <v>190050.66327999998</v>
      </c>
      <c r="I34" s="72">
        <f t="shared" si="5"/>
        <v>191035.6765456</v>
      </c>
      <c r="J34" s="72">
        <f t="shared" si="5"/>
        <v>192040.39007651198</v>
      </c>
      <c r="K34" s="73">
        <f t="shared" si="5"/>
        <v>193065.19787804221</v>
      </c>
      <c r="L34" s="73">
        <f t="shared" si="5"/>
        <v>194110.50183560303</v>
      </c>
      <c r="M34" s="73">
        <f t="shared" si="5"/>
        <v>195176.71187231512</v>
      </c>
      <c r="N34" s="73">
        <f t="shared" si="5"/>
        <v>196264.24610976139</v>
      </c>
      <c r="O34" s="103">
        <f t="shared" si="5"/>
        <v>197373.53103195663</v>
      </c>
    </row>
    <row r="35" spans="3:15" x14ac:dyDescent="0.25">
      <c r="C35" s="160" t="s">
        <v>93</v>
      </c>
      <c r="D35" s="163">
        <f>D24+D30+D31+D32-D34</f>
        <v>591317.66712389549</v>
      </c>
      <c r="E35" s="164">
        <f t="shared" ref="E35:O35" si="6">E24+E30+E31+E32-E34</f>
        <v>587631.52980128548</v>
      </c>
      <c r="F35" s="164">
        <f t="shared" si="6"/>
        <v>584149.7786142854</v>
      </c>
      <c r="G35" s="165">
        <f t="shared" si="6"/>
        <v>580868.33968710108</v>
      </c>
      <c r="H35" s="166">
        <f t="shared" si="6"/>
        <v>577783.29722307727</v>
      </c>
      <c r="I35" s="166">
        <f t="shared" si="6"/>
        <v>572085.37011292577</v>
      </c>
      <c r="J35" s="166">
        <f t="shared" si="6"/>
        <v>566658.18091590691</v>
      </c>
      <c r="K35" s="167">
        <f t="shared" si="6"/>
        <v>561495.88533546764</v>
      </c>
      <c r="L35" s="167">
        <f t="shared" si="6"/>
        <v>556592.85175187048</v>
      </c>
      <c r="M35" s="167">
        <f t="shared" si="6"/>
        <v>551943.65582794114</v>
      </c>
      <c r="N35" s="167">
        <f t="shared" si="6"/>
        <v>547543.07528940018</v>
      </c>
      <c r="O35" s="168">
        <f t="shared" si="6"/>
        <v>543386.08487500285</v>
      </c>
    </row>
    <row r="37" spans="3:15" x14ac:dyDescent="0.25">
      <c r="C37" t="s">
        <v>331</v>
      </c>
      <c r="D37" s="30">
        <f>D19-D35</f>
        <v>-84302.628487090813</v>
      </c>
      <c r="E37" s="30">
        <f t="shared" ref="E37:O37" si="7">E19-E35</f>
        <v>-96706.729460421135</v>
      </c>
      <c r="F37" s="30">
        <f t="shared" si="7"/>
        <v>-59350.831986539066</v>
      </c>
      <c r="G37" s="30">
        <f t="shared" si="7"/>
        <v>-70745.4930143932</v>
      </c>
      <c r="H37" s="30">
        <f t="shared" si="7"/>
        <v>-81020.08399957174</v>
      </c>
      <c r="I37" s="30">
        <f t="shared" si="7"/>
        <v>-90509.046150864626</v>
      </c>
      <c r="J37" s="30">
        <f t="shared" si="7"/>
        <v>-99107.348402713658</v>
      </c>
      <c r="K37" s="30">
        <f t="shared" si="7"/>
        <v>-106915.42465335276</v>
      </c>
      <c r="L37" s="30">
        <f t="shared" si="7"/>
        <v>-114023.58114244381</v>
      </c>
      <c r="M37" s="30">
        <f t="shared" si="7"/>
        <v>-120513.01670943754</v>
      </c>
      <c r="N37" s="30">
        <f t="shared" si="7"/>
        <v>-126456.74090558989</v>
      </c>
      <c r="O37" s="30">
        <f t="shared" si="7"/>
        <v>-131920.40017982683</v>
      </c>
    </row>
    <row r="59" spans="3:26" x14ac:dyDescent="0.25">
      <c r="D59">
        <v>2019</v>
      </c>
      <c r="E59">
        <v>2020</v>
      </c>
      <c r="F59">
        <v>2021</v>
      </c>
      <c r="G59">
        <v>2022</v>
      </c>
      <c r="H59">
        <v>2023</v>
      </c>
      <c r="I59">
        <v>2024</v>
      </c>
      <c r="J59">
        <v>2025</v>
      </c>
      <c r="K59">
        <v>2026</v>
      </c>
      <c r="L59">
        <v>2027</v>
      </c>
      <c r="M59">
        <v>2028</v>
      </c>
      <c r="N59">
        <v>2029</v>
      </c>
      <c r="O59">
        <v>2030</v>
      </c>
      <c r="P59">
        <v>2031</v>
      </c>
      <c r="Q59">
        <v>2032</v>
      </c>
      <c r="R59">
        <v>2033</v>
      </c>
      <c r="S59">
        <v>2034</v>
      </c>
      <c r="T59">
        <v>2035</v>
      </c>
      <c r="U59">
        <v>2036</v>
      </c>
      <c r="V59">
        <v>2037</v>
      </c>
      <c r="W59">
        <v>2038</v>
      </c>
      <c r="X59">
        <v>2039</v>
      </c>
      <c r="Y59">
        <v>2040</v>
      </c>
      <c r="Z59">
        <v>2041</v>
      </c>
    </row>
    <row r="60" spans="3:26" x14ac:dyDescent="0.25">
      <c r="C60" t="s">
        <v>98</v>
      </c>
      <c r="D60">
        <f>90*365</f>
        <v>32850</v>
      </c>
      <c r="E60">
        <f t="shared" ref="E60:Z60" si="8">90*365</f>
        <v>32850</v>
      </c>
      <c r="F60">
        <f t="shared" si="8"/>
        <v>32850</v>
      </c>
      <c r="G60">
        <f t="shared" si="8"/>
        <v>32850</v>
      </c>
      <c r="H60">
        <f t="shared" si="8"/>
        <v>32850</v>
      </c>
      <c r="I60">
        <f t="shared" si="8"/>
        <v>32850</v>
      </c>
      <c r="J60">
        <f t="shared" si="8"/>
        <v>32850</v>
      </c>
      <c r="K60">
        <f t="shared" si="8"/>
        <v>32850</v>
      </c>
      <c r="L60">
        <f t="shared" si="8"/>
        <v>32850</v>
      </c>
      <c r="M60">
        <f t="shared" si="8"/>
        <v>32850</v>
      </c>
      <c r="N60">
        <f t="shared" si="8"/>
        <v>32850</v>
      </c>
      <c r="O60">
        <f t="shared" si="8"/>
        <v>32850</v>
      </c>
      <c r="P60">
        <f t="shared" si="8"/>
        <v>32850</v>
      </c>
      <c r="Q60">
        <f t="shared" si="8"/>
        <v>32850</v>
      </c>
      <c r="R60">
        <f t="shared" si="8"/>
        <v>32850</v>
      </c>
      <c r="S60">
        <f t="shared" si="8"/>
        <v>32850</v>
      </c>
      <c r="T60">
        <f t="shared" si="8"/>
        <v>32850</v>
      </c>
      <c r="U60">
        <f t="shared" si="8"/>
        <v>32850</v>
      </c>
      <c r="V60">
        <f t="shared" si="8"/>
        <v>32850</v>
      </c>
      <c r="W60">
        <f t="shared" si="8"/>
        <v>32850</v>
      </c>
      <c r="X60">
        <f t="shared" si="8"/>
        <v>32850</v>
      </c>
      <c r="Y60">
        <f t="shared" si="8"/>
        <v>32850</v>
      </c>
      <c r="Z60">
        <f t="shared" si="8"/>
        <v>32850</v>
      </c>
    </row>
    <row r="61" spans="3:26" x14ac:dyDescent="0.25">
      <c r="C61" t="s">
        <v>99</v>
      </c>
      <c r="D61" s="30">
        <f>($D$11/100)*D60</f>
        <v>5453.1</v>
      </c>
      <c r="E61" s="30">
        <f t="shared" ref="E61:Z61" si="9">($D$11/100)*E60</f>
        <v>5453.1</v>
      </c>
      <c r="F61" s="30">
        <f t="shared" si="9"/>
        <v>5453.1</v>
      </c>
      <c r="G61" s="30">
        <f t="shared" si="9"/>
        <v>5453.1</v>
      </c>
      <c r="H61" s="30">
        <f t="shared" si="9"/>
        <v>5453.1</v>
      </c>
      <c r="I61" s="30">
        <f t="shared" si="9"/>
        <v>5453.1</v>
      </c>
      <c r="J61" s="30">
        <f t="shared" si="9"/>
        <v>5453.1</v>
      </c>
      <c r="K61" s="30">
        <f t="shared" si="9"/>
        <v>5453.1</v>
      </c>
      <c r="L61" s="30">
        <f t="shared" si="9"/>
        <v>5453.1</v>
      </c>
      <c r="M61" s="30">
        <f t="shared" si="9"/>
        <v>5453.1</v>
      </c>
      <c r="N61" s="30">
        <f t="shared" si="9"/>
        <v>5453.1</v>
      </c>
      <c r="O61" s="30">
        <f t="shared" si="9"/>
        <v>5453.1</v>
      </c>
      <c r="P61" s="30">
        <f t="shared" si="9"/>
        <v>5453.1</v>
      </c>
      <c r="Q61" s="30">
        <f t="shared" si="9"/>
        <v>5453.1</v>
      </c>
      <c r="R61" s="30">
        <f t="shared" si="9"/>
        <v>5453.1</v>
      </c>
      <c r="S61" s="30">
        <f t="shared" si="9"/>
        <v>5453.1</v>
      </c>
      <c r="T61" s="30">
        <f t="shared" si="9"/>
        <v>5453.1</v>
      </c>
      <c r="U61" s="30">
        <f t="shared" si="9"/>
        <v>5453.1</v>
      </c>
      <c r="V61" s="30">
        <f t="shared" si="9"/>
        <v>5453.1</v>
      </c>
      <c r="W61" s="30">
        <f t="shared" si="9"/>
        <v>5453.1</v>
      </c>
      <c r="X61" s="30">
        <f t="shared" si="9"/>
        <v>5453.1</v>
      </c>
      <c r="Y61" s="30">
        <f t="shared" si="9"/>
        <v>5453.1</v>
      </c>
      <c r="Z61" s="30">
        <f t="shared" si="9"/>
        <v>5453.1</v>
      </c>
    </row>
    <row r="62" spans="3:26" x14ac:dyDescent="0.25">
      <c r="C62" t="s">
        <v>101</v>
      </c>
      <c r="D62" s="1">
        <f>D61*$D$12</f>
        <v>4362.4800000000005</v>
      </c>
      <c r="E62" s="1">
        <f t="shared" ref="E62:Z62" si="10">E61*$D$12</f>
        <v>4362.4800000000005</v>
      </c>
      <c r="F62" s="1">
        <f t="shared" si="10"/>
        <v>4362.4800000000005</v>
      </c>
      <c r="G62" s="1">
        <f t="shared" si="10"/>
        <v>4362.4800000000005</v>
      </c>
      <c r="H62" s="1">
        <f t="shared" si="10"/>
        <v>4362.4800000000005</v>
      </c>
      <c r="I62" s="1">
        <f t="shared" si="10"/>
        <v>4362.4800000000005</v>
      </c>
      <c r="J62" s="1">
        <f t="shared" si="10"/>
        <v>4362.4800000000005</v>
      </c>
      <c r="K62" s="1">
        <f t="shared" si="10"/>
        <v>4362.4800000000005</v>
      </c>
      <c r="L62" s="1">
        <f t="shared" si="10"/>
        <v>4362.4800000000005</v>
      </c>
      <c r="M62" s="1">
        <f t="shared" si="10"/>
        <v>4362.4800000000005</v>
      </c>
      <c r="N62" s="1">
        <f t="shared" si="10"/>
        <v>4362.4800000000005</v>
      </c>
      <c r="O62" s="1">
        <f t="shared" si="10"/>
        <v>4362.4800000000005</v>
      </c>
      <c r="P62" s="1">
        <f t="shared" si="10"/>
        <v>4362.4800000000005</v>
      </c>
      <c r="Q62" s="1">
        <f t="shared" si="10"/>
        <v>4362.4800000000005</v>
      </c>
      <c r="R62" s="1">
        <f t="shared" si="10"/>
        <v>4362.4800000000005</v>
      </c>
      <c r="S62" s="1">
        <f t="shared" si="10"/>
        <v>4362.4800000000005</v>
      </c>
      <c r="T62" s="1">
        <f t="shared" si="10"/>
        <v>4362.4800000000005</v>
      </c>
      <c r="U62" s="1">
        <f t="shared" si="10"/>
        <v>4362.4800000000005</v>
      </c>
      <c r="V62" s="1">
        <f t="shared" si="10"/>
        <v>4362.4800000000005</v>
      </c>
      <c r="W62" s="1">
        <f t="shared" si="10"/>
        <v>4362.4800000000005</v>
      </c>
      <c r="X62" s="1">
        <f t="shared" si="10"/>
        <v>4362.4800000000005</v>
      </c>
      <c r="Y62" s="1">
        <f t="shared" si="10"/>
        <v>4362.4800000000005</v>
      </c>
      <c r="Z62" s="1">
        <f t="shared" si="10"/>
        <v>4362.4800000000005</v>
      </c>
    </row>
    <row r="63" spans="3:26" x14ac:dyDescent="0.25">
      <c r="C63" t="s">
        <v>100</v>
      </c>
      <c r="D63">
        <f>D62/(1+$D$13)^(D59-2019)</f>
        <v>4362.4800000000005</v>
      </c>
      <c r="E63">
        <f t="shared" ref="E63:Z63" si="11">E62/(1+$D$13)^(E59-2019)</f>
        <v>4235.4174757281553</v>
      </c>
      <c r="F63">
        <f t="shared" si="11"/>
        <v>4112.0558016778214</v>
      </c>
      <c r="G63">
        <f t="shared" si="11"/>
        <v>3992.2871860949722</v>
      </c>
      <c r="H63">
        <f t="shared" si="11"/>
        <v>3876.006976791235</v>
      </c>
      <c r="I63">
        <f t="shared" si="11"/>
        <v>3763.1135697002287</v>
      </c>
      <c r="J63">
        <f t="shared" si="11"/>
        <v>3653.508320097309</v>
      </c>
      <c r="K63">
        <f t="shared" si="11"/>
        <v>3547.0954564051544</v>
      </c>
      <c r="L63">
        <f t="shared" si="11"/>
        <v>3443.7819965098588</v>
      </c>
      <c r="M63">
        <f t="shared" si="11"/>
        <v>3343.4776665144259</v>
      </c>
      <c r="N63">
        <f t="shared" si="11"/>
        <v>3246.0948218586659</v>
      </c>
      <c r="O63">
        <f t="shared" si="11"/>
        <v>3151.5483707365688</v>
      </c>
      <c r="P63">
        <f t="shared" si="11"/>
        <v>3059.7556997442421</v>
      </c>
      <c r="Q63">
        <f t="shared" si="11"/>
        <v>2970.6366016934389</v>
      </c>
      <c r="R63">
        <f t="shared" si="11"/>
        <v>2884.1132055276103</v>
      </c>
      <c r="S63">
        <f t="shared" si="11"/>
        <v>2800.1099082792334</v>
      </c>
      <c r="T63">
        <f t="shared" si="11"/>
        <v>2718.5533090089648</v>
      </c>
      <c r="U63">
        <f t="shared" si="11"/>
        <v>2639.3721446688978</v>
      </c>
      <c r="V63">
        <f t="shared" si="11"/>
        <v>2562.4972278338814</v>
      </c>
      <c r="W63">
        <f t="shared" si="11"/>
        <v>2487.8613862464867</v>
      </c>
      <c r="X63">
        <f t="shared" si="11"/>
        <v>2415.3994041228029</v>
      </c>
      <c r="Y63">
        <f t="shared" si="11"/>
        <v>2345.0479651677701</v>
      </c>
      <c r="Z63">
        <f t="shared" si="11"/>
        <v>2276.7455972502621</v>
      </c>
    </row>
    <row r="64" spans="3:26" x14ac:dyDescent="0.25">
      <c r="C64" t="s">
        <v>102</v>
      </c>
      <c r="D64">
        <f>SUM(D63:K63)</f>
        <v>31541.964786494875</v>
      </c>
      <c r="E64">
        <f>SUM(E63:L63)</f>
        <v>30623.266783004736</v>
      </c>
      <c r="F64">
        <f t="shared" ref="F64:O64" si="12">SUM(F63:M63)</f>
        <v>29731.326973791005</v>
      </c>
      <c r="G64">
        <f t="shared" si="12"/>
        <v>28865.365993971856</v>
      </c>
      <c r="H64">
        <f t="shared" si="12"/>
        <v>28024.627178613449</v>
      </c>
      <c r="I64">
        <f t="shared" si="12"/>
        <v>27208.375901566451</v>
      </c>
      <c r="J64">
        <f t="shared" si="12"/>
        <v>26415.898933559663</v>
      </c>
      <c r="K64">
        <f t="shared" si="12"/>
        <v>25646.503818989964</v>
      </c>
      <c r="L64">
        <f t="shared" si="12"/>
        <v>24899.518270864042</v>
      </c>
      <c r="M64">
        <f t="shared" si="12"/>
        <v>24174.289583363156</v>
      </c>
      <c r="N64">
        <f t="shared" si="12"/>
        <v>23470.184061517622</v>
      </c>
      <c r="O64">
        <f t="shared" si="12"/>
        <v>22786.586467492838</v>
      </c>
    </row>
    <row r="66" spans="3:26" x14ac:dyDescent="0.25">
      <c r="C66" t="s">
        <v>103</v>
      </c>
      <c r="D66">
        <f>27*300+27*100</f>
        <v>10800</v>
      </c>
    </row>
    <row r="70" spans="3:26" x14ac:dyDescent="0.25">
      <c r="C70" t="s">
        <v>104</v>
      </c>
      <c r="D70">
        <v>4300</v>
      </c>
      <c r="E70">
        <v>4300</v>
      </c>
      <c r="F70">
        <v>4300</v>
      </c>
      <c r="G70">
        <v>4300</v>
      </c>
      <c r="H70">
        <v>4300</v>
      </c>
      <c r="I70">
        <v>4300</v>
      </c>
      <c r="J70">
        <v>4300</v>
      </c>
      <c r="K70">
        <v>4300</v>
      </c>
      <c r="L70">
        <v>4300</v>
      </c>
      <c r="M70">
        <v>4300</v>
      </c>
      <c r="N70">
        <v>4300</v>
      </c>
      <c r="O70">
        <v>4300</v>
      </c>
      <c r="P70">
        <v>4300</v>
      </c>
      <c r="Q70">
        <v>4300</v>
      </c>
      <c r="R70">
        <v>4300</v>
      </c>
      <c r="S70">
        <v>4300</v>
      </c>
      <c r="T70">
        <v>4300</v>
      </c>
      <c r="U70">
        <v>4300</v>
      </c>
      <c r="V70">
        <v>4300</v>
      </c>
      <c r="W70">
        <v>4300</v>
      </c>
      <c r="X70">
        <v>4300</v>
      </c>
      <c r="Y70">
        <v>4300</v>
      </c>
      <c r="Z70">
        <v>4300</v>
      </c>
    </row>
    <row r="71" spans="3:26" x14ac:dyDescent="0.25">
      <c r="C71" t="s">
        <v>105</v>
      </c>
      <c r="D71">
        <f>D70/(1+0.03)^(D59-2019)</f>
        <v>4300</v>
      </c>
      <c r="E71">
        <f t="shared" ref="E71:O71" si="13">E70/(1+0.03)^(E59-2019)</f>
        <v>4174.7572815533977</v>
      </c>
      <c r="F71">
        <f t="shared" si="13"/>
        <v>4053.162409275144</v>
      </c>
      <c r="G71">
        <f t="shared" si="13"/>
        <v>3935.1091352185863</v>
      </c>
      <c r="H71">
        <f t="shared" si="13"/>
        <v>3820.4943060374626</v>
      </c>
      <c r="I71">
        <f t="shared" si="13"/>
        <v>3709.2177728519055</v>
      </c>
      <c r="J71">
        <f t="shared" si="13"/>
        <v>3601.1823037397139</v>
      </c>
      <c r="K71">
        <f t="shared" si="13"/>
        <v>3496.2934987764211</v>
      </c>
      <c r="L71">
        <f t="shared" si="13"/>
        <v>3394.4597075499237</v>
      </c>
      <c r="M71">
        <f t="shared" si="13"/>
        <v>3295.5919490775959</v>
      </c>
      <c r="N71">
        <f t="shared" si="13"/>
        <v>3199.6038340559185</v>
      </c>
      <c r="O71">
        <f t="shared" si="13"/>
        <v>3106.4114893746778</v>
      </c>
    </row>
    <row r="72" spans="3:26" x14ac:dyDescent="0.25">
      <c r="C72" t="s">
        <v>106</v>
      </c>
      <c r="D72" s="145">
        <f>SUM(D71:K71)</f>
        <v>31090.216707452633</v>
      </c>
      <c r="E72" s="145">
        <f>SUM(E71:L71)</f>
        <v>30184.676415002552</v>
      </c>
      <c r="F72" s="145">
        <f>SUM(F71:M71)</f>
        <v>29305.511082526751</v>
      </c>
      <c r="G72" s="145">
        <f t="shared" ref="G72:O72" si="14">SUM(G71:N71)</f>
        <v>28451.952507307524</v>
      </c>
      <c r="H72" s="145">
        <f t="shared" si="14"/>
        <v>27623.254861463614</v>
      </c>
      <c r="I72" s="145">
        <f t="shared" si="14"/>
        <v>23802.760555426157</v>
      </c>
      <c r="J72" s="145">
        <f t="shared" si="14"/>
        <v>20093.542782574252</v>
      </c>
      <c r="K72" s="145">
        <f t="shared" si="14"/>
        <v>16492.360478834536</v>
      </c>
      <c r="L72" s="145">
        <f t="shared" si="14"/>
        <v>12996.066980058116</v>
      </c>
      <c r="M72" s="145">
        <f t="shared" si="14"/>
        <v>9601.6072725081922</v>
      </c>
      <c r="N72" s="145">
        <f t="shared" si="14"/>
        <v>6306.0153234305963</v>
      </c>
      <c r="O72" s="145">
        <f t="shared" si="14"/>
        <v>3106.4114893746778</v>
      </c>
    </row>
    <row r="75" spans="3:26" x14ac:dyDescent="0.25">
      <c r="C75" t="s">
        <v>98</v>
      </c>
      <c r="D75">
        <f>D60</f>
        <v>32850</v>
      </c>
      <c r="E75">
        <f t="shared" ref="E75:Z75" si="15">E60</f>
        <v>32850</v>
      </c>
      <c r="F75">
        <f t="shared" si="15"/>
        <v>32850</v>
      </c>
      <c r="G75">
        <f t="shared" si="15"/>
        <v>32850</v>
      </c>
      <c r="H75">
        <f t="shared" si="15"/>
        <v>32850</v>
      </c>
      <c r="I75">
        <f t="shared" si="15"/>
        <v>32850</v>
      </c>
      <c r="J75">
        <f t="shared" si="15"/>
        <v>32850</v>
      </c>
      <c r="K75">
        <f t="shared" si="15"/>
        <v>32850</v>
      </c>
      <c r="L75">
        <f t="shared" si="15"/>
        <v>32850</v>
      </c>
      <c r="M75">
        <f t="shared" si="15"/>
        <v>32850</v>
      </c>
      <c r="N75">
        <f t="shared" si="15"/>
        <v>32850</v>
      </c>
      <c r="O75">
        <f t="shared" si="15"/>
        <v>32850</v>
      </c>
      <c r="P75">
        <f t="shared" si="15"/>
        <v>32850</v>
      </c>
      <c r="Q75">
        <f t="shared" si="15"/>
        <v>32850</v>
      </c>
      <c r="R75">
        <f t="shared" si="15"/>
        <v>32850</v>
      </c>
      <c r="S75">
        <f t="shared" si="15"/>
        <v>32850</v>
      </c>
      <c r="T75">
        <f t="shared" si="15"/>
        <v>32850</v>
      </c>
      <c r="U75">
        <f t="shared" si="15"/>
        <v>32850</v>
      </c>
      <c r="V75">
        <f t="shared" si="15"/>
        <v>32850</v>
      </c>
      <c r="W75">
        <f t="shared" si="15"/>
        <v>32850</v>
      </c>
      <c r="X75">
        <f t="shared" si="15"/>
        <v>32850</v>
      </c>
      <c r="Y75">
        <f t="shared" si="15"/>
        <v>32850</v>
      </c>
      <c r="Z75">
        <f t="shared" si="15"/>
        <v>32850</v>
      </c>
    </row>
    <row r="76" spans="3:26" x14ac:dyDescent="0.25">
      <c r="C76" t="s">
        <v>107</v>
      </c>
      <c r="D76" s="30">
        <f>($D$27/100)*D75</f>
        <v>2299.5</v>
      </c>
      <c r="E76" s="30">
        <f t="shared" ref="E76:Z76" si="16">($D$27/100)*E75</f>
        <v>2299.5</v>
      </c>
      <c r="F76" s="30">
        <f t="shared" si="16"/>
        <v>2299.5</v>
      </c>
      <c r="G76" s="30">
        <f t="shared" si="16"/>
        <v>2299.5</v>
      </c>
      <c r="H76" s="30">
        <f t="shared" si="16"/>
        <v>2299.5</v>
      </c>
      <c r="I76" s="30">
        <f t="shared" si="16"/>
        <v>2299.5</v>
      </c>
      <c r="J76" s="30">
        <f t="shared" si="16"/>
        <v>2299.5</v>
      </c>
      <c r="K76" s="30">
        <f t="shared" si="16"/>
        <v>2299.5</v>
      </c>
      <c r="L76" s="30">
        <f t="shared" si="16"/>
        <v>2299.5</v>
      </c>
      <c r="M76" s="30">
        <f t="shared" si="16"/>
        <v>2299.5</v>
      </c>
      <c r="N76" s="30">
        <f t="shared" si="16"/>
        <v>2299.5</v>
      </c>
      <c r="O76" s="30">
        <f t="shared" si="16"/>
        <v>2299.5</v>
      </c>
      <c r="P76" s="30">
        <f t="shared" si="16"/>
        <v>2299.5</v>
      </c>
      <c r="Q76" s="30">
        <f t="shared" si="16"/>
        <v>2299.5</v>
      </c>
      <c r="R76" s="30">
        <f t="shared" si="16"/>
        <v>2299.5</v>
      </c>
      <c r="S76" s="30">
        <f t="shared" si="16"/>
        <v>2299.5</v>
      </c>
      <c r="T76" s="30">
        <f t="shared" si="16"/>
        <v>2299.5</v>
      </c>
      <c r="U76" s="30">
        <f t="shared" si="16"/>
        <v>2299.5</v>
      </c>
      <c r="V76" s="30">
        <f t="shared" si="16"/>
        <v>2299.5</v>
      </c>
      <c r="W76" s="30">
        <f t="shared" si="16"/>
        <v>2299.5</v>
      </c>
      <c r="X76" s="30">
        <f t="shared" si="16"/>
        <v>2299.5</v>
      </c>
      <c r="Y76" s="30">
        <f t="shared" si="16"/>
        <v>2299.5</v>
      </c>
      <c r="Z76" s="30">
        <f t="shared" si="16"/>
        <v>2299.5</v>
      </c>
    </row>
    <row r="77" spans="3:26" x14ac:dyDescent="0.25">
      <c r="C77" t="s">
        <v>108</v>
      </c>
      <c r="D77">
        <f>D76*$D$28</f>
        <v>16096.5</v>
      </c>
      <c r="E77">
        <f t="shared" ref="E77:Z77" si="17">E76*$D$28</f>
        <v>16096.5</v>
      </c>
      <c r="F77">
        <f t="shared" si="17"/>
        <v>16096.5</v>
      </c>
      <c r="G77">
        <f t="shared" si="17"/>
        <v>16096.5</v>
      </c>
      <c r="H77">
        <f t="shared" si="17"/>
        <v>16096.5</v>
      </c>
      <c r="I77">
        <f t="shared" si="17"/>
        <v>16096.5</v>
      </c>
      <c r="J77">
        <f t="shared" si="17"/>
        <v>16096.5</v>
      </c>
      <c r="K77">
        <f t="shared" si="17"/>
        <v>16096.5</v>
      </c>
      <c r="L77">
        <f t="shared" si="17"/>
        <v>16096.5</v>
      </c>
      <c r="M77">
        <f t="shared" si="17"/>
        <v>16096.5</v>
      </c>
      <c r="N77">
        <f t="shared" si="17"/>
        <v>16096.5</v>
      </c>
      <c r="O77">
        <f t="shared" si="17"/>
        <v>16096.5</v>
      </c>
      <c r="P77">
        <f t="shared" si="17"/>
        <v>16096.5</v>
      </c>
      <c r="Q77">
        <f t="shared" si="17"/>
        <v>16096.5</v>
      </c>
      <c r="R77">
        <f t="shared" si="17"/>
        <v>16096.5</v>
      </c>
      <c r="S77">
        <f t="shared" si="17"/>
        <v>16096.5</v>
      </c>
      <c r="T77">
        <f t="shared" si="17"/>
        <v>16096.5</v>
      </c>
      <c r="U77">
        <f t="shared" si="17"/>
        <v>16096.5</v>
      </c>
      <c r="V77">
        <f t="shared" si="17"/>
        <v>16096.5</v>
      </c>
      <c r="W77">
        <f t="shared" si="17"/>
        <v>16096.5</v>
      </c>
      <c r="X77">
        <f t="shared" si="17"/>
        <v>16096.5</v>
      </c>
      <c r="Y77">
        <f t="shared" si="17"/>
        <v>16096.5</v>
      </c>
      <c r="Z77">
        <f t="shared" si="17"/>
        <v>16096.5</v>
      </c>
    </row>
    <row r="78" spans="3:26" x14ac:dyDescent="0.25">
      <c r="C78" t="s">
        <v>109</v>
      </c>
      <c r="D78">
        <f>D77/(1+$D$29)^(D59-2019)</f>
        <v>16096.5</v>
      </c>
      <c r="E78">
        <f t="shared" ref="E78:Z78" si="18">E77/(1+$D$29)^(E59-2019)</f>
        <v>15627.669902912621</v>
      </c>
      <c r="F78">
        <f t="shared" si="18"/>
        <v>15172.495051371478</v>
      </c>
      <c r="G78">
        <f t="shared" si="18"/>
        <v>14730.577719778134</v>
      </c>
      <c r="H78">
        <f t="shared" si="18"/>
        <v>14301.531766774888</v>
      </c>
      <c r="I78">
        <f t="shared" si="18"/>
        <v>13884.982297839697</v>
      </c>
      <c r="J78">
        <f t="shared" si="18"/>
        <v>13480.565337708444</v>
      </c>
      <c r="K78">
        <f t="shared" si="18"/>
        <v>13087.927512338294</v>
      </c>
      <c r="L78">
        <f t="shared" si="18"/>
        <v>12706.725740134267</v>
      </c>
      <c r="M78">
        <f t="shared" si="18"/>
        <v>12336.626932169191</v>
      </c>
      <c r="N78">
        <f t="shared" si="18"/>
        <v>11977.307701135138</v>
      </c>
      <c r="O78">
        <f t="shared" si="18"/>
        <v>11628.454078771978</v>
      </c>
      <c r="P78">
        <f t="shared" si="18"/>
        <v>11289.761241526194</v>
      </c>
      <c r="Q78">
        <f t="shared" si="18"/>
        <v>10960.933244200189</v>
      </c>
      <c r="R78">
        <f t="shared" si="18"/>
        <v>10641.682761359405</v>
      </c>
      <c r="S78">
        <f t="shared" si="18"/>
        <v>10331.730836271267</v>
      </c>
      <c r="T78">
        <f t="shared" si="18"/>
        <v>10030.806637156571</v>
      </c>
      <c r="U78">
        <f t="shared" si="18"/>
        <v>9738.6472205403606</v>
      </c>
      <c r="V78">
        <f t="shared" si="18"/>
        <v>9454.9973014954958</v>
      </c>
      <c r="W78">
        <f t="shared" si="18"/>
        <v>9179.6090305781509</v>
      </c>
      <c r="X78">
        <f t="shared" si="18"/>
        <v>8912.2417772603403</v>
      </c>
      <c r="Y78">
        <f t="shared" si="18"/>
        <v>8652.6619196702341</v>
      </c>
      <c r="Z78">
        <f t="shared" si="18"/>
        <v>8400.6426404565373</v>
      </c>
    </row>
    <row r="79" spans="3:26" x14ac:dyDescent="0.25">
      <c r="C79" t="s">
        <v>110</v>
      </c>
      <c r="D79" s="1">
        <f>SUM(D78:K78)</f>
        <v>116382.24958872356</v>
      </c>
      <c r="E79" s="1">
        <f t="shared" ref="E79:O79" si="19">SUM(E78:L78)</f>
        <v>112992.47532885782</v>
      </c>
      <c r="F79" s="1">
        <f t="shared" si="19"/>
        <v>109701.4323581144</v>
      </c>
      <c r="G79" s="1">
        <f t="shared" si="19"/>
        <v>106506.24500787805</v>
      </c>
      <c r="H79" s="1">
        <f t="shared" si="19"/>
        <v>103404.1213668719</v>
      </c>
      <c r="I79" s="1">
        <f t="shared" si="19"/>
        <v>100392.35084162321</v>
      </c>
      <c r="J79" s="1">
        <f t="shared" si="19"/>
        <v>97468.301787983699</v>
      </c>
      <c r="K79" s="1">
        <f t="shared" si="19"/>
        <v>94629.419211634668</v>
      </c>
      <c r="L79" s="1">
        <f t="shared" si="19"/>
        <v>91873.222535567635</v>
      </c>
      <c r="M79" s="1">
        <f t="shared" si="19"/>
        <v>89197.303432589935</v>
      </c>
      <c r="N79" s="1">
        <f t="shared" si="19"/>
        <v>86599.323720961096</v>
      </c>
      <c r="O79" s="1">
        <f t="shared" si="19"/>
        <v>84077.013321321458</v>
      </c>
    </row>
  </sheetData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78"/>
  <sheetViews>
    <sheetView zoomScaleNormal="100" workbookViewId="0">
      <selection activeCell="C4" sqref="C4"/>
    </sheetView>
  </sheetViews>
  <sheetFormatPr defaultRowHeight="14.4" x14ac:dyDescent="0.25"/>
  <cols>
    <col min="3" max="3" width="36.88671875" bestFit="1" customWidth="1"/>
    <col min="4" max="4" width="14" bestFit="1" customWidth="1"/>
    <col min="5" max="9" width="13.88671875" bestFit="1" customWidth="1"/>
    <col min="10" max="10" width="12.77734375" customWidth="1"/>
    <col min="11" max="15" width="13.8867187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83">
        <v>120</v>
      </c>
      <c r="E9" s="147">
        <v>120</v>
      </c>
      <c r="F9" s="147">
        <v>120</v>
      </c>
      <c r="G9" s="147">
        <v>120</v>
      </c>
      <c r="H9" s="148">
        <v>120</v>
      </c>
      <c r="I9" s="148">
        <v>120</v>
      </c>
      <c r="J9" s="148">
        <v>120</v>
      </c>
      <c r="K9" s="149">
        <v>120</v>
      </c>
      <c r="L9" s="149">
        <v>120</v>
      </c>
      <c r="M9" s="149">
        <v>120</v>
      </c>
      <c r="N9" s="149">
        <v>120</v>
      </c>
      <c r="O9" s="149">
        <v>120</v>
      </c>
    </row>
    <row r="10" spans="3:15" x14ac:dyDescent="0.25">
      <c r="C10" s="102" t="s">
        <v>94</v>
      </c>
      <c r="D10" s="83">
        <v>8</v>
      </c>
      <c r="E10" s="147">
        <v>8</v>
      </c>
      <c r="F10" s="147">
        <v>8</v>
      </c>
      <c r="G10" s="147">
        <v>8</v>
      </c>
      <c r="H10" s="148">
        <v>8</v>
      </c>
      <c r="I10" s="148">
        <v>8</v>
      </c>
      <c r="J10" s="148">
        <v>8</v>
      </c>
      <c r="K10" s="149">
        <v>8</v>
      </c>
      <c r="L10" s="149">
        <v>8</v>
      </c>
      <c r="M10" s="149">
        <v>8</v>
      </c>
      <c r="N10" s="149">
        <v>8</v>
      </c>
      <c r="O10" s="149">
        <v>8</v>
      </c>
    </row>
    <row r="11" spans="3:15" x14ac:dyDescent="0.25">
      <c r="C11" s="102" t="s">
        <v>85</v>
      </c>
      <c r="D11" s="83">
        <v>16.600000000000001</v>
      </c>
      <c r="E11" s="147">
        <v>16.600000000000001</v>
      </c>
      <c r="F11" s="147">
        <v>16.600000000000001</v>
      </c>
      <c r="G11" s="147">
        <v>16.600000000000001</v>
      </c>
      <c r="H11" s="148">
        <v>16.600000000000001</v>
      </c>
      <c r="I11" s="148">
        <v>16.600000000000001</v>
      </c>
      <c r="J11" s="148">
        <v>16.600000000000001</v>
      </c>
      <c r="K11" s="149">
        <v>16.600000000000001</v>
      </c>
      <c r="L11" s="149">
        <v>16.600000000000001</v>
      </c>
      <c r="M11" s="149">
        <v>16.600000000000001</v>
      </c>
      <c r="N11" s="149">
        <v>16.600000000000001</v>
      </c>
      <c r="O11" s="149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42055.953048659838</v>
      </c>
      <c r="E14" s="90">
        <v>40831.02237733965</v>
      </c>
      <c r="F14" s="90">
        <v>39641.769298388004</v>
      </c>
      <c r="G14" s="90">
        <v>38487.154658629137</v>
      </c>
      <c r="H14" s="94">
        <v>37366.169571484592</v>
      </c>
      <c r="I14" s="94">
        <v>36277.834535421942</v>
      </c>
      <c r="J14" s="94">
        <v>35221.198578079551</v>
      </c>
      <c r="K14" s="95">
        <v>34195.338425319955</v>
      </c>
      <c r="L14" s="95">
        <v>33199.357694485392</v>
      </c>
      <c r="M14" s="95">
        <v>32232.386111150867</v>
      </c>
      <c r="N14" s="95">
        <v>31293.578748690165</v>
      </c>
      <c r="O14" s="95">
        <v>30382.115289990448</v>
      </c>
    </row>
    <row r="15" spans="3:15" x14ac:dyDescent="0.25">
      <c r="C15" s="102" t="s">
        <v>89</v>
      </c>
      <c r="D15" s="79">
        <f>17*300+18*100</f>
        <v>6900</v>
      </c>
      <c r="E15" s="90">
        <f>D15*(1-$D$13)</f>
        <v>6693</v>
      </c>
      <c r="F15" s="90">
        <f t="shared" ref="F15:O15" si="0">E15*(1-$D$13)</f>
        <v>6492.21</v>
      </c>
      <c r="G15" s="90">
        <f t="shared" si="0"/>
        <v>6297.4436999999998</v>
      </c>
      <c r="H15" s="94">
        <f t="shared" si="0"/>
        <v>6108.5203889999993</v>
      </c>
      <c r="I15" s="94">
        <f t="shared" si="0"/>
        <v>5925.2647773299996</v>
      </c>
      <c r="J15" s="94">
        <f t="shared" si="0"/>
        <v>5747.5068340100997</v>
      </c>
      <c r="K15" s="95">
        <f t="shared" si="0"/>
        <v>5575.0816289897966</v>
      </c>
      <c r="L15" s="95">
        <f t="shared" si="0"/>
        <v>5407.8291801201021</v>
      </c>
      <c r="M15" s="95">
        <f t="shared" si="0"/>
        <v>5245.5943047164992</v>
      </c>
      <c r="N15" s="95">
        <f t="shared" si="0"/>
        <v>5088.2264755750039</v>
      </c>
      <c r="O15" s="95">
        <f t="shared" si="0"/>
        <v>4935.5796813077532</v>
      </c>
    </row>
    <row r="16" spans="3:15" x14ac:dyDescent="0.25">
      <c r="C16" s="102" t="s">
        <v>90</v>
      </c>
      <c r="D16" s="79">
        <v>31090.216707452633</v>
      </c>
      <c r="E16" s="90">
        <v>30184.676415002552</v>
      </c>
      <c r="F16" s="90">
        <v>29305.511082526751</v>
      </c>
      <c r="G16" s="90">
        <v>28451.952507307524</v>
      </c>
      <c r="H16" s="94">
        <v>27623.254861463614</v>
      </c>
      <c r="I16" s="94">
        <v>23802.760555426157</v>
      </c>
      <c r="J16" s="94">
        <v>20093.542782574252</v>
      </c>
      <c r="K16" s="95">
        <v>16492.360478834536</v>
      </c>
      <c r="L16" s="95">
        <v>12996.066980058116</v>
      </c>
      <c r="M16" s="95">
        <v>9601.6072725081922</v>
      </c>
      <c r="N16" s="95">
        <v>6306.0153234305963</v>
      </c>
      <c r="O16" s="95">
        <v>3106.4114893746778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95">
        <f t="shared" si="1"/>
        <v>60292.597806671118</v>
      </c>
    </row>
    <row r="19" spans="3:15" x14ac:dyDescent="0.25">
      <c r="C19" s="160" t="s">
        <v>93</v>
      </c>
      <c r="D19" s="161">
        <f>D8+D14+D15+D16+D17-D18</f>
        <v>519229.02689896955</v>
      </c>
      <c r="E19" s="158">
        <f t="shared" ref="E19:O19" si="2">E8+E14+E15+E16+E17-E18</f>
        <v>502781.55593519926</v>
      </c>
      <c r="F19" s="158">
        <f t="shared" si="2"/>
        <v>536308.91895234329</v>
      </c>
      <c r="G19" s="158">
        <f t="shared" si="2"/>
        <v>521296.17943736509</v>
      </c>
      <c r="H19" s="159">
        <f t="shared" si="2"/>
        <v>507609.7533933766</v>
      </c>
      <c r="I19" s="159">
        <f t="shared" si="2"/>
        <v>492105.63043960655</v>
      </c>
      <c r="J19" s="159">
        <f t="shared" si="2"/>
        <v>477772.18456609233</v>
      </c>
      <c r="K19" s="162">
        <f t="shared" si="2"/>
        <v>464502.86612457276</v>
      </c>
      <c r="L19" s="162">
        <f t="shared" si="2"/>
        <v>452201.4737440921</v>
      </c>
      <c r="M19" s="162">
        <f t="shared" si="2"/>
        <v>440781.12844600406</v>
      </c>
      <c r="N19" s="162">
        <f t="shared" si="2"/>
        <v>430163.35008670419</v>
      </c>
      <c r="O19" s="162">
        <f t="shared" si="2"/>
        <v>420277.22590292338</v>
      </c>
    </row>
    <row r="20" spans="3:15" x14ac:dyDescent="0.25">
      <c r="C20" s="131" t="s">
        <v>389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45</v>
      </c>
      <c r="D22" s="70">
        <v>532285.71428571432</v>
      </c>
      <c r="E22" s="87">
        <v>534885.71428571432</v>
      </c>
      <c r="F22" s="87">
        <v>537537.71428571432</v>
      </c>
      <c r="G22" s="87">
        <v>540242.75428571436</v>
      </c>
      <c r="H22" s="88">
        <v>543001.89508571429</v>
      </c>
      <c r="I22" s="88">
        <v>545816.2187017143</v>
      </c>
      <c r="J22" s="88">
        <v>548686.82879003428</v>
      </c>
      <c r="K22" s="89">
        <v>551614.85108012066</v>
      </c>
      <c r="L22" s="89">
        <v>554601.43381600874</v>
      </c>
      <c r="M22" s="89">
        <v>557647.74820661463</v>
      </c>
      <c r="N22" s="89">
        <v>560754.9888850326</v>
      </c>
      <c r="O22" s="107">
        <v>563924.374377019</v>
      </c>
    </row>
    <row r="23" spans="3:15" x14ac:dyDescent="0.25">
      <c r="C23" s="102" t="s">
        <v>23</v>
      </c>
      <c r="D23" s="117">
        <v>53228.571428571435</v>
      </c>
      <c r="E23" s="76">
        <v>53488.571428571435</v>
      </c>
      <c r="F23" s="76">
        <v>53753.771428571432</v>
      </c>
      <c r="G23" s="76">
        <v>54024.27542857144</v>
      </c>
      <c r="H23" s="77">
        <v>54300.189508571435</v>
      </c>
      <c r="I23" s="77">
        <v>54581.621870171432</v>
      </c>
      <c r="J23" s="77">
        <v>54868.682879003434</v>
      </c>
      <c r="K23" s="78">
        <v>55161.485108012072</v>
      </c>
      <c r="L23" s="78">
        <v>55460.143381600879</v>
      </c>
      <c r="M23" s="78">
        <v>55764.774820661463</v>
      </c>
      <c r="N23" s="78">
        <v>56075.498888503265</v>
      </c>
      <c r="O23" s="104">
        <v>56392.437437701905</v>
      </c>
    </row>
    <row r="24" spans="3:15" x14ac:dyDescent="0.25">
      <c r="C24" s="102" t="s">
        <v>47</v>
      </c>
      <c r="D24" s="93">
        <v>585514.2857142858</v>
      </c>
      <c r="E24" s="71">
        <v>588374.2857142858</v>
      </c>
      <c r="F24" s="71">
        <v>591291.48571428575</v>
      </c>
      <c r="G24" s="135">
        <v>594267.02971428575</v>
      </c>
      <c r="H24" s="72">
        <v>597302.0845942857</v>
      </c>
      <c r="I24" s="72">
        <v>600397.8405718857</v>
      </c>
      <c r="J24" s="72">
        <v>603555.51166903775</v>
      </c>
      <c r="K24" s="73">
        <v>606776.33618813276</v>
      </c>
      <c r="L24" s="73">
        <v>610061.57719760959</v>
      </c>
      <c r="M24" s="73">
        <v>613412.52302727615</v>
      </c>
      <c r="N24" s="73">
        <v>616830.48777353589</v>
      </c>
      <c r="O24" s="103">
        <v>620316.81181472086</v>
      </c>
    </row>
    <row r="25" spans="3:15" x14ac:dyDescent="0.25">
      <c r="C25" s="102" t="s">
        <v>84</v>
      </c>
      <c r="D25" s="70">
        <v>120</v>
      </c>
      <c r="E25" s="71">
        <v>120</v>
      </c>
      <c r="F25" s="71">
        <v>120</v>
      </c>
      <c r="G25" s="80">
        <v>120</v>
      </c>
      <c r="H25" s="72">
        <v>120</v>
      </c>
      <c r="I25" s="72">
        <v>120</v>
      </c>
      <c r="J25" s="72">
        <v>120</v>
      </c>
      <c r="K25" s="73">
        <v>120</v>
      </c>
      <c r="L25" s="73">
        <v>120</v>
      </c>
      <c r="M25" s="73">
        <v>120</v>
      </c>
      <c r="N25" s="73">
        <v>120</v>
      </c>
      <c r="O25" s="103">
        <v>120</v>
      </c>
    </row>
    <row r="26" spans="3:15" x14ac:dyDescent="0.25">
      <c r="C26" s="102" t="s">
        <v>94</v>
      </c>
      <c r="D26" s="70">
        <v>8</v>
      </c>
      <c r="E26" s="71">
        <v>8</v>
      </c>
      <c r="F26" s="71">
        <v>8</v>
      </c>
      <c r="G26" s="80">
        <v>8</v>
      </c>
      <c r="H26" s="72">
        <v>8</v>
      </c>
      <c r="I26" s="72">
        <v>8</v>
      </c>
      <c r="J26" s="72">
        <v>8</v>
      </c>
      <c r="K26" s="73">
        <v>8</v>
      </c>
      <c r="L26" s="73">
        <v>8</v>
      </c>
      <c r="M26" s="73">
        <v>8</v>
      </c>
      <c r="N26" s="73">
        <v>8</v>
      </c>
      <c r="O26" s="103">
        <v>8</v>
      </c>
    </row>
    <row r="27" spans="3:15" x14ac:dyDescent="0.25">
      <c r="C27" s="102" t="s">
        <v>95</v>
      </c>
      <c r="D27" s="70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97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155176.33278496476</v>
      </c>
      <c r="E30" s="71">
        <v>150656.63377181042</v>
      </c>
      <c r="F30" s="71">
        <v>146268.57647748588</v>
      </c>
      <c r="G30" s="80">
        <v>142008.32667717076</v>
      </c>
      <c r="H30" s="72">
        <v>137872.16182249589</v>
      </c>
      <c r="I30" s="72">
        <v>133856.46778883095</v>
      </c>
      <c r="J30" s="72">
        <v>129957.73571731162</v>
      </c>
      <c r="K30" s="73">
        <v>126172.55894884623</v>
      </c>
      <c r="L30" s="73">
        <v>122497.63004742352</v>
      </c>
      <c r="M30" s="73">
        <v>118929.73791011993</v>
      </c>
      <c r="N30" s="73">
        <v>115465.76496128149</v>
      </c>
      <c r="O30" s="103">
        <v>112102.68442842863</v>
      </c>
    </row>
    <row r="31" spans="3:15" x14ac:dyDescent="0.25">
      <c r="C31" s="102" t="s">
        <v>89</v>
      </c>
      <c r="D31" s="70">
        <f>35*1200+35*600</f>
        <v>63000</v>
      </c>
      <c r="E31" s="71">
        <f>D31*(1-$D$29)</f>
        <v>61110</v>
      </c>
      <c r="F31" s="71">
        <f t="shared" ref="F31:O31" si="3">E31*(1-$D$29)</f>
        <v>59276.7</v>
      </c>
      <c r="G31" s="80">
        <f t="shared" si="3"/>
        <v>57498.398999999998</v>
      </c>
      <c r="H31" s="72">
        <f t="shared" si="3"/>
        <v>55773.447029999996</v>
      </c>
      <c r="I31" s="72">
        <f t="shared" si="3"/>
        <v>54100.243619099994</v>
      </c>
      <c r="J31" s="72">
        <f t="shared" si="3"/>
        <v>52477.236310526991</v>
      </c>
      <c r="K31" s="73">
        <f t="shared" si="3"/>
        <v>50902.919221211181</v>
      </c>
      <c r="L31" s="73">
        <f t="shared" si="3"/>
        <v>49375.831644574842</v>
      </c>
      <c r="M31" s="73">
        <f t="shared" si="3"/>
        <v>47894.556695237596</v>
      </c>
      <c r="N31" s="73">
        <f t="shared" si="3"/>
        <v>46457.719994380466</v>
      </c>
      <c r="O31" s="103">
        <f t="shared" si="3"/>
        <v>45063.988394549051</v>
      </c>
    </row>
    <row r="32" spans="3:15" x14ac:dyDescent="0.25">
      <c r="C32" s="102" t="s">
        <v>90</v>
      </c>
      <c r="D32" s="79">
        <v>28921.13182088617</v>
      </c>
      <c r="E32" s="71">
        <v>28078.768758141909</v>
      </c>
      <c r="F32" s="71">
        <v>27260.940541885349</v>
      </c>
      <c r="G32" s="80">
        <v>26466.932564937233</v>
      </c>
      <c r="H32" s="72">
        <v>25696.051033919644</v>
      </c>
      <c r="I32" s="72">
        <v>22142.102842256889</v>
      </c>
      <c r="J32" s="72">
        <v>18691.667704720232</v>
      </c>
      <c r="K32" s="73">
        <v>15341.730677985615</v>
      </c>
      <c r="L32" s="73">
        <v>12089.3646326122</v>
      </c>
      <c r="M32" s="73">
        <v>8931.7276953564578</v>
      </c>
      <c r="N32" s="73">
        <v>5866.0607659819507</v>
      </c>
      <c r="O32" s="103">
        <v>2889.6851063950494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186300</v>
      </c>
      <c r="E34" s="71">
        <f t="shared" ref="E34:O34" si="5">0.35*E22</f>
        <v>187210</v>
      </c>
      <c r="F34" s="71">
        <f t="shared" si="5"/>
        <v>188138.2</v>
      </c>
      <c r="G34" s="80">
        <f t="shared" si="5"/>
        <v>189084.96400000001</v>
      </c>
      <c r="H34" s="72">
        <f t="shared" si="5"/>
        <v>190050.66327999998</v>
      </c>
      <c r="I34" s="72">
        <f t="shared" si="5"/>
        <v>191035.6765456</v>
      </c>
      <c r="J34" s="72">
        <f t="shared" si="5"/>
        <v>192040.39007651198</v>
      </c>
      <c r="K34" s="73">
        <f t="shared" si="5"/>
        <v>193065.19787804221</v>
      </c>
      <c r="L34" s="73">
        <f t="shared" si="5"/>
        <v>194110.50183560303</v>
      </c>
      <c r="M34" s="73">
        <f t="shared" si="5"/>
        <v>195176.71187231512</v>
      </c>
      <c r="N34" s="73">
        <f t="shared" si="5"/>
        <v>196264.24610976139</v>
      </c>
      <c r="O34" s="103">
        <f t="shared" si="5"/>
        <v>197373.53103195663</v>
      </c>
    </row>
    <row r="35" spans="3:15" x14ac:dyDescent="0.25">
      <c r="C35" s="160" t="s">
        <v>93</v>
      </c>
      <c r="D35" s="163">
        <f>D24+D30+D31+D32-D34</f>
        <v>646311.75032013678</v>
      </c>
      <c r="E35" s="164">
        <f t="shared" ref="E35:O35" si="6">E24+E30+E31+E32-E34</f>
        <v>641009.68824423815</v>
      </c>
      <c r="F35" s="164">
        <f t="shared" si="6"/>
        <v>635959.5027336569</v>
      </c>
      <c r="G35" s="165">
        <f t="shared" si="6"/>
        <v>631155.72395639366</v>
      </c>
      <c r="H35" s="166">
        <f t="shared" si="6"/>
        <v>626593.0812007013</v>
      </c>
      <c r="I35" s="166">
        <f t="shared" si="6"/>
        <v>619460.97827647347</v>
      </c>
      <c r="J35" s="166">
        <f t="shared" si="6"/>
        <v>612641.7613250846</v>
      </c>
      <c r="K35" s="167">
        <f t="shared" si="6"/>
        <v>606128.34715813352</v>
      </c>
      <c r="L35" s="167">
        <f t="shared" si="6"/>
        <v>599913.90168661717</v>
      </c>
      <c r="M35" s="167">
        <f t="shared" si="6"/>
        <v>593991.83345567505</v>
      </c>
      <c r="N35" s="167">
        <f t="shared" si="6"/>
        <v>588355.78738541831</v>
      </c>
      <c r="O35" s="168">
        <f t="shared" si="6"/>
        <v>582999.63871213689</v>
      </c>
    </row>
    <row r="37" spans="3:15" x14ac:dyDescent="0.25">
      <c r="C37" t="s">
        <v>333</v>
      </c>
      <c r="D37" s="30">
        <f>D19-D35</f>
        <v>-127082.72342116723</v>
      </c>
      <c r="E37" s="30">
        <f t="shared" ref="E37:O37" si="7">E19-E35</f>
        <v>-138228.13230903889</v>
      </c>
      <c r="F37" s="30">
        <f t="shared" si="7"/>
        <v>-99650.583781313617</v>
      </c>
      <c r="G37" s="30">
        <f t="shared" si="7"/>
        <v>-109859.54451902857</v>
      </c>
      <c r="H37" s="30">
        <f t="shared" si="7"/>
        <v>-118983.32780732471</v>
      </c>
      <c r="I37" s="30">
        <f t="shared" si="7"/>
        <v>-127355.34783686692</v>
      </c>
      <c r="J37" s="30">
        <f t="shared" si="7"/>
        <v>-134869.57675899228</v>
      </c>
      <c r="K37" s="30">
        <f t="shared" si="7"/>
        <v>-141625.48103356076</v>
      </c>
      <c r="L37" s="30">
        <f t="shared" si="7"/>
        <v>-147712.42794252507</v>
      </c>
      <c r="M37" s="30">
        <f t="shared" si="7"/>
        <v>-153210.70500967099</v>
      </c>
      <c r="N37" s="30">
        <f t="shared" si="7"/>
        <v>-158192.43729871413</v>
      </c>
      <c r="O37" s="30">
        <f t="shared" si="7"/>
        <v>-162722.41280921351</v>
      </c>
    </row>
    <row r="39" spans="3:15" x14ac:dyDescent="0.25">
      <c r="D39">
        <v>2019</v>
      </c>
      <c r="E39">
        <v>2020</v>
      </c>
      <c r="F39">
        <v>2021</v>
      </c>
      <c r="G39">
        <v>2022</v>
      </c>
      <c r="H39">
        <v>2023</v>
      </c>
      <c r="I39">
        <v>2024</v>
      </c>
      <c r="J39">
        <v>2025</v>
      </c>
      <c r="K39">
        <v>2026</v>
      </c>
      <c r="L39">
        <v>2027</v>
      </c>
      <c r="M39">
        <v>2028</v>
      </c>
      <c r="N39">
        <v>2029</v>
      </c>
      <c r="O39">
        <v>2030</v>
      </c>
    </row>
    <row r="40" spans="3:15" x14ac:dyDescent="0.25">
      <c r="C40" t="s">
        <v>338</v>
      </c>
      <c r="D40">
        <v>14784.259692420368</v>
      </c>
      <c r="E40">
        <v>-534.78948031319305</v>
      </c>
      <c r="F40">
        <v>33991.928867934563</v>
      </c>
      <c r="G40">
        <v>19851.333629756176</v>
      </c>
      <c r="H40">
        <v>6911.6034911847673</v>
      </c>
      <c r="I40">
        <v>-5164.0805023726425</v>
      </c>
      <c r="J40">
        <v>-16272.995041678427</v>
      </c>
      <c r="K40">
        <v>-26517.813852373743</v>
      </c>
      <c r="L40">
        <v>-35991.017072508985</v>
      </c>
      <c r="M40">
        <v>-44775.913451906003</v>
      </c>
      <c r="N40">
        <v>-52947.560348022729</v>
      </c>
      <c r="O40">
        <v>-60573.591740189062</v>
      </c>
    </row>
    <row r="41" spans="3:15" x14ac:dyDescent="0.25">
      <c r="C41" t="s">
        <v>336</v>
      </c>
      <c r="D41">
        <v>457.56138106156141</v>
      </c>
      <c r="E41">
        <v>-14439.92376318574</v>
      </c>
      <c r="F41">
        <v>20495.951603009773</v>
      </c>
      <c r="G41">
        <v>6752.4715948777157</v>
      </c>
      <c r="H41">
        <v>-5801.8306320661213</v>
      </c>
      <c r="I41">
        <v>-17503.429999420187</v>
      </c>
      <c r="J41">
        <v>-28249.269294099882</v>
      </c>
      <c r="K41">
        <v>-38141.698168761737</v>
      </c>
      <c r="L41">
        <v>-47272.88222983171</v>
      </c>
      <c r="M41">
        <v>-55725.824955894088</v>
      </c>
      <c r="N41">
        <v>-63575.287420857174</v>
      </c>
      <c r="O41">
        <v>-70888.616043523944</v>
      </c>
    </row>
    <row r="42" spans="3:15" x14ac:dyDescent="0.25">
      <c r="C42" t="s">
        <v>334</v>
      </c>
      <c r="D42">
        <v>-13869.136930297129</v>
      </c>
      <c r="E42">
        <v>-28345.058046058286</v>
      </c>
      <c r="F42">
        <v>6999.9743380849832</v>
      </c>
      <c r="G42">
        <v>-6346.3904400008614</v>
      </c>
      <c r="H42">
        <v>-18515.26475531701</v>
      </c>
      <c r="I42">
        <v>-29842.779496467556</v>
      </c>
      <c r="J42">
        <v>-40225.543546521338</v>
      </c>
      <c r="K42">
        <v>-49765.582485149789</v>
      </c>
      <c r="L42">
        <v>-58554.747387154726</v>
      </c>
      <c r="M42">
        <v>-66675.73645988229</v>
      </c>
      <c r="N42">
        <v>-74203.01449369156</v>
      </c>
      <c r="O42">
        <v>-81203.640346858709</v>
      </c>
    </row>
    <row r="43" spans="3:15" x14ac:dyDescent="0.25">
      <c r="C43" t="s">
        <v>326</v>
      </c>
      <c r="D43">
        <v>-42322.533553014626</v>
      </c>
      <c r="E43">
        <v>-55961.326611803495</v>
      </c>
      <c r="F43">
        <v>-19803.80019176472</v>
      </c>
      <c r="G43">
        <v>-32361.579909757769</v>
      </c>
      <c r="H43">
        <v>-43765.074439818971</v>
      </c>
      <c r="I43">
        <v>-54349.731685422303</v>
      </c>
      <c r="J43">
        <v>-64011.497650378384</v>
      </c>
      <c r="K43">
        <v>-72851.754548969679</v>
      </c>
      <c r="L43">
        <v>-80961.729029913025</v>
      </c>
      <c r="M43">
        <v>-88423.513256127539</v>
      </c>
      <c r="N43">
        <v>-95310.983813981467</v>
      </c>
      <c r="O43">
        <v>-101690.62867291056</v>
      </c>
    </row>
    <row r="44" spans="3:15" x14ac:dyDescent="0.25">
      <c r="C44" t="s">
        <v>328</v>
      </c>
      <c r="D44">
        <v>-70175.930175732123</v>
      </c>
      <c r="E44">
        <v>-82995.595177548588</v>
      </c>
      <c r="F44">
        <v>-46043.034721614444</v>
      </c>
      <c r="G44">
        <v>-57829.165579514753</v>
      </c>
      <c r="H44">
        <v>-68483.708438320784</v>
      </c>
      <c r="I44">
        <v>-78341.44345895719</v>
      </c>
      <c r="J44">
        <v>-87297.668551278068</v>
      </c>
      <c r="K44">
        <v>-95453.136905920925</v>
      </c>
      <c r="L44">
        <v>-102898.46465700859</v>
      </c>
      <c r="M44">
        <v>-109715.15141718026</v>
      </c>
      <c r="N44">
        <v>-115976.49865813443</v>
      </c>
      <c r="O44">
        <v>-121748.43615710962</v>
      </c>
    </row>
    <row r="45" spans="3:15" x14ac:dyDescent="0.25">
      <c r="C45" t="s">
        <v>330</v>
      </c>
      <c r="D45">
        <v>-84302.628487090813</v>
      </c>
      <c r="E45">
        <v>-96706.729460421135</v>
      </c>
      <c r="F45">
        <v>-59350.831986539066</v>
      </c>
      <c r="G45">
        <v>-70745.4930143932</v>
      </c>
      <c r="H45">
        <v>-81020.08399957174</v>
      </c>
      <c r="I45">
        <v>-90509.046150864626</v>
      </c>
      <c r="J45">
        <v>-99107.348402713658</v>
      </c>
      <c r="K45">
        <v>-106915.42465335276</v>
      </c>
      <c r="L45">
        <v>-114023.58114244381</v>
      </c>
      <c r="M45">
        <v>-120513.01670943754</v>
      </c>
      <c r="N45">
        <v>-126456.74090558989</v>
      </c>
      <c r="O45">
        <v>-131920.40017982683</v>
      </c>
    </row>
    <row r="46" spans="3:15" x14ac:dyDescent="0.25">
      <c r="C46" t="s">
        <v>332</v>
      </c>
      <c r="D46">
        <v>-127082.72342116723</v>
      </c>
      <c r="E46">
        <v>-138228.13230903889</v>
      </c>
      <c r="F46">
        <v>-99650.583781313617</v>
      </c>
      <c r="G46">
        <v>-109859.54451902857</v>
      </c>
      <c r="H46">
        <v>-118983.32780732471</v>
      </c>
      <c r="I46">
        <v>-127355.34783686692</v>
      </c>
      <c r="J46">
        <v>-134869.57675899228</v>
      </c>
      <c r="K46">
        <v>-141625.48103356076</v>
      </c>
      <c r="L46">
        <v>-147712.42794252507</v>
      </c>
      <c r="M46">
        <v>-153210.70500967099</v>
      </c>
      <c r="N46">
        <v>-158192.43729871413</v>
      </c>
      <c r="O46">
        <v>-162722.41280921351</v>
      </c>
    </row>
    <row r="58" spans="3:26" x14ac:dyDescent="0.25">
      <c r="D58">
        <v>2019</v>
      </c>
      <c r="E58">
        <v>2020</v>
      </c>
      <c r="F58">
        <v>2021</v>
      </c>
      <c r="G58">
        <v>2022</v>
      </c>
      <c r="H58">
        <v>2023</v>
      </c>
      <c r="I58">
        <v>2024</v>
      </c>
      <c r="J58">
        <v>2025</v>
      </c>
      <c r="K58">
        <v>2026</v>
      </c>
      <c r="L58">
        <v>2027</v>
      </c>
      <c r="M58">
        <v>2028</v>
      </c>
      <c r="N58">
        <v>2029</v>
      </c>
      <c r="O58">
        <v>2030</v>
      </c>
      <c r="P58">
        <v>2031</v>
      </c>
      <c r="Q58">
        <v>2032</v>
      </c>
      <c r="R58">
        <v>2033</v>
      </c>
      <c r="S58">
        <v>2034</v>
      </c>
      <c r="T58">
        <v>2035</v>
      </c>
      <c r="U58">
        <v>2036</v>
      </c>
      <c r="V58">
        <v>2037</v>
      </c>
      <c r="W58">
        <v>2038</v>
      </c>
      <c r="X58">
        <v>2039</v>
      </c>
      <c r="Y58">
        <v>2040</v>
      </c>
      <c r="Z58">
        <v>2041</v>
      </c>
    </row>
    <row r="59" spans="3:26" x14ac:dyDescent="0.25">
      <c r="C59" t="s">
        <v>98</v>
      </c>
      <c r="D59">
        <f>120*365</f>
        <v>43800</v>
      </c>
      <c r="E59">
        <f t="shared" ref="E59:Z59" si="8">120*365</f>
        <v>43800</v>
      </c>
      <c r="F59">
        <f t="shared" si="8"/>
        <v>43800</v>
      </c>
      <c r="G59">
        <f t="shared" si="8"/>
        <v>43800</v>
      </c>
      <c r="H59">
        <f t="shared" si="8"/>
        <v>43800</v>
      </c>
      <c r="I59">
        <f t="shared" si="8"/>
        <v>43800</v>
      </c>
      <c r="J59">
        <f t="shared" si="8"/>
        <v>43800</v>
      </c>
      <c r="K59">
        <f t="shared" si="8"/>
        <v>43800</v>
      </c>
      <c r="L59">
        <f t="shared" si="8"/>
        <v>43800</v>
      </c>
      <c r="M59">
        <f t="shared" si="8"/>
        <v>43800</v>
      </c>
      <c r="N59">
        <f t="shared" si="8"/>
        <v>43800</v>
      </c>
      <c r="O59">
        <f t="shared" si="8"/>
        <v>43800</v>
      </c>
      <c r="P59">
        <f t="shared" si="8"/>
        <v>43800</v>
      </c>
      <c r="Q59">
        <f t="shared" si="8"/>
        <v>43800</v>
      </c>
      <c r="R59">
        <f t="shared" si="8"/>
        <v>43800</v>
      </c>
      <c r="S59">
        <f t="shared" si="8"/>
        <v>43800</v>
      </c>
      <c r="T59">
        <f t="shared" si="8"/>
        <v>43800</v>
      </c>
      <c r="U59">
        <f t="shared" si="8"/>
        <v>43800</v>
      </c>
      <c r="V59">
        <f t="shared" si="8"/>
        <v>43800</v>
      </c>
      <c r="W59">
        <f t="shared" si="8"/>
        <v>43800</v>
      </c>
      <c r="X59">
        <f t="shared" si="8"/>
        <v>43800</v>
      </c>
      <c r="Y59">
        <f t="shared" si="8"/>
        <v>43800</v>
      </c>
      <c r="Z59">
        <f t="shared" si="8"/>
        <v>43800</v>
      </c>
    </row>
    <row r="60" spans="3:26" x14ac:dyDescent="0.25">
      <c r="C60" t="s">
        <v>99</v>
      </c>
      <c r="D60" s="30">
        <f>($D$11/100)*D59</f>
        <v>7270.8</v>
      </c>
      <c r="E60" s="30">
        <f t="shared" ref="E60:Z60" si="9">($D$11/100)*E59</f>
        <v>7270.8</v>
      </c>
      <c r="F60" s="30">
        <f t="shared" si="9"/>
        <v>7270.8</v>
      </c>
      <c r="G60" s="30">
        <f t="shared" si="9"/>
        <v>7270.8</v>
      </c>
      <c r="H60" s="30">
        <f t="shared" si="9"/>
        <v>7270.8</v>
      </c>
      <c r="I60" s="30">
        <f t="shared" si="9"/>
        <v>7270.8</v>
      </c>
      <c r="J60" s="30">
        <f t="shared" si="9"/>
        <v>7270.8</v>
      </c>
      <c r="K60" s="30">
        <f t="shared" si="9"/>
        <v>7270.8</v>
      </c>
      <c r="L60" s="30">
        <f t="shared" si="9"/>
        <v>7270.8</v>
      </c>
      <c r="M60" s="30">
        <f t="shared" si="9"/>
        <v>7270.8</v>
      </c>
      <c r="N60" s="30">
        <f t="shared" si="9"/>
        <v>7270.8</v>
      </c>
      <c r="O60" s="30">
        <f t="shared" si="9"/>
        <v>7270.8</v>
      </c>
      <c r="P60" s="30">
        <f t="shared" si="9"/>
        <v>7270.8</v>
      </c>
      <c r="Q60" s="30">
        <f t="shared" si="9"/>
        <v>7270.8</v>
      </c>
      <c r="R60" s="30">
        <f t="shared" si="9"/>
        <v>7270.8</v>
      </c>
      <c r="S60" s="30">
        <f t="shared" si="9"/>
        <v>7270.8</v>
      </c>
      <c r="T60" s="30">
        <f t="shared" si="9"/>
        <v>7270.8</v>
      </c>
      <c r="U60" s="30">
        <f t="shared" si="9"/>
        <v>7270.8</v>
      </c>
      <c r="V60" s="30">
        <f t="shared" si="9"/>
        <v>7270.8</v>
      </c>
      <c r="W60" s="30">
        <f t="shared" si="9"/>
        <v>7270.8</v>
      </c>
      <c r="X60" s="30">
        <f t="shared" si="9"/>
        <v>7270.8</v>
      </c>
      <c r="Y60" s="30">
        <f t="shared" si="9"/>
        <v>7270.8</v>
      </c>
      <c r="Z60" s="30">
        <f t="shared" si="9"/>
        <v>7270.8</v>
      </c>
    </row>
    <row r="61" spans="3:26" x14ac:dyDescent="0.25">
      <c r="C61" t="s">
        <v>101</v>
      </c>
      <c r="D61" s="1">
        <f>D60*$D$12</f>
        <v>5816.64</v>
      </c>
      <c r="E61" s="1">
        <f t="shared" ref="E61:Z61" si="10">E60*$D$12</f>
        <v>5816.64</v>
      </c>
      <c r="F61" s="1">
        <f t="shared" si="10"/>
        <v>5816.64</v>
      </c>
      <c r="G61" s="1">
        <f t="shared" si="10"/>
        <v>5816.64</v>
      </c>
      <c r="H61" s="1">
        <f t="shared" si="10"/>
        <v>5816.64</v>
      </c>
      <c r="I61" s="1">
        <f t="shared" si="10"/>
        <v>5816.64</v>
      </c>
      <c r="J61" s="1">
        <f t="shared" si="10"/>
        <v>5816.64</v>
      </c>
      <c r="K61" s="1">
        <f t="shared" si="10"/>
        <v>5816.64</v>
      </c>
      <c r="L61" s="1">
        <f t="shared" si="10"/>
        <v>5816.64</v>
      </c>
      <c r="M61" s="1">
        <f t="shared" si="10"/>
        <v>5816.64</v>
      </c>
      <c r="N61" s="1">
        <f t="shared" si="10"/>
        <v>5816.64</v>
      </c>
      <c r="O61" s="1">
        <f t="shared" si="10"/>
        <v>5816.64</v>
      </c>
      <c r="P61" s="1">
        <f t="shared" si="10"/>
        <v>5816.64</v>
      </c>
      <c r="Q61" s="1">
        <f t="shared" si="10"/>
        <v>5816.64</v>
      </c>
      <c r="R61" s="1">
        <f t="shared" si="10"/>
        <v>5816.64</v>
      </c>
      <c r="S61" s="1">
        <f t="shared" si="10"/>
        <v>5816.64</v>
      </c>
      <c r="T61" s="1">
        <f t="shared" si="10"/>
        <v>5816.64</v>
      </c>
      <c r="U61" s="1">
        <f t="shared" si="10"/>
        <v>5816.64</v>
      </c>
      <c r="V61" s="1">
        <f t="shared" si="10"/>
        <v>5816.64</v>
      </c>
      <c r="W61" s="1">
        <f t="shared" si="10"/>
        <v>5816.64</v>
      </c>
      <c r="X61" s="1">
        <f t="shared" si="10"/>
        <v>5816.64</v>
      </c>
      <c r="Y61" s="1">
        <f t="shared" si="10"/>
        <v>5816.64</v>
      </c>
      <c r="Z61" s="1">
        <f t="shared" si="10"/>
        <v>5816.64</v>
      </c>
    </row>
    <row r="62" spans="3:26" x14ac:dyDescent="0.25">
      <c r="C62" t="s">
        <v>100</v>
      </c>
      <c r="D62">
        <f>D61/(1+$D$13)^(D58-2019)</f>
        <v>5816.64</v>
      </c>
      <c r="E62">
        <f t="shared" ref="E62:Z62" si="11">E61/(1+$D$13)^(E58-2019)</f>
        <v>5647.2233009708743</v>
      </c>
      <c r="F62">
        <f t="shared" si="11"/>
        <v>5482.7410689037615</v>
      </c>
      <c r="G62">
        <f t="shared" si="11"/>
        <v>5323.0495814599626</v>
      </c>
      <c r="H62">
        <f t="shared" si="11"/>
        <v>5168.0093023883137</v>
      </c>
      <c r="I62">
        <f t="shared" si="11"/>
        <v>5017.4847596003046</v>
      </c>
      <c r="J62">
        <f t="shared" si="11"/>
        <v>4871.3444267964123</v>
      </c>
      <c r="K62">
        <f t="shared" si="11"/>
        <v>4729.4606085402056</v>
      </c>
      <c r="L62">
        <f t="shared" si="11"/>
        <v>4591.7093286798117</v>
      </c>
      <c r="M62">
        <f t="shared" si="11"/>
        <v>4457.9702220192348</v>
      </c>
      <c r="N62">
        <f t="shared" si="11"/>
        <v>4328.1264291448879</v>
      </c>
      <c r="O62">
        <f t="shared" si="11"/>
        <v>4202.0644943154248</v>
      </c>
      <c r="P62">
        <f t="shared" si="11"/>
        <v>4079.6742663256559</v>
      </c>
      <c r="Q62">
        <f t="shared" si="11"/>
        <v>3960.8488022579186</v>
      </c>
      <c r="R62">
        <f t="shared" si="11"/>
        <v>3845.4842740368135</v>
      </c>
      <c r="S62">
        <f t="shared" si="11"/>
        <v>3733.479877705644</v>
      </c>
      <c r="T62">
        <f t="shared" si="11"/>
        <v>3624.7377453452864</v>
      </c>
      <c r="U62">
        <f t="shared" si="11"/>
        <v>3519.1628595585303</v>
      </c>
      <c r="V62">
        <f t="shared" si="11"/>
        <v>3416.6629704451752</v>
      </c>
      <c r="W62">
        <f t="shared" si="11"/>
        <v>3317.1485149953155</v>
      </c>
      <c r="X62">
        <f t="shared" si="11"/>
        <v>3220.5325388304036</v>
      </c>
      <c r="Y62">
        <f t="shared" si="11"/>
        <v>3126.7306202236932</v>
      </c>
      <c r="Z62">
        <f t="shared" si="11"/>
        <v>3035.6607963336824</v>
      </c>
    </row>
    <row r="63" spans="3:26" x14ac:dyDescent="0.25">
      <c r="C63" t="s">
        <v>102</v>
      </c>
      <c r="D63">
        <f>SUM(D62:K62)</f>
        <v>42055.953048659838</v>
      </c>
      <c r="E63">
        <f>SUM(E62:L62)</f>
        <v>40831.02237733965</v>
      </c>
      <c r="F63">
        <f t="shared" ref="F63:O63" si="12">SUM(F62:M62)</f>
        <v>39641.769298388004</v>
      </c>
      <c r="G63">
        <f t="shared" si="12"/>
        <v>38487.154658629137</v>
      </c>
      <c r="H63">
        <f t="shared" si="12"/>
        <v>37366.169571484592</v>
      </c>
      <c r="I63">
        <f t="shared" si="12"/>
        <v>36277.834535421942</v>
      </c>
      <c r="J63">
        <f t="shared" si="12"/>
        <v>35221.198578079551</v>
      </c>
      <c r="K63">
        <f t="shared" si="12"/>
        <v>34195.338425319955</v>
      </c>
      <c r="L63">
        <f t="shared" si="12"/>
        <v>33199.357694485392</v>
      </c>
      <c r="M63">
        <f t="shared" si="12"/>
        <v>32232.386111150867</v>
      </c>
      <c r="N63">
        <f t="shared" si="12"/>
        <v>31293.578748690165</v>
      </c>
      <c r="O63">
        <f t="shared" si="12"/>
        <v>30382.115289990448</v>
      </c>
    </row>
    <row r="65" spans="3:26" x14ac:dyDescent="0.25">
      <c r="C65" t="s">
        <v>103</v>
      </c>
      <c r="D65">
        <f>27*300+27*100</f>
        <v>10800</v>
      </c>
    </row>
    <row r="69" spans="3:26" x14ac:dyDescent="0.25">
      <c r="C69" t="s">
        <v>104</v>
      </c>
      <c r="D69">
        <v>4300</v>
      </c>
      <c r="E69">
        <v>4300</v>
      </c>
      <c r="F69">
        <v>4300</v>
      </c>
      <c r="G69">
        <v>4300</v>
      </c>
      <c r="H69">
        <v>4300</v>
      </c>
      <c r="I69">
        <v>4300</v>
      </c>
      <c r="J69">
        <v>4300</v>
      </c>
      <c r="K69">
        <v>4300</v>
      </c>
      <c r="L69">
        <v>4300</v>
      </c>
      <c r="M69">
        <v>4300</v>
      </c>
      <c r="N69">
        <v>4300</v>
      </c>
      <c r="O69">
        <v>4300</v>
      </c>
      <c r="P69">
        <v>4300</v>
      </c>
      <c r="Q69">
        <v>4300</v>
      </c>
      <c r="R69">
        <v>4300</v>
      </c>
      <c r="S69">
        <v>4300</v>
      </c>
      <c r="T69">
        <v>4300</v>
      </c>
      <c r="U69">
        <v>4300</v>
      </c>
      <c r="V69">
        <v>4300</v>
      </c>
      <c r="W69">
        <v>4300</v>
      </c>
      <c r="X69">
        <v>4300</v>
      </c>
      <c r="Y69">
        <v>4300</v>
      </c>
      <c r="Z69">
        <v>4300</v>
      </c>
    </row>
    <row r="70" spans="3:26" x14ac:dyDescent="0.25">
      <c r="C70" t="s">
        <v>105</v>
      </c>
      <c r="D70">
        <f>D69/(1+0.03)^(D58-2019)</f>
        <v>4300</v>
      </c>
      <c r="E70">
        <f t="shared" ref="E70:O70" si="13">E69/(1+0.03)^(E58-2019)</f>
        <v>4174.7572815533977</v>
      </c>
      <c r="F70">
        <f t="shared" si="13"/>
        <v>4053.162409275144</v>
      </c>
      <c r="G70">
        <f t="shared" si="13"/>
        <v>3935.1091352185863</v>
      </c>
      <c r="H70">
        <f t="shared" si="13"/>
        <v>3820.4943060374626</v>
      </c>
      <c r="I70">
        <f t="shared" si="13"/>
        <v>3709.2177728519055</v>
      </c>
      <c r="J70">
        <f t="shared" si="13"/>
        <v>3601.1823037397139</v>
      </c>
      <c r="K70">
        <f t="shared" si="13"/>
        <v>3496.2934987764211</v>
      </c>
      <c r="L70">
        <f t="shared" si="13"/>
        <v>3394.4597075499237</v>
      </c>
      <c r="M70">
        <f t="shared" si="13"/>
        <v>3295.5919490775959</v>
      </c>
      <c r="N70">
        <f t="shared" si="13"/>
        <v>3199.6038340559185</v>
      </c>
      <c r="O70">
        <f t="shared" si="13"/>
        <v>3106.4114893746778</v>
      </c>
    </row>
    <row r="71" spans="3:26" x14ac:dyDescent="0.25">
      <c r="C71" t="s">
        <v>106</v>
      </c>
      <c r="D71" s="145">
        <f>SUM(D70:K70)</f>
        <v>31090.216707452633</v>
      </c>
      <c r="E71" s="145">
        <f>SUM(E70:L70)</f>
        <v>30184.676415002552</v>
      </c>
      <c r="F71" s="145">
        <f>SUM(F70:M70)</f>
        <v>29305.511082526751</v>
      </c>
      <c r="G71" s="145">
        <f t="shared" ref="G71:O71" si="14">SUM(G70:N70)</f>
        <v>28451.952507307524</v>
      </c>
      <c r="H71" s="145">
        <f t="shared" si="14"/>
        <v>27623.254861463614</v>
      </c>
      <c r="I71" s="145">
        <f t="shared" si="14"/>
        <v>23802.760555426157</v>
      </c>
      <c r="J71" s="145">
        <f t="shared" si="14"/>
        <v>20093.542782574252</v>
      </c>
      <c r="K71" s="145">
        <f t="shared" si="14"/>
        <v>16492.360478834536</v>
      </c>
      <c r="L71" s="145">
        <f t="shared" si="14"/>
        <v>12996.066980058116</v>
      </c>
      <c r="M71" s="145">
        <f t="shared" si="14"/>
        <v>9601.6072725081922</v>
      </c>
      <c r="N71" s="145">
        <f t="shared" si="14"/>
        <v>6306.0153234305963</v>
      </c>
      <c r="O71" s="145">
        <f t="shared" si="14"/>
        <v>3106.4114893746778</v>
      </c>
    </row>
    <row r="74" spans="3:26" x14ac:dyDescent="0.25">
      <c r="C74" t="s">
        <v>98</v>
      </c>
      <c r="D74">
        <f>D59</f>
        <v>43800</v>
      </c>
      <c r="E74">
        <f t="shared" ref="E74:Z74" si="15">E59</f>
        <v>43800</v>
      </c>
      <c r="F74">
        <f t="shared" si="15"/>
        <v>43800</v>
      </c>
      <c r="G74">
        <f t="shared" si="15"/>
        <v>43800</v>
      </c>
      <c r="H74">
        <f t="shared" si="15"/>
        <v>43800</v>
      </c>
      <c r="I74">
        <f t="shared" si="15"/>
        <v>43800</v>
      </c>
      <c r="J74">
        <f t="shared" si="15"/>
        <v>43800</v>
      </c>
      <c r="K74">
        <f t="shared" si="15"/>
        <v>43800</v>
      </c>
      <c r="L74">
        <f t="shared" si="15"/>
        <v>43800</v>
      </c>
      <c r="M74">
        <f t="shared" si="15"/>
        <v>43800</v>
      </c>
      <c r="N74">
        <f t="shared" si="15"/>
        <v>43800</v>
      </c>
      <c r="O74">
        <f t="shared" si="15"/>
        <v>43800</v>
      </c>
      <c r="P74">
        <f t="shared" si="15"/>
        <v>43800</v>
      </c>
      <c r="Q74">
        <f t="shared" si="15"/>
        <v>43800</v>
      </c>
      <c r="R74">
        <f t="shared" si="15"/>
        <v>43800</v>
      </c>
      <c r="S74">
        <f t="shared" si="15"/>
        <v>43800</v>
      </c>
      <c r="T74">
        <f t="shared" si="15"/>
        <v>43800</v>
      </c>
      <c r="U74">
        <f t="shared" si="15"/>
        <v>43800</v>
      </c>
      <c r="V74">
        <f t="shared" si="15"/>
        <v>43800</v>
      </c>
      <c r="W74">
        <f t="shared" si="15"/>
        <v>43800</v>
      </c>
      <c r="X74">
        <f t="shared" si="15"/>
        <v>43800</v>
      </c>
      <c r="Y74">
        <f t="shared" si="15"/>
        <v>43800</v>
      </c>
      <c r="Z74">
        <f t="shared" si="15"/>
        <v>43800</v>
      </c>
    </row>
    <row r="75" spans="3:26" x14ac:dyDescent="0.25">
      <c r="C75" t="s">
        <v>107</v>
      </c>
      <c r="D75" s="30">
        <f>($D$27/100)*D74</f>
        <v>3066.0000000000005</v>
      </c>
      <c r="E75" s="30">
        <f t="shared" ref="E75:Z75" si="16">($D$27/100)*E74</f>
        <v>3066.0000000000005</v>
      </c>
      <c r="F75" s="30">
        <f t="shared" si="16"/>
        <v>3066.0000000000005</v>
      </c>
      <c r="G75" s="30">
        <f t="shared" si="16"/>
        <v>3066.0000000000005</v>
      </c>
      <c r="H75" s="30">
        <f t="shared" si="16"/>
        <v>3066.0000000000005</v>
      </c>
      <c r="I75" s="30">
        <f t="shared" si="16"/>
        <v>3066.0000000000005</v>
      </c>
      <c r="J75" s="30">
        <f t="shared" si="16"/>
        <v>3066.0000000000005</v>
      </c>
      <c r="K75" s="30">
        <f t="shared" si="16"/>
        <v>3066.0000000000005</v>
      </c>
      <c r="L75" s="30">
        <f t="shared" si="16"/>
        <v>3066.0000000000005</v>
      </c>
      <c r="M75" s="30">
        <f t="shared" si="16"/>
        <v>3066.0000000000005</v>
      </c>
      <c r="N75" s="30">
        <f t="shared" si="16"/>
        <v>3066.0000000000005</v>
      </c>
      <c r="O75" s="30">
        <f t="shared" si="16"/>
        <v>3066.0000000000005</v>
      </c>
      <c r="P75" s="30">
        <f t="shared" si="16"/>
        <v>3066.0000000000005</v>
      </c>
      <c r="Q75" s="30">
        <f t="shared" si="16"/>
        <v>3066.0000000000005</v>
      </c>
      <c r="R75" s="30">
        <f t="shared" si="16"/>
        <v>3066.0000000000005</v>
      </c>
      <c r="S75" s="30">
        <f t="shared" si="16"/>
        <v>3066.0000000000005</v>
      </c>
      <c r="T75" s="30">
        <f t="shared" si="16"/>
        <v>3066.0000000000005</v>
      </c>
      <c r="U75" s="30">
        <f t="shared" si="16"/>
        <v>3066.0000000000005</v>
      </c>
      <c r="V75" s="30">
        <f t="shared" si="16"/>
        <v>3066.0000000000005</v>
      </c>
      <c r="W75" s="30">
        <f t="shared" si="16"/>
        <v>3066.0000000000005</v>
      </c>
      <c r="X75" s="30">
        <f t="shared" si="16"/>
        <v>3066.0000000000005</v>
      </c>
      <c r="Y75" s="30">
        <f t="shared" si="16"/>
        <v>3066.0000000000005</v>
      </c>
      <c r="Z75" s="30">
        <f t="shared" si="16"/>
        <v>3066.0000000000005</v>
      </c>
    </row>
    <row r="76" spans="3:26" x14ac:dyDescent="0.25">
      <c r="C76" t="s">
        <v>108</v>
      </c>
      <c r="D76">
        <f>D75*$D$28</f>
        <v>21462.000000000004</v>
      </c>
      <c r="E76">
        <f t="shared" ref="E76:Z76" si="17">E75*$D$28</f>
        <v>21462.000000000004</v>
      </c>
      <c r="F76">
        <f t="shared" si="17"/>
        <v>21462.000000000004</v>
      </c>
      <c r="G76">
        <f t="shared" si="17"/>
        <v>21462.000000000004</v>
      </c>
      <c r="H76">
        <f t="shared" si="17"/>
        <v>21462.000000000004</v>
      </c>
      <c r="I76">
        <f t="shared" si="17"/>
        <v>21462.000000000004</v>
      </c>
      <c r="J76">
        <f t="shared" si="17"/>
        <v>21462.000000000004</v>
      </c>
      <c r="K76">
        <f t="shared" si="17"/>
        <v>21462.000000000004</v>
      </c>
      <c r="L76">
        <f t="shared" si="17"/>
        <v>21462.000000000004</v>
      </c>
      <c r="M76">
        <f t="shared" si="17"/>
        <v>21462.000000000004</v>
      </c>
      <c r="N76">
        <f t="shared" si="17"/>
        <v>21462.000000000004</v>
      </c>
      <c r="O76">
        <f t="shared" si="17"/>
        <v>21462.000000000004</v>
      </c>
      <c r="P76">
        <f t="shared" si="17"/>
        <v>21462.000000000004</v>
      </c>
      <c r="Q76">
        <f t="shared" si="17"/>
        <v>21462.000000000004</v>
      </c>
      <c r="R76">
        <f t="shared" si="17"/>
        <v>21462.000000000004</v>
      </c>
      <c r="S76">
        <f t="shared" si="17"/>
        <v>21462.000000000004</v>
      </c>
      <c r="T76">
        <f t="shared" si="17"/>
        <v>21462.000000000004</v>
      </c>
      <c r="U76">
        <f t="shared" si="17"/>
        <v>21462.000000000004</v>
      </c>
      <c r="V76">
        <f t="shared" si="17"/>
        <v>21462.000000000004</v>
      </c>
      <c r="W76">
        <f t="shared" si="17"/>
        <v>21462.000000000004</v>
      </c>
      <c r="X76">
        <f t="shared" si="17"/>
        <v>21462.000000000004</v>
      </c>
      <c r="Y76">
        <f t="shared" si="17"/>
        <v>21462.000000000004</v>
      </c>
      <c r="Z76">
        <f t="shared" si="17"/>
        <v>21462.000000000004</v>
      </c>
    </row>
    <row r="77" spans="3:26" x14ac:dyDescent="0.25">
      <c r="C77" t="s">
        <v>109</v>
      </c>
      <c r="D77">
        <f>D76/(1+$D$29)^(D58-2019)</f>
        <v>21462.000000000004</v>
      </c>
      <c r="E77">
        <f t="shared" ref="E77:Z77" si="18">E76/(1+$D$29)^(E58-2019)</f>
        <v>20836.893203883497</v>
      </c>
      <c r="F77">
        <f t="shared" si="18"/>
        <v>20229.99340182864</v>
      </c>
      <c r="G77">
        <f t="shared" si="18"/>
        <v>19640.770293037513</v>
      </c>
      <c r="H77">
        <f t="shared" si="18"/>
        <v>19068.709022366518</v>
      </c>
      <c r="I77">
        <f t="shared" si="18"/>
        <v>18513.309730452933</v>
      </c>
      <c r="J77">
        <f t="shared" si="18"/>
        <v>17974.087116944593</v>
      </c>
      <c r="K77">
        <f t="shared" si="18"/>
        <v>17450.57001645106</v>
      </c>
      <c r="L77">
        <f t="shared" si="18"/>
        <v>16942.300986845694</v>
      </c>
      <c r="M77">
        <f t="shared" si="18"/>
        <v>16448.835909558926</v>
      </c>
      <c r="N77">
        <f t="shared" si="18"/>
        <v>15969.743601513519</v>
      </c>
      <c r="O77">
        <f t="shared" si="18"/>
        <v>15504.60543836264</v>
      </c>
      <c r="P77">
        <f t="shared" si="18"/>
        <v>15053.014988701594</v>
      </c>
      <c r="Q77">
        <f t="shared" si="18"/>
        <v>14614.577658933587</v>
      </c>
      <c r="R77">
        <f t="shared" si="18"/>
        <v>14188.910348479209</v>
      </c>
      <c r="S77">
        <f t="shared" si="18"/>
        <v>13775.641115028357</v>
      </c>
      <c r="T77">
        <f t="shared" si="18"/>
        <v>13374.408849542097</v>
      </c>
      <c r="U77">
        <f t="shared" si="18"/>
        <v>12984.862960720482</v>
      </c>
      <c r="V77">
        <f t="shared" si="18"/>
        <v>12606.663068660662</v>
      </c>
      <c r="W77">
        <f t="shared" si="18"/>
        <v>12239.478707437536</v>
      </c>
      <c r="X77">
        <f t="shared" si="18"/>
        <v>11882.989036347122</v>
      </c>
      <c r="Y77">
        <f t="shared" si="18"/>
        <v>11536.882559560316</v>
      </c>
      <c r="Z77">
        <f t="shared" si="18"/>
        <v>11200.856853942052</v>
      </c>
    </row>
    <row r="78" spans="3:26" x14ac:dyDescent="0.25">
      <c r="C78" t="s">
        <v>110</v>
      </c>
      <c r="D78" s="1">
        <f>SUM(D77:K77)</f>
        <v>155176.33278496476</v>
      </c>
      <c r="E78" s="1">
        <f t="shared" ref="E78:O78" si="19">SUM(E77:L77)</f>
        <v>150656.63377181042</v>
      </c>
      <c r="F78" s="1">
        <f t="shared" si="19"/>
        <v>146268.57647748588</v>
      </c>
      <c r="G78" s="1">
        <f t="shared" si="19"/>
        <v>142008.32667717076</v>
      </c>
      <c r="H78" s="1">
        <f t="shared" si="19"/>
        <v>137872.16182249589</v>
      </c>
      <c r="I78" s="1">
        <f t="shared" si="19"/>
        <v>133856.46778883095</v>
      </c>
      <c r="J78" s="1">
        <f t="shared" si="19"/>
        <v>129957.73571731162</v>
      </c>
      <c r="K78" s="1">
        <f t="shared" si="19"/>
        <v>126172.55894884623</v>
      </c>
      <c r="L78" s="1">
        <f t="shared" si="19"/>
        <v>122497.63004742352</v>
      </c>
      <c r="M78" s="1">
        <f t="shared" si="19"/>
        <v>118929.73791011993</v>
      </c>
      <c r="N78" s="1">
        <f t="shared" si="19"/>
        <v>115465.76496128149</v>
      </c>
      <c r="O78" s="1">
        <f t="shared" si="19"/>
        <v>112102.68442842863</v>
      </c>
    </row>
  </sheetData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Z83"/>
  <sheetViews>
    <sheetView topLeftCell="A13" zoomScaleNormal="100" workbookViewId="0">
      <selection activeCell="D35" sqref="D35"/>
    </sheetView>
  </sheetViews>
  <sheetFormatPr defaultRowHeight="14.4" x14ac:dyDescent="0.25"/>
  <cols>
    <col min="3" max="3" width="36.88671875" bestFit="1" customWidth="1"/>
    <col min="4" max="9" width="15" bestFit="1" customWidth="1"/>
    <col min="10" max="10" width="12.77734375" customWidth="1"/>
    <col min="11" max="15" width="15" bestFit="1" customWidth="1"/>
    <col min="16" max="16" width="10.5546875" bestFit="1" customWidth="1"/>
  </cols>
  <sheetData>
    <row r="4" spans="3:15" x14ac:dyDescent="0.25">
      <c r="C4" s="131" t="s">
        <v>385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3:15" x14ac:dyDescent="0.25">
      <c r="C5" s="123"/>
      <c r="D5" s="124">
        <v>2019</v>
      </c>
      <c r="E5" s="125">
        <v>2020</v>
      </c>
      <c r="F5" s="125">
        <v>2021</v>
      </c>
      <c r="G5" s="125">
        <v>2022</v>
      </c>
      <c r="H5" s="126">
        <v>2023</v>
      </c>
      <c r="I5" s="126">
        <v>2024</v>
      </c>
      <c r="J5" s="126">
        <v>2025</v>
      </c>
      <c r="K5" s="127">
        <v>2026</v>
      </c>
      <c r="L5" s="127">
        <v>2027</v>
      </c>
      <c r="M5" s="127">
        <v>2028</v>
      </c>
      <c r="N5" s="127">
        <v>2029</v>
      </c>
      <c r="O5" s="128">
        <v>2030</v>
      </c>
    </row>
    <row r="6" spans="3:15" x14ac:dyDescent="0.25">
      <c r="C6" s="102" t="s">
        <v>45</v>
      </c>
      <c r="D6" s="70">
        <v>516685.71428571426</v>
      </c>
      <c r="E6" s="71">
        <v>500085.71428571426</v>
      </c>
      <c r="F6" s="71">
        <v>485125.71428571426</v>
      </c>
      <c r="G6" s="71">
        <v>471641.71428571426</v>
      </c>
      <c r="H6" s="72">
        <v>459486.11428571423</v>
      </c>
      <c r="I6" s="72">
        <v>448526.07428571419</v>
      </c>
      <c r="J6" s="72">
        <v>438642.03828571422</v>
      </c>
      <c r="K6" s="73">
        <v>429726.40588571422</v>
      </c>
      <c r="L6" s="73">
        <v>421682.33672571421</v>
      </c>
      <c r="M6" s="73">
        <v>414422.6744817142</v>
      </c>
      <c r="N6" s="73">
        <v>407868.97846211417</v>
      </c>
      <c r="O6" s="103">
        <v>401950.65204447415</v>
      </c>
    </row>
    <row r="7" spans="3:15" x14ac:dyDescent="0.25">
      <c r="C7" s="102" t="s">
        <v>23</v>
      </c>
      <c r="D7" s="74">
        <v>0</v>
      </c>
      <c r="E7" s="75">
        <v>0</v>
      </c>
      <c r="F7" s="76">
        <v>48512.571428571428</v>
      </c>
      <c r="G7" s="76">
        <v>47164.171428571426</v>
      </c>
      <c r="H7" s="77">
        <v>45948.611428571428</v>
      </c>
      <c r="I7" s="77">
        <v>44852.60742857142</v>
      </c>
      <c r="J7" s="77">
        <v>43864.203828571422</v>
      </c>
      <c r="K7" s="78">
        <v>42972.640588571427</v>
      </c>
      <c r="L7" s="78">
        <v>42168.233672571427</v>
      </c>
      <c r="M7" s="78">
        <v>41442.26744817142</v>
      </c>
      <c r="N7" s="78">
        <v>40786.897846211417</v>
      </c>
      <c r="O7" s="104">
        <v>40195.065204447419</v>
      </c>
    </row>
    <row r="8" spans="3:15" x14ac:dyDescent="0.25">
      <c r="C8" s="102" t="s">
        <v>47</v>
      </c>
      <c r="D8" s="79">
        <v>516685.71428571426</v>
      </c>
      <c r="E8" s="80">
        <v>500085.71428571426</v>
      </c>
      <c r="F8" s="80">
        <v>533638.28571428568</v>
      </c>
      <c r="G8" s="80">
        <v>518805.88571428566</v>
      </c>
      <c r="H8" s="81">
        <v>505434.72571428563</v>
      </c>
      <c r="I8" s="81">
        <v>493378.68171428563</v>
      </c>
      <c r="J8" s="81">
        <v>482506.24211428565</v>
      </c>
      <c r="K8" s="82">
        <v>472699.04647428566</v>
      </c>
      <c r="L8" s="82">
        <v>463850.57039828564</v>
      </c>
      <c r="M8" s="82">
        <v>455864.94192988565</v>
      </c>
      <c r="N8" s="82">
        <v>448655.87630832556</v>
      </c>
      <c r="O8" s="105">
        <v>442145.71724892157</v>
      </c>
    </row>
    <row r="9" spans="3:15" x14ac:dyDescent="0.25">
      <c r="C9" s="102" t="s">
        <v>84</v>
      </c>
      <c r="D9" s="83">
        <v>300</v>
      </c>
      <c r="E9" s="83">
        <v>300</v>
      </c>
      <c r="F9" s="83">
        <v>300</v>
      </c>
      <c r="G9" s="83">
        <v>300</v>
      </c>
      <c r="H9" s="83">
        <v>300</v>
      </c>
      <c r="I9" s="83">
        <v>300</v>
      </c>
      <c r="J9" s="83">
        <v>300</v>
      </c>
      <c r="K9" s="83">
        <v>300</v>
      </c>
      <c r="L9" s="83">
        <v>300</v>
      </c>
      <c r="M9" s="83">
        <v>300</v>
      </c>
      <c r="N9" s="83">
        <v>300</v>
      </c>
      <c r="O9" s="83">
        <v>300</v>
      </c>
    </row>
    <row r="10" spans="3:15" x14ac:dyDescent="0.25">
      <c r="C10" s="102" t="s">
        <v>94</v>
      </c>
      <c r="D10" s="83">
        <v>5</v>
      </c>
      <c r="E10" s="83">
        <v>5</v>
      </c>
      <c r="F10" s="83">
        <v>5</v>
      </c>
      <c r="G10" s="83">
        <v>5</v>
      </c>
      <c r="H10" s="83">
        <v>5</v>
      </c>
      <c r="I10" s="83">
        <v>5</v>
      </c>
      <c r="J10" s="83">
        <v>5</v>
      </c>
      <c r="K10" s="83">
        <v>5</v>
      </c>
      <c r="L10" s="83">
        <v>5</v>
      </c>
      <c r="M10" s="83">
        <v>5</v>
      </c>
      <c r="N10" s="83">
        <v>5</v>
      </c>
      <c r="O10" s="83">
        <v>5</v>
      </c>
    </row>
    <row r="11" spans="3:15" x14ac:dyDescent="0.25">
      <c r="C11" s="102" t="s">
        <v>85</v>
      </c>
      <c r="D11" s="83">
        <v>16.600000000000001</v>
      </c>
      <c r="E11" s="147">
        <v>16.600000000000001</v>
      </c>
      <c r="F11" s="147">
        <v>16.600000000000001</v>
      </c>
      <c r="G11" s="147">
        <v>16.600000000000001</v>
      </c>
      <c r="H11" s="148">
        <v>16.600000000000001</v>
      </c>
      <c r="I11" s="148">
        <v>16.600000000000001</v>
      </c>
      <c r="J11" s="148">
        <v>16.600000000000001</v>
      </c>
      <c r="K11" s="149">
        <v>16.600000000000001</v>
      </c>
      <c r="L11" s="149">
        <v>16.600000000000001</v>
      </c>
      <c r="M11" s="149">
        <v>16.600000000000001</v>
      </c>
      <c r="N11" s="149">
        <v>16.600000000000001</v>
      </c>
      <c r="O11" s="149">
        <v>16.600000000000001</v>
      </c>
    </row>
    <row r="12" spans="3:15" x14ac:dyDescent="0.25">
      <c r="C12" s="102" t="s">
        <v>86</v>
      </c>
      <c r="D12" s="83">
        <v>0.8</v>
      </c>
      <c r="E12" s="147">
        <v>0.8</v>
      </c>
      <c r="F12" s="147">
        <v>0.8</v>
      </c>
      <c r="G12" s="147">
        <v>0.8</v>
      </c>
      <c r="H12" s="148">
        <v>0.8</v>
      </c>
      <c r="I12" s="148">
        <v>0.8</v>
      </c>
      <c r="J12" s="148">
        <v>0.8</v>
      </c>
      <c r="K12" s="149">
        <v>0.8</v>
      </c>
      <c r="L12" s="149">
        <v>0.8</v>
      </c>
      <c r="M12" s="149">
        <v>0.8</v>
      </c>
      <c r="N12" s="149">
        <v>0.8</v>
      </c>
      <c r="O12" s="149">
        <v>0.8</v>
      </c>
    </row>
    <row r="13" spans="3:15" x14ac:dyDescent="0.25">
      <c r="C13" s="102" t="s">
        <v>92</v>
      </c>
      <c r="D13" s="150">
        <v>0.03</v>
      </c>
      <c r="E13" s="155">
        <v>0.03</v>
      </c>
      <c r="F13" s="155">
        <v>0.03</v>
      </c>
      <c r="G13" s="155">
        <v>0.03</v>
      </c>
      <c r="H13" s="156">
        <v>0.03</v>
      </c>
      <c r="I13" s="156">
        <v>0.03</v>
      </c>
      <c r="J13" s="156">
        <v>0.03</v>
      </c>
      <c r="K13" s="157">
        <v>0.03</v>
      </c>
      <c r="L13" s="157">
        <v>0.03</v>
      </c>
      <c r="M13" s="157">
        <v>0.03</v>
      </c>
      <c r="N13" s="157">
        <v>0.03</v>
      </c>
      <c r="O13" s="157">
        <v>0.03</v>
      </c>
    </row>
    <row r="14" spans="3:15" x14ac:dyDescent="0.25">
      <c r="C14" s="102" t="s">
        <v>88</v>
      </c>
      <c r="D14" s="79">
        <v>68594.158134307276</v>
      </c>
      <c r="E14" s="90">
        <v>66596.270033308028</v>
      </c>
      <c r="F14" s="90">
        <v>64656.572847871881</v>
      </c>
      <c r="G14" s="90">
        <v>62773.37169696299</v>
      </c>
      <c r="H14" s="94">
        <v>60945.02106501261</v>
      </c>
      <c r="I14" s="94">
        <v>59169.923364089918</v>
      </c>
      <c r="J14" s="94">
        <v>57446.527537951377</v>
      </c>
      <c r="K14" s="95">
        <v>55773.327706748911</v>
      </c>
      <c r="L14" s="95">
        <v>54148.861851212532</v>
      </c>
      <c r="M14" s="95">
        <v>52571.710535157807</v>
      </c>
      <c r="N14" s="95">
        <v>51040.49566520175</v>
      </c>
      <c r="O14" s="95">
        <v>49553.879286603646</v>
      </c>
    </row>
    <row r="15" spans="3:15" x14ac:dyDescent="0.25">
      <c r="C15" s="102" t="s">
        <v>89</v>
      </c>
      <c r="D15" s="79">
        <f>27*300+27*100</f>
        <v>10800</v>
      </c>
      <c r="E15" s="90">
        <f>D15*(1-$D$13)</f>
        <v>10476</v>
      </c>
      <c r="F15" s="90">
        <f t="shared" ref="F15:O15" si="0">E15*(1-$D$13)</f>
        <v>10161.719999999999</v>
      </c>
      <c r="G15" s="90">
        <f t="shared" si="0"/>
        <v>9856.8683999999994</v>
      </c>
      <c r="H15" s="94">
        <f t="shared" si="0"/>
        <v>9561.1623479999998</v>
      </c>
      <c r="I15" s="94">
        <f t="shared" si="0"/>
        <v>9274.3274775600003</v>
      </c>
      <c r="J15" s="94">
        <f t="shared" si="0"/>
        <v>8996.0976532332006</v>
      </c>
      <c r="K15" s="95">
        <f t="shared" si="0"/>
        <v>8726.2147236362052</v>
      </c>
      <c r="L15" s="95">
        <f t="shared" si="0"/>
        <v>8464.4282819271193</v>
      </c>
      <c r="M15" s="95">
        <f t="shared" si="0"/>
        <v>8210.4954334693048</v>
      </c>
      <c r="N15" s="95">
        <f t="shared" si="0"/>
        <v>7964.1805704652252</v>
      </c>
      <c r="O15" s="95">
        <f t="shared" si="0"/>
        <v>7725.2551533512678</v>
      </c>
    </row>
    <row r="16" spans="3:15" x14ac:dyDescent="0.25">
      <c r="C16" s="102" t="s">
        <v>90</v>
      </c>
      <c r="D16" s="79">
        <v>20283.523132084592</v>
      </c>
      <c r="E16" s="90">
        <v>19692.740904936494</v>
      </c>
      <c r="F16" s="90">
        <v>19119.165927122813</v>
      </c>
      <c r="G16" s="90">
        <v>18562.297016624088</v>
      </c>
      <c r="H16" s="94">
        <v>18021.647588955424</v>
      </c>
      <c r="I16" s="94">
        <v>17496.745231995563</v>
      </c>
      <c r="J16" s="94">
        <v>16987.131293199574</v>
      </c>
      <c r="K16" s="95">
        <v>16492.360478834536</v>
      </c>
      <c r="L16" s="95">
        <v>16012.0004648879</v>
      </c>
      <c r="M16" s="95">
        <v>15545.631519308643</v>
      </c>
      <c r="N16" s="95">
        <v>15092.846135251109</v>
      </c>
      <c r="O16" s="95">
        <v>14653.248675001076</v>
      </c>
    </row>
    <row r="17" spans="3:15" x14ac:dyDescent="0.25">
      <c r="C17" s="102" t="s">
        <v>91</v>
      </c>
      <c r="D17" s="146">
        <v>0</v>
      </c>
      <c r="E17" s="119">
        <v>0</v>
      </c>
      <c r="F17" s="119">
        <v>0</v>
      </c>
      <c r="G17" s="119">
        <v>0</v>
      </c>
      <c r="H17" s="120">
        <v>0</v>
      </c>
      <c r="I17" s="120">
        <v>0</v>
      </c>
      <c r="J17" s="120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</row>
    <row r="18" spans="3:15" x14ac:dyDescent="0.25">
      <c r="C18" s="102" t="s">
        <v>87</v>
      </c>
      <c r="D18" s="93">
        <f>0.15*D6</f>
        <v>77502.85714285713</v>
      </c>
      <c r="E18" s="90">
        <f t="shared" ref="E18:O18" si="1">0.15*E6</f>
        <v>75012.85714285713</v>
      </c>
      <c r="F18" s="90">
        <f t="shared" si="1"/>
        <v>72768.85714285713</v>
      </c>
      <c r="G18" s="90">
        <f t="shared" si="1"/>
        <v>70746.257142857139</v>
      </c>
      <c r="H18" s="94">
        <f t="shared" si="1"/>
        <v>68922.917142857128</v>
      </c>
      <c r="I18" s="94">
        <f t="shared" si="1"/>
        <v>67278.91114285712</v>
      </c>
      <c r="J18" s="94">
        <f t="shared" si="1"/>
        <v>65796.305742857134</v>
      </c>
      <c r="K18" s="95">
        <f t="shared" si="1"/>
        <v>64458.960882857129</v>
      </c>
      <c r="L18" s="95">
        <f t="shared" si="1"/>
        <v>63252.350508857126</v>
      </c>
      <c r="M18" s="95">
        <f t="shared" si="1"/>
        <v>62163.40117225713</v>
      </c>
      <c r="N18" s="95">
        <f t="shared" si="1"/>
        <v>61180.346769317126</v>
      </c>
      <c r="O18" s="95">
        <f t="shared" si="1"/>
        <v>60292.597806671118</v>
      </c>
    </row>
    <row r="19" spans="3:15" x14ac:dyDescent="0.25">
      <c r="C19" s="160" t="s">
        <v>93</v>
      </c>
      <c r="D19" s="161">
        <f>D8+D14+D15+D16+D17-D18</f>
        <v>538860.53840924904</v>
      </c>
      <c r="E19" s="158">
        <f t="shared" ref="E19:O19" si="2">E8+E14+E15+E16+E17-E18</f>
        <v>521837.86808110157</v>
      </c>
      <c r="F19" s="158">
        <f t="shared" si="2"/>
        <v>554806.88734642323</v>
      </c>
      <c r="G19" s="158">
        <f t="shared" si="2"/>
        <v>539252.16568501561</v>
      </c>
      <c r="H19" s="159">
        <f t="shared" si="2"/>
        <v>525039.63957339653</v>
      </c>
      <c r="I19" s="159">
        <f t="shared" si="2"/>
        <v>512040.76664507407</v>
      </c>
      <c r="J19" s="159">
        <f t="shared" si="2"/>
        <v>500139.69285581273</v>
      </c>
      <c r="K19" s="162">
        <f t="shared" si="2"/>
        <v>489231.988500648</v>
      </c>
      <c r="L19" s="162">
        <f t="shared" si="2"/>
        <v>479223.51048745605</v>
      </c>
      <c r="M19" s="162">
        <f t="shared" si="2"/>
        <v>470029.37824556429</v>
      </c>
      <c r="N19" s="162">
        <f t="shared" si="2"/>
        <v>461573.05190992652</v>
      </c>
      <c r="O19" s="162">
        <f t="shared" si="2"/>
        <v>453785.50255720649</v>
      </c>
    </row>
    <row r="20" spans="3:15" x14ac:dyDescent="0.25">
      <c r="C20" s="131" t="s">
        <v>389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3:15" x14ac:dyDescent="0.25">
      <c r="C21" s="123"/>
      <c r="D21" s="124">
        <v>2019</v>
      </c>
      <c r="E21" s="125">
        <v>2020</v>
      </c>
      <c r="F21" s="125">
        <v>2021</v>
      </c>
      <c r="G21" s="125">
        <v>2022</v>
      </c>
      <c r="H21" s="126">
        <v>2023</v>
      </c>
      <c r="I21" s="126">
        <v>2024</v>
      </c>
      <c r="J21" s="126">
        <v>2025</v>
      </c>
      <c r="K21" s="127">
        <v>2026</v>
      </c>
      <c r="L21" s="127">
        <v>2027</v>
      </c>
      <c r="M21" s="127">
        <v>2028</v>
      </c>
      <c r="N21" s="127">
        <v>2029</v>
      </c>
      <c r="O21" s="128">
        <v>2030</v>
      </c>
    </row>
    <row r="22" spans="3:15" x14ac:dyDescent="0.25">
      <c r="C22" s="102" t="s">
        <v>45</v>
      </c>
      <c r="D22" s="70">
        <v>532285.71428571432</v>
      </c>
      <c r="E22" s="87">
        <v>534885.71428571432</v>
      </c>
      <c r="F22" s="87">
        <v>537537.71428571432</v>
      </c>
      <c r="G22" s="87">
        <v>540242.75428571436</v>
      </c>
      <c r="H22" s="88">
        <v>543001.89508571429</v>
      </c>
      <c r="I22" s="88">
        <v>545816.2187017143</v>
      </c>
      <c r="J22" s="88">
        <v>548686.82879003428</v>
      </c>
      <c r="K22" s="89">
        <v>551614.85108012066</v>
      </c>
      <c r="L22" s="89">
        <v>554601.43381600874</v>
      </c>
      <c r="M22" s="89">
        <v>557647.74820661463</v>
      </c>
      <c r="N22" s="89">
        <v>560754.9888850326</v>
      </c>
      <c r="O22" s="107">
        <v>563924.374377019</v>
      </c>
    </row>
    <row r="23" spans="3:15" x14ac:dyDescent="0.25">
      <c r="C23" s="102" t="s">
        <v>23</v>
      </c>
      <c r="D23" s="117">
        <v>53228.571428571435</v>
      </c>
      <c r="E23" s="76">
        <v>53488.571428571435</v>
      </c>
      <c r="F23" s="76">
        <v>53753.771428571432</v>
      </c>
      <c r="G23" s="76">
        <v>54024.27542857144</v>
      </c>
      <c r="H23" s="77">
        <v>54300.189508571435</v>
      </c>
      <c r="I23" s="77">
        <v>54581.621870171432</v>
      </c>
      <c r="J23" s="77">
        <v>54868.682879003434</v>
      </c>
      <c r="K23" s="78">
        <v>55161.485108012072</v>
      </c>
      <c r="L23" s="78">
        <v>55460.143381600879</v>
      </c>
      <c r="M23" s="78">
        <v>55764.774820661463</v>
      </c>
      <c r="N23" s="78">
        <v>56075.498888503265</v>
      </c>
      <c r="O23" s="104">
        <v>56392.437437701905</v>
      </c>
    </row>
    <row r="24" spans="3:15" x14ac:dyDescent="0.25">
      <c r="C24" s="102" t="s">
        <v>47</v>
      </c>
      <c r="D24" s="93">
        <v>585514.2857142858</v>
      </c>
      <c r="E24" s="71">
        <v>588374.2857142858</v>
      </c>
      <c r="F24" s="71">
        <v>591291.48571428575</v>
      </c>
      <c r="G24" s="135">
        <v>594267.02971428575</v>
      </c>
      <c r="H24" s="72">
        <v>597302.0845942857</v>
      </c>
      <c r="I24" s="72">
        <v>600397.8405718857</v>
      </c>
      <c r="J24" s="72">
        <v>603555.51166903775</v>
      </c>
      <c r="K24" s="73">
        <v>606776.33618813276</v>
      </c>
      <c r="L24" s="73">
        <v>610061.57719760959</v>
      </c>
      <c r="M24" s="73">
        <v>613412.52302727615</v>
      </c>
      <c r="N24" s="73">
        <v>616830.48777353589</v>
      </c>
      <c r="O24" s="103">
        <v>620316.81181472086</v>
      </c>
    </row>
    <row r="25" spans="3:15" x14ac:dyDescent="0.25">
      <c r="C25" s="102" t="s">
        <v>84</v>
      </c>
      <c r="D25" s="70">
        <v>300</v>
      </c>
      <c r="E25" s="70">
        <v>300</v>
      </c>
      <c r="F25" s="70">
        <v>300</v>
      </c>
      <c r="G25" s="70">
        <v>300</v>
      </c>
      <c r="H25" s="70">
        <v>300</v>
      </c>
      <c r="I25" s="70">
        <v>300</v>
      </c>
      <c r="J25" s="70">
        <v>300</v>
      </c>
      <c r="K25" s="70">
        <v>300</v>
      </c>
      <c r="L25" s="70">
        <v>300</v>
      </c>
      <c r="M25" s="70">
        <v>300</v>
      </c>
      <c r="N25" s="70">
        <v>300</v>
      </c>
      <c r="O25" s="70">
        <v>300</v>
      </c>
    </row>
    <row r="26" spans="3:15" x14ac:dyDescent="0.25">
      <c r="C26" s="102" t="s">
        <v>94</v>
      </c>
      <c r="D26" s="70">
        <v>5</v>
      </c>
      <c r="E26" s="70">
        <v>5</v>
      </c>
      <c r="F26" s="70">
        <v>5</v>
      </c>
      <c r="G26" s="70">
        <v>5</v>
      </c>
      <c r="H26" s="70">
        <v>5</v>
      </c>
      <c r="I26" s="70">
        <v>5</v>
      </c>
      <c r="J26" s="70">
        <v>5</v>
      </c>
      <c r="K26" s="70">
        <v>5</v>
      </c>
      <c r="L26" s="70">
        <v>5</v>
      </c>
      <c r="M26" s="70">
        <v>5</v>
      </c>
      <c r="N26" s="70">
        <v>5</v>
      </c>
      <c r="O26" s="70">
        <v>5</v>
      </c>
    </row>
    <row r="27" spans="3:15" x14ac:dyDescent="0.25">
      <c r="C27" s="102" t="s">
        <v>95</v>
      </c>
      <c r="D27" s="70">
        <v>7</v>
      </c>
      <c r="E27" s="71">
        <v>7</v>
      </c>
      <c r="F27" s="71">
        <v>7</v>
      </c>
      <c r="G27" s="80">
        <v>7</v>
      </c>
      <c r="H27" s="72">
        <v>7</v>
      </c>
      <c r="I27" s="72">
        <v>7</v>
      </c>
      <c r="J27" s="72">
        <v>7</v>
      </c>
      <c r="K27" s="73">
        <v>7</v>
      </c>
      <c r="L27" s="73">
        <v>7</v>
      </c>
      <c r="M27" s="73">
        <v>7</v>
      </c>
      <c r="N27" s="73">
        <v>7</v>
      </c>
      <c r="O27" s="103">
        <v>7</v>
      </c>
    </row>
    <row r="28" spans="3:15" x14ac:dyDescent="0.25">
      <c r="C28" s="102" t="s">
        <v>96</v>
      </c>
      <c r="D28" s="70">
        <v>7</v>
      </c>
      <c r="E28" s="71">
        <v>7</v>
      </c>
      <c r="F28" s="71">
        <v>7</v>
      </c>
      <c r="G28" s="80">
        <v>7</v>
      </c>
      <c r="H28" s="72">
        <v>7</v>
      </c>
      <c r="I28" s="72">
        <v>7</v>
      </c>
      <c r="J28" s="72">
        <v>7</v>
      </c>
      <c r="K28" s="73">
        <v>7</v>
      </c>
      <c r="L28" s="73">
        <v>7</v>
      </c>
      <c r="M28" s="73">
        <v>7</v>
      </c>
      <c r="N28" s="73">
        <v>7</v>
      </c>
      <c r="O28" s="103">
        <v>7</v>
      </c>
    </row>
    <row r="29" spans="3:15" x14ac:dyDescent="0.25">
      <c r="C29" s="102" t="s">
        <v>92</v>
      </c>
      <c r="D29" s="150">
        <v>0.03</v>
      </c>
      <c r="E29" s="151">
        <v>0.03</v>
      </c>
      <c r="F29" s="151">
        <v>0.03</v>
      </c>
      <c r="G29" s="151">
        <v>0.03</v>
      </c>
      <c r="H29" s="152">
        <v>0.03</v>
      </c>
      <c r="I29" s="152">
        <v>0.03</v>
      </c>
      <c r="J29" s="152">
        <v>0.03</v>
      </c>
      <c r="K29" s="153">
        <v>0.03</v>
      </c>
      <c r="L29" s="153">
        <v>0.03</v>
      </c>
      <c r="M29" s="153">
        <v>0.03</v>
      </c>
      <c r="N29" s="153">
        <v>0.03</v>
      </c>
      <c r="O29" s="154">
        <v>0.03</v>
      </c>
    </row>
    <row r="30" spans="3:15" x14ac:dyDescent="0.25">
      <c r="C30" s="102" t="s">
        <v>88</v>
      </c>
      <c r="D30" s="70">
        <v>253095.91480279044</v>
      </c>
      <c r="E30" s="71">
        <v>245724.18912892276</v>
      </c>
      <c r="F30" s="71">
        <v>238567.17391157549</v>
      </c>
      <c r="G30" s="80">
        <v>231618.61544813155</v>
      </c>
      <c r="H30" s="72">
        <v>224872.44218265201</v>
      </c>
      <c r="I30" s="72">
        <v>218322.75940063305</v>
      </c>
      <c r="J30" s="72">
        <v>211963.84407828446</v>
      </c>
      <c r="K30" s="73">
        <v>205790.13988182956</v>
      </c>
      <c r="L30" s="73">
        <v>199796.25231245588</v>
      </c>
      <c r="M30" s="73">
        <v>193976.94399267563</v>
      </c>
      <c r="N30" s="73">
        <v>188327.13008997636</v>
      </c>
      <c r="O30" s="103">
        <v>182841.87387376346</v>
      </c>
    </row>
    <row r="31" spans="3:15" x14ac:dyDescent="0.25">
      <c r="C31" s="102" t="s">
        <v>89</v>
      </c>
      <c r="D31" s="70">
        <f>54*1200+55*600</f>
        <v>97800</v>
      </c>
      <c r="E31" s="71">
        <f>D31*(1-$D$29)</f>
        <v>94866</v>
      </c>
      <c r="F31" s="71">
        <f t="shared" ref="F31:O31" si="3">E31*(1-$D$29)</f>
        <v>92020.02</v>
      </c>
      <c r="G31" s="80">
        <f t="shared" si="3"/>
        <v>89259.419399999999</v>
      </c>
      <c r="H31" s="72">
        <f t="shared" si="3"/>
        <v>86581.636817999999</v>
      </c>
      <c r="I31" s="72">
        <f t="shared" si="3"/>
        <v>83984.187713459993</v>
      </c>
      <c r="J31" s="72">
        <f t="shared" si="3"/>
        <v>81464.662082056195</v>
      </c>
      <c r="K31" s="73">
        <f t="shared" si="3"/>
        <v>79020.722219594507</v>
      </c>
      <c r="L31" s="73">
        <f t="shared" si="3"/>
        <v>76650.100553006676</v>
      </c>
      <c r="M31" s="73">
        <f t="shared" si="3"/>
        <v>74350.597536416477</v>
      </c>
      <c r="N31" s="73">
        <f t="shared" si="3"/>
        <v>72120.079610323985</v>
      </c>
      <c r="O31" s="103">
        <f t="shared" si="3"/>
        <v>69956.477222014262</v>
      </c>
    </row>
    <row r="32" spans="3:15" x14ac:dyDescent="0.25">
      <c r="C32" s="102" t="s">
        <v>90</v>
      </c>
      <c r="D32" s="79">
        <v>18868.393611241481</v>
      </c>
      <c r="E32" s="71">
        <v>18318.828748778134</v>
      </c>
      <c r="F32" s="71">
        <v>17785.270629881685</v>
      </c>
      <c r="G32" s="80">
        <v>17267.253038720082</v>
      </c>
      <c r="H32" s="72">
        <v>16764.323338563187</v>
      </c>
      <c r="I32" s="72">
        <v>16276.04207627494</v>
      </c>
      <c r="J32" s="72">
        <v>15801.982598325183</v>
      </c>
      <c r="K32" s="73">
        <v>15341.730677985615</v>
      </c>
      <c r="L32" s="73">
        <v>14894.884153384093</v>
      </c>
      <c r="M32" s="73">
        <v>14461.052576101063</v>
      </c>
      <c r="N32" s="73">
        <v>14039.856870001033</v>
      </c>
      <c r="O32" s="103">
        <v>13630.929000001002</v>
      </c>
    </row>
    <row r="33" spans="3:15" x14ac:dyDescent="0.25">
      <c r="C33" s="102" t="s">
        <v>91</v>
      </c>
      <c r="D33" s="79">
        <v>360</v>
      </c>
      <c r="E33" s="71">
        <f>D33*(1-$D$29)</f>
        <v>349.2</v>
      </c>
      <c r="F33" s="71">
        <f t="shared" ref="F33:O33" si="4">E33*(1-$D$29)</f>
        <v>338.72399999999999</v>
      </c>
      <c r="G33" s="80">
        <f t="shared" si="4"/>
        <v>328.56227999999999</v>
      </c>
      <c r="H33" s="72">
        <f t="shared" si="4"/>
        <v>318.70541159999999</v>
      </c>
      <c r="I33" s="72">
        <f t="shared" si="4"/>
        <v>309.14424925200001</v>
      </c>
      <c r="J33" s="72">
        <f t="shared" si="4"/>
        <v>299.86992177444</v>
      </c>
      <c r="K33" s="73">
        <f t="shared" si="4"/>
        <v>290.87382412120678</v>
      </c>
      <c r="L33" s="73">
        <f t="shared" si="4"/>
        <v>282.14760939757059</v>
      </c>
      <c r="M33" s="73">
        <f t="shared" si="4"/>
        <v>273.68318111564349</v>
      </c>
      <c r="N33" s="73">
        <f t="shared" si="4"/>
        <v>265.47268568217419</v>
      </c>
      <c r="O33" s="103">
        <f t="shared" si="4"/>
        <v>257.50850511170893</v>
      </c>
    </row>
    <row r="34" spans="3:15" x14ac:dyDescent="0.25">
      <c r="C34" s="102" t="s">
        <v>87</v>
      </c>
      <c r="D34" s="79">
        <f>0.35*D22</f>
        <v>186300</v>
      </c>
      <c r="E34" s="71">
        <f t="shared" ref="E34:O34" si="5">0.35*E22</f>
        <v>187210</v>
      </c>
      <c r="F34" s="71">
        <f t="shared" si="5"/>
        <v>188138.2</v>
      </c>
      <c r="G34" s="80">
        <f t="shared" si="5"/>
        <v>189084.96400000001</v>
      </c>
      <c r="H34" s="72">
        <f t="shared" si="5"/>
        <v>190050.66327999998</v>
      </c>
      <c r="I34" s="72">
        <f t="shared" si="5"/>
        <v>191035.6765456</v>
      </c>
      <c r="J34" s="72">
        <f t="shared" si="5"/>
        <v>192040.39007651198</v>
      </c>
      <c r="K34" s="73">
        <f t="shared" si="5"/>
        <v>193065.19787804221</v>
      </c>
      <c r="L34" s="73">
        <f t="shared" si="5"/>
        <v>194110.50183560303</v>
      </c>
      <c r="M34" s="73">
        <f t="shared" si="5"/>
        <v>195176.71187231512</v>
      </c>
      <c r="N34" s="73">
        <f t="shared" si="5"/>
        <v>196264.24610976139</v>
      </c>
      <c r="O34" s="103">
        <f t="shared" si="5"/>
        <v>197373.53103195663</v>
      </c>
    </row>
    <row r="35" spans="3:15" x14ac:dyDescent="0.25">
      <c r="C35" s="160" t="s">
        <v>93</v>
      </c>
      <c r="D35" s="163">
        <f>D24+D30+D31+D32-D34</f>
        <v>768978.59412831778</v>
      </c>
      <c r="E35" s="164">
        <f t="shared" ref="E35:O35" si="6">E24+E30+E31+E32-E34</f>
        <v>760073.30359198665</v>
      </c>
      <c r="F35" s="164">
        <f t="shared" si="6"/>
        <v>751525.75025574281</v>
      </c>
      <c r="G35" s="165">
        <f t="shared" si="6"/>
        <v>743327.35360113741</v>
      </c>
      <c r="H35" s="166">
        <f t="shared" si="6"/>
        <v>735469.82365350099</v>
      </c>
      <c r="I35" s="166">
        <f t="shared" si="6"/>
        <v>727945.15321665374</v>
      </c>
      <c r="J35" s="166">
        <f t="shared" si="6"/>
        <v>720745.6103511916</v>
      </c>
      <c r="K35" s="167">
        <f t="shared" si="6"/>
        <v>713863.73108950024</v>
      </c>
      <c r="L35" s="167">
        <f t="shared" si="6"/>
        <v>707292.31238085323</v>
      </c>
      <c r="M35" s="167">
        <f t="shared" si="6"/>
        <v>701024.40526015416</v>
      </c>
      <c r="N35" s="167">
        <f t="shared" si="6"/>
        <v>695053.3082340759</v>
      </c>
      <c r="O35" s="168">
        <f t="shared" si="6"/>
        <v>689372.56087854295</v>
      </c>
    </row>
    <row r="37" spans="3:15" x14ac:dyDescent="0.25">
      <c r="C37" t="s">
        <v>341</v>
      </c>
      <c r="D37" s="30">
        <f>D19-D35</f>
        <v>-230118.05571906874</v>
      </c>
      <c r="E37" s="30">
        <f t="shared" ref="E37:O37" si="7">E19-E35</f>
        <v>-238235.43551088509</v>
      </c>
      <c r="F37" s="30">
        <f t="shared" si="7"/>
        <v>-196718.86290931958</v>
      </c>
      <c r="G37" s="30">
        <f t="shared" si="7"/>
        <v>-204075.18791612179</v>
      </c>
      <c r="H37" s="30">
        <f t="shared" si="7"/>
        <v>-210430.18408010446</v>
      </c>
      <c r="I37" s="30">
        <f t="shared" si="7"/>
        <v>-215904.38657157967</v>
      </c>
      <c r="J37" s="30">
        <f t="shared" si="7"/>
        <v>-220605.91749537888</v>
      </c>
      <c r="K37" s="30">
        <f t="shared" si="7"/>
        <v>-224631.74258885224</v>
      </c>
      <c r="L37" s="30">
        <f t="shared" si="7"/>
        <v>-228068.80189339718</v>
      </c>
      <c r="M37" s="30">
        <f t="shared" si="7"/>
        <v>-230995.02701458987</v>
      </c>
      <c r="N37" s="30">
        <f t="shared" si="7"/>
        <v>-233480.25632414938</v>
      </c>
      <c r="O37" s="30">
        <f t="shared" si="7"/>
        <v>-235587.05832133646</v>
      </c>
    </row>
    <row r="39" spans="3:15" x14ac:dyDescent="0.25">
      <c r="D39">
        <v>2019</v>
      </c>
      <c r="E39">
        <v>2020</v>
      </c>
      <c r="F39">
        <v>2021</v>
      </c>
      <c r="G39">
        <v>2022</v>
      </c>
      <c r="H39">
        <v>2023</v>
      </c>
      <c r="I39">
        <v>2024</v>
      </c>
      <c r="J39">
        <v>2025</v>
      </c>
      <c r="K39">
        <v>2026</v>
      </c>
      <c r="L39">
        <v>2027</v>
      </c>
      <c r="M39">
        <v>2028</v>
      </c>
      <c r="N39">
        <v>2029</v>
      </c>
      <c r="O39">
        <v>2030</v>
      </c>
    </row>
    <row r="40" spans="3:15" x14ac:dyDescent="0.25">
      <c r="C40" t="s">
        <v>338</v>
      </c>
      <c r="D40" s="1">
        <v>14784.259692420368</v>
      </c>
      <c r="E40" s="1">
        <v>-534.78948031319305</v>
      </c>
      <c r="F40" s="1">
        <v>33991.928867934563</v>
      </c>
      <c r="G40" s="1">
        <v>19851.333629756176</v>
      </c>
      <c r="H40" s="1">
        <v>6911.6034911847673</v>
      </c>
      <c r="I40" s="1">
        <v>-5164.0805023726425</v>
      </c>
      <c r="J40" s="1">
        <v>-16272.995041678427</v>
      </c>
      <c r="K40" s="1">
        <v>-26517.813852373743</v>
      </c>
      <c r="L40" s="1">
        <v>-35991.017072508985</v>
      </c>
      <c r="M40" s="1">
        <v>-44775.913451906003</v>
      </c>
      <c r="N40" s="1">
        <v>-52947.560348022729</v>
      </c>
      <c r="O40" s="1">
        <v>-60573.591740189062</v>
      </c>
    </row>
    <row r="41" spans="3:15" x14ac:dyDescent="0.25">
      <c r="C41" t="s">
        <v>336</v>
      </c>
      <c r="D41" s="1">
        <v>457.56138106156141</v>
      </c>
      <c r="E41" s="1">
        <v>-14439.92376318574</v>
      </c>
      <c r="F41" s="1">
        <v>20495.951603009773</v>
      </c>
      <c r="G41" s="1">
        <v>6752.4715948777157</v>
      </c>
      <c r="H41" s="1">
        <v>-5801.8306320661213</v>
      </c>
      <c r="I41" s="1">
        <v>-17503.429999420187</v>
      </c>
      <c r="J41" s="1">
        <v>-28249.269294099882</v>
      </c>
      <c r="K41" s="1">
        <v>-38141.698168761737</v>
      </c>
      <c r="L41" s="1">
        <v>-47272.88222983171</v>
      </c>
      <c r="M41" s="1">
        <v>-55725.824955894088</v>
      </c>
      <c r="N41" s="1">
        <v>-63575.287420857174</v>
      </c>
      <c r="O41" s="1">
        <v>-70888.616043523944</v>
      </c>
    </row>
    <row r="42" spans="3:15" x14ac:dyDescent="0.25">
      <c r="C42" t="s">
        <v>334</v>
      </c>
      <c r="D42" s="1">
        <v>-13869.136930297129</v>
      </c>
      <c r="E42" s="1">
        <v>-28345.058046058286</v>
      </c>
      <c r="F42" s="1">
        <v>6999.9743380849832</v>
      </c>
      <c r="G42" s="1">
        <v>-6346.3904400008614</v>
      </c>
      <c r="H42" s="1">
        <v>-18515.26475531701</v>
      </c>
      <c r="I42" s="1">
        <v>-29842.779496467556</v>
      </c>
      <c r="J42" s="1">
        <v>-40225.543546521338</v>
      </c>
      <c r="K42" s="1">
        <v>-49765.582485149789</v>
      </c>
      <c r="L42" s="1">
        <v>-58554.747387154726</v>
      </c>
      <c r="M42" s="1">
        <v>-66675.73645988229</v>
      </c>
      <c r="N42" s="1">
        <v>-74203.01449369156</v>
      </c>
      <c r="O42" s="1">
        <v>-81203.640346858709</v>
      </c>
    </row>
    <row r="43" spans="3:15" x14ac:dyDescent="0.25">
      <c r="C43" t="s">
        <v>326</v>
      </c>
      <c r="D43" s="1">
        <v>-42322.533553014626</v>
      </c>
      <c r="E43" s="1">
        <v>-55961.326611803495</v>
      </c>
      <c r="F43" s="1">
        <v>-19803.80019176472</v>
      </c>
      <c r="G43" s="1">
        <v>-32361.579909757769</v>
      </c>
      <c r="H43" s="1">
        <v>-43765.074439818971</v>
      </c>
      <c r="I43" s="1">
        <v>-54349.731685422303</v>
      </c>
      <c r="J43" s="1">
        <v>-64011.497650378384</v>
      </c>
      <c r="K43" s="1">
        <v>-72851.754548969679</v>
      </c>
      <c r="L43" s="1">
        <v>-80961.729029913025</v>
      </c>
      <c r="M43" s="1">
        <v>-88423.513256127539</v>
      </c>
      <c r="N43" s="1">
        <v>-95310.983813981467</v>
      </c>
      <c r="O43" s="1">
        <v>-101690.62867291056</v>
      </c>
    </row>
    <row r="44" spans="3:15" x14ac:dyDescent="0.25">
      <c r="C44" t="s">
        <v>328</v>
      </c>
      <c r="D44" s="1">
        <v>-70175.930175732123</v>
      </c>
      <c r="E44" s="1">
        <v>-82995.595177548588</v>
      </c>
      <c r="F44" s="1">
        <v>-46043.034721614444</v>
      </c>
      <c r="G44" s="1">
        <v>-57829.165579514753</v>
      </c>
      <c r="H44" s="1">
        <v>-68483.708438320784</v>
      </c>
      <c r="I44" s="1">
        <v>-78341.44345895719</v>
      </c>
      <c r="J44" s="1">
        <v>-87297.668551278068</v>
      </c>
      <c r="K44" s="1">
        <v>-95453.136905920925</v>
      </c>
      <c r="L44" s="1">
        <v>-102898.46465700859</v>
      </c>
      <c r="M44" s="1">
        <v>-109715.15141718026</v>
      </c>
      <c r="N44" s="1">
        <v>-115976.49865813443</v>
      </c>
      <c r="O44" s="1">
        <v>-121748.43615710962</v>
      </c>
    </row>
    <row r="45" spans="3:15" x14ac:dyDescent="0.25">
      <c r="C45" t="s">
        <v>330</v>
      </c>
      <c r="D45" s="1">
        <v>-84302.628487090813</v>
      </c>
      <c r="E45" s="1">
        <v>-96706.729460421135</v>
      </c>
      <c r="F45" s="1">
        <v>-59350.831986539066</v>
      </c>
      <c r="G45" s="1">
        <v>-70745.4930143932</v>
      </c>
      <c r="H45" s="1">
        <v>-81020.08399957174</v>
      </c>
      <c r="I45" s="1">
        <v>-90509.046150864626</v>
      </c>
      <c r="J45" s="1">
        <v>-99107.348402713658</v>
      </c>
      <c r="K45" s="1">
        <v>-106915.42465335276</v>
      </c>
      <c r="L45" s="1">
        <v>-114023.58114244381</v>
      </c>
      <c r="M45" s="1">
        <v>-120513.01670943754</v>
      </c>
      <c r="N45" s="1">
        <v>-126456.74090558989</v>
      </c>
      <c r="O45" s="1">
        <v>-131920.40017982683</v>
      </c>
    </row>
    <row r="46" spans="3:15" x14ac:dyDescent="0.25">
      <c r="C46" t="s">
        <v>332</v>
      </c>
      <c r="D46" s="1">
        <v>-127082.72342116723</v>
      </c>
      <c r="E46" s="1">
        <v>-138228.13230903889</v>
      </c>
      <c r="F46" s="1">
        <v>-99650.583781313617</v>
      </c>
      <c r="G46" s="1">
        <v>-109859.54451902857</v>
      </c>
      <c r="H46" s="1">
        <v>-118983.32780732471</v>
      </c>
      <c r="I46" s="1">
        <v>-127355.34783686692</v>
      </c>
      <c r="J46" s="1">
        <v>-134869.57675899228</v>
      </c>
      <c r="K46" s="1">
        <v>-141625.48103356076</v>
      </c>
      <c r="L46" s="1">
        <v>-147712.42794252507</v>
      </c>
      <c r="M46" s="1">
        <v>-153210.70500967099</v>
      </c>
      <c r="N46" s="1">
        <v>-158192.43729871413</v>
      </c>
      <c r="O46" s="1">
        <v>-162722.41280921351</v>
      </c>
    </row>
    <row r="47" spans="3:15" x14ac:dyDescent="0.25">
      <c r="C47" t="s">
        <v>340</v>
      </c>
      <c r="D47" s="1">
        <v>-230118.05571906874</v>
      </c>
      <c r="E47" s="1">
        <v>-238235.43551088509</v>
      </c>
      <c r="F47" s="1">
        <v>-196718.86290931958</v>
      </c>
      <c r="G47" s="1">
        <v>-204075.18791612179</v>
      </c>
      <c r="H47" s="1">
        <v>-210430.18408010446</v>
      </c>
      <c r="I47" s="1">
        <v>-215904.38657157967</v>
      </c>
      <c r="J47" s="1">
        <v>-220605.91749537888</v>
      </c>
      <c r="K47" s="1">
        <v>-224631.74258885224</v>
      </c>
      <c r="L47" s="1">
        <v>-228068.80189339718</v>
      </c>
      <c r="M47" s="1">
        <v>-230995.02701458987</v>
      </c>
      <c r="N47" s="1">
        <v>-233480.25632414938</v>
      </c>
      <c r="O47" s="1">
        <v>-235587.05832133646</v>
      </c>
    </row>
    <row r="58" spans="3:26" x14ac:dyDescent="0.25">
      <c r="D58">
        <v>2019</v>
      </c>
      <c r="E58">
        <v>2020</v>
      </c>
      <c r="F58">
        <v>2021</v>
      </c>
      <c r="G58">
        <v>2022</v>
      </c>
      <c r="H58">
        <v>2023</v>
      </c>
      <c r="I58">
        <v>2024</v>
      </c>
      <c r="J58">
        <v>2025</v>
      </c>
      <c r="K58">
        <v>2026</v>
      </c>
      <c r="L58">
        <v>2027</v>
      </c>
      <c r="M58">
        <v>2028</v>
      </c>
      <c r="N58">
        <v>2029</v>
      </c>
      <c r="O58">
        <v>2030</v>
      </c>
      <c r="P58">
        <v>2031</v>
      </c>
      <c r="Q58">
        <v>2032</v>
      </c>
      <c r="R58">
        <v>2033</v>
      </c>
      <c r="S58">
        <v>2034</v>
      </c>
      <c r="T58">
        <v>2035</v>
      </c>
      <c r="U58">
        <v>2036</v>
      </c>
      <c r="V58">
        <v>2037</v>
      </c>
      <c r="W58">
        <v>2038</v>
      </c>
      <c r="X58">
        <v>2039</v>
      </c>
      <c r="Y58">
        <v>2040</v>
      </c>
      <c r="Z58">
        <v>2041</v>
      </c>
    </row>
    <row r="59" spans="3:26" x14ac:dyDescent="0.25">
      <c r="C59" t="s">
        <v>98</v>
      </c>
      <c r="D59">
        <f>300*365</f>
        <v>109500</v>
      </c>
      <c r="E59">
        <f t="shared" ref="E59:Z59" si="8">300*365</f>
        <v>109500</v>
      </c>
      <c r="F59">
        <f t="shared" si="8"/>
        <v>109500</v>
      </c>
      <c r="G59">
        <f t="shared" si="8"/>
        <v>109500</v>
      </c>
      <c r="H59">
        <f t="shared" si="8"/>
        <v>109500</v>
      </c>
      <c r="I59">
        <f t="shared" si="8"/>
        <v>109500</v>
      </c>
      <c r="J59">
        <f t="shared" si="8"/>
        <v>109500</v>
      </c>
      <c r="K59">
        <f t="shared" si="8"/>
        <v>109500</v>
      </c>
      <c r="L59">
        <f t="shared" si="8"/>
        <v>109500</v>
      </c>
      <c r="M59">
        <f t="shared" si="8"/>
        <v>109500</v>
      </c>
      <c r="N59">
        <f t="shared" si="8"/>
        <v>109500</v>
      </c>
      <c r="O59">
        <f t="shared" si="8"/>
        <v>109500</v>
      </c>
      <c r="P59">
        <f t="shared" si="8"/>
        <v>109500</v>
      </c>
      <c r="Q59">
        <f t="shared" si="8"/>
        <v>109500</v>
      </c>
      <c r="R59">
        <f t="shared" si="8"/>
        <v>109500</v>
      </c>
      <c r="S59">
        <f t="shared" si="8"/>
        <v>109500</v>
      </c>
      <c r="T59">
        <f t="shared" si="8"/>
        <v>109500</v>
      </c>
      <c r="U59">
        <f t="shared" si="8"/>
        <v>109500</v>
      </c>
      <c r="V59">
        <f t="shared" si="8"/>
        <v>109500</v>
      </c>
      <c r="W59">
        <f t="shared" si="8"/>
        <v>109500</v>
      </c>
      <c r="X59">
        <f t="shared" si="8"/>
        <v>109500</v>
      </c>
      <c r="Y59">
        <f t="shared" si="8"/>
        <v>109500</v>
      </c>
      <c r="Z59">
        <f t="shared" si="8"/>
        <v>109500</v>
      </c>
    </row>
    <row r="60" spans="3:26" x14ac:dyDescent="0.25">
      <c r="C60" t="s">
        <v>99</v>
      </c>
      <c r="D60" s="30">
        <f>($D$11/100)*D59</f>
        <v>18177</v>
      </c>
      <c r="E60" s="30">
        <f t="shared" ref="E60:Z60" si="9">($D$11/100)*E59</f>
        <v>18177</v>
      </c>
      <c r="F60" s="30">
        <f t="shared" si="9"/>
        <v>18177</v>
      </c>
      <c r="G60" s="30">
        <f t="shared" si="9"/>
        <v>18177</v>
      </c>
      <c r="H60" s="30">
        <f t="shared" si="9"/>
        <v>18177</v>
      </c>
      <c r="I60" s="30">
        <f t="shared" si="9"/>
        <v>18177</v>
      </c>
      <c r="J60" s="30">
        <f t="shared" si="9"/>
        <v>18177</v>
      </c>
      <c r="K60" s="30">
        <f t="shared" si="9"/>
        <v>18177</v>
      </c>
      <c r="L60" s="30">
        <f t="shared" si="9"/>
        <v>18177</v>
      </c>
      <c r="M60" s="30">
        <f t="shared" si="9"/>
        <v>18177</v>
      </c>
      <c r="N60" s="30">
        <f t="shared" si="9"/>
        <v>18177</v>
      </c>
      <c r="O60" s="30">
        <f t="shared" si="9"/>
        <v>18177</v>
      </c>
      <c r="P60" s="30">
        <f t="shared" si="9"/>
        <v>18177</v>
      </c>
      <c r="Q60" s="30">
        <f t="shared" si="9"/>
        <v>18177</v>
      </c>
      <c r="R60" s="30">
        <f t="shared" si="9"/>
        <v>18177</v>
      </c>
      <c r="S60" s="30">
        <f t="shared" si="9"/>
        <v>18177</v>
      </c>
      <c r="T60" s="30">
        <f t="shared" si="9"/>
        <v>18177</v>
      </c>
      <c r="U60" s="30">
        <f t="shared" si="9"/>
        <v>18177</v>
      </c>
      <c r="V60" s="30">
        <f t="shared" si="9"/>
        <v>18177</v>
      </c>
      <c r="W60" s="30">
        <f t="shared" si="9"/>
        <v>18177</v>
      </c>
      <c r="X60" s="30">
        <f t="shared" si="9"/>
        <v>18177</v>
      </c>
      <c r="Y60" s="30">
        <f t="shared" si="9"/>
        <v>18177</v>
      </c>
      <c r="Z60" s="30">
        <f t="shared" si="9"/>
        <v>18177</v>
      </c>
    </row>
    <row r="61" spans="3:26" x14ac:dyDescent="0.25">
      <c r="C61" t="s">
        <v>101</v>
      </c>
      <c r="D61" s="1">
        <f>D60*$D$12</f>
        <v>14541.6</v>
      </c>
      <c r="E61" s="1">
        <f t="shared" ref="E61:Z61" si="10">E60*$D$12</f>
        <v>14541.6</v>
      </c>
      <c r="F61" s="1">
        <f t="shared" si="10"/>
        <v>14541.6</v>
      </c>
      <c r="G61" s="1">
        <f t="shared" si="10"/>
        <v>14541.6</v>
      </c>
      <c r="H61" s="1">
        <f t="shared" si="10"/>
        <v>14541.6</v>
      </c>
      <c r="I61" s="1">
        <f t="shared" si="10"/>
        <v>14541.6</v>
      </c>
      <c r="J61" s="1">
        <f t="shared" si="10"/>
        <v>14541.6</v>
      </c>
      <c r="K61" s="1">
        <f t="shared" si="10"/>
        <v>14541.6</v>
      </c>
      <c r="L61" s="1">
        <f t="shared" si="10"/>
        <v>14541.6</v>
      </c>
      <c r="M61" s="1">
        <f t="shared" si="10"/>
        <v>14541.6</v>
      </c>
      <c r="N61" s="1">
        <f t="shared" si="10"/>
        <v>14541.6</v>
      </c>
      <c r="O61" s="1">
        <f t="shared" si="10"/>
        <v>14541.6</v>
      </c>
      <c r="P61" s="1">
        <f t="shared" si="10"/>
        <v>14541.6</v>
      </c>
      <c r="Q61" s="1">
        <f t="shared" si="10"/>
        <v>14541.6</v>
      </c>
      <c r="R61" s="1">
        <f t="shared" si="10"/>
        <v>14541.6</v>
      </c>
      <c r="S61" s="1">
        <f t="shared" si="10"/>
        <v>14541.6</v>
      </c>
      <c r="T61" s="1">
        <f t="shared" si="10"/>
        <v>14541.6</v>
      </c>
      <c r="U61" s="1">
        <f t="shared" si="10"/>
        <v>14541.6</v>
      </c>
      <c r="V61" s="1">
        <f t="shared" si="10"/>
        <v>14541.6</v>
      </c>
      <c r="W61" s="1">
        <f t="shared" si="10"/>
        <v>14541.6</v>
      </c>
      <c r="X61" s="1">
        <f t="shared" si="10"/>
        <v>14541.6</v>
      </c>
      <c r="Y61" s="1">
        <f t="shared" si="10"/>
        <v>14541.6</v>
      </c>
      <c r="Z61" s="1">
        <f t="shared" si="10"/>
        <v>14541.6</v>
      </c>
    </row>
    <row r="62" spans="3:26" x14ac:dyDescent="0.25">
      <c r="C62" t="s">
        <v>100</v>
      </c>
      <c r="D62">
        <f>D61/(1+$D$13)^(D58-2019)</f>
        <v>14541.6</v>
      </c>
      <c r="E62">
        <f t="shared" ref="E62:Z62" si="11">E61/(1+$D$13)^(E58-2019)</f>
        <v>14118.058252427185</v>
      </c>
      <c r="F62">
        <f t="shared" si="11"/>
        <v>13706.852672259403</v>
      </c>
      <c r="G62">
        <f t="shared" si="11"/>
        <v>13307.623953649905</v>
      </c>
      <c r="H62">
        <f t="shared" si="11"/>
        <v>12920.023255970784</v>
      </c>
      <c r="I62">
        <f t="shared" si="11"/>
        <v>12543.71189900076</v>
      </c>
      <c r="J62">
        <f t="shared" si="11"/>
        <v>12178.361066991029</v>
      </c>
      <c r="K62">
        <f t="shared" si="11"/>
        <v>11823.651521350514</v>
      </c>
      <c r="L62">
        <f t="shared" si="11"/>
        <v>11479.273321699529</v>
      </c>
      <c r="M62">
        <f t="shared" si="11"/>
        <v>11144.925555048087</v>
      </c>
      <c r="N62">
        <f t="shared" si="11"/>
        <v>10820.316072862219</v>
      </c>
      <c r="O62">
        <f t="shared" si="11"/>
        <v>10505.161235788562</v>
      </c>
      <c r="P62">
        <f t="shared" si="11"/>
        <v>10199.185665814139</v>
      </c>
      <c r="Q62">
        <f t="shared" si="11"/>
        <v>9902.1220056447964</v>
      </c>
      <c r="R62">
        <f t="shared" si="11"/>
        <v>9613.7106850920336</v>
      </c>
      <c r="S62">
        <f t="shared" si="11"/>
        <v>9333.6996942641108</v>
      </c>
      <c r="T62">
        <f t="shared" si="11"/>
        <v>9061.844363363216</v>
      </c>
      <c r="U62">
        <f t="shared" si="11"/>
        <v>8797.9071488963255</v>
      </c>
      <c r="V62">
        <f t="shared" si="11"/>
        <v>8541.6574261129372</v>
      </c>
      <c r="W62">
        <f t="shared" si="11"/>
        <v>8292.8712874882895</v>
      </c>
      <c r="X62">
        <f t="shared" si="11"/>
        <v>8051.3313470760086</v>
      </c>
      <c r="Y62">
        <f t="shared" si="11"/>
        <v>7816.8265505592326</v>
      </c>
      <c r="Z62">
        <f t="shared" si="11"/>
        <v>7589.1519908342061</v>
      </c>
    </row>
    <row r="63" spans="3:26" x14ac:dyDescent="0.25">
      <c r="C63" t="s">
        <v>102</v>
      </c>
      <c r="D63">
        <f>SUM(D62:H62)</f>
        <v>68594.158134307276</v>
      </c>
      <c r="E63">
        <f t="shared" ref="E63:O63" si="12">SUM(E62:I62)</f>
        <v>66596.270033308028</v>
      </c>
      <c r="F63">
        <f t="shared" si="12"/>
        <v>64656.572847871881</v>
      </c>
      <c r="G63">
        <f t="shared" si="12"/>
        <v>62773.37169696299</v>
      </c>
      <c r="H63">
        <f t="shared" si="12"/>
        <v>60945.02106501261</v>
      </c>
      <c r="I63">
        <f t="shared" si="12"/>
        <v>59169.923364089918</v>
      </c>
      <c r="J63">
        <f t="shared" si="12"/>
        <v>57446.527537951377</v>
      </c>
      <c r="K63">
        <f t="shared" si="12"/>
        <v>55773.327706748911</v>
      </c>
      <c r="L63">
        <f t="shared" si="12"/>
        <v>54148.861851212532</v>
      </c>
      <c r="M63">
        <f t="shared" si="12"/>
        <v>52571.710535157807</v>
      </c>
      <c r="N63">
        <f t="shared" si="12"/>
        <v>51040.49566520175</v>
      </c>
      <c r="O63">
        <f t="shared" si="12"/>
        <v>49553.879286603646</v>
      </c>
    </row>
    <row r="65" spans="3:26" x14ac:dyDescent="0.25">
      <c r="C65" t="s">
        <v>103</v>
      </c>
      <c r="D65">
        <f>27*300+27*100</f>
        <v>10800</v>
      </c>
    </row>
    <row r="69" spans="3:26" x14ac:dyDescent="0.25">
      <c r="C69" t="s">
        <v>104</v>
      </c>
      <c r="D69">
        <v>4300</v>
      </c>
      <c r="E69">
        <v>4300</v>
      </c>
      <c r="F69">
        <v>4300</v>
      </c>
      <c r="G69">
        <v>4300</v>
      </c>
      <c r="H69">
        <v>4300</v>
      </c>
      <c r="I69">
        <v>4300</v>
      </c>
      <c r="J69">
        <v>4300</v>
      </c>
      <c r="K69">
        <v>4300</v>
      </c>
      <c r="L69">
        <v>4300</v>
      </c>
      <c r="M69">
        <v>4300</v>
      </c>
      <c r="N69">
        <v>4300</v>
      </c>
      <c r="O69">
        <v>4300</v>
      </c>
      <c r="P69">
        <v>4300</v>
      </c>
      <c r="Q69">
        <v>4300</v>
      </c>
      <c r="R69">
        <v>4300</v>
      </c>
      <c r="S69">
        <v>4300</v>
      </c>
      <c r="T69">
        <v>4300</v>
      </c>
      <c r="U69">
        <v>4300</v>
      </c>
      <c r="V69">
        <v>4300</v>
      </c>
      <c r="W69">
        <v>4300</v>
      </c>
      <c r="X69">
        <v>4300</v>
      </c>
      <c r="Y69">
        <v>4300</v>
      </c>
      <c r="Z69">
        <v>4300</v>
      </c>
    </row>
    <row r="70" spans="3:26" x14ac:dyDescent="0.25">
      <c r="C70" t="s">
        <v>105</v>
      </c>
      <c r="D70">
        <f>D69/(1+0.03)^(D58-2019)</f>
        <v>4300</v>
      </c>
      <c r="E70">
        <f t="shared" ref="E70:Z70" si="13">E69/(1+0.03)^(E58-2019)</f>
        <v>4174.7572815533977</v>
      </c>
      <c r="F70">
        <f t="shared" si="13"/>
        <v>4053.162409275144</v>
      </c>
      <c r="G70">
        <f t="shared" si="13"/>
        <v>3935.1091352185863</v>
      </c>
      <c r="H70">
        <f t="shared" si="13"/>
        <v>3820.4943060374626</v>
      </c>
      <c r="I70">
        <f t="shared" si="13"/>
        <v>3709.2177728519055</v>
      </c>
      <c r="J70">
        <f t="shared" si="13"/>
        <v>3601.1823037397139</v>
      </c>
      <c r="K70">
        <f t="shared" si="13"/>
        <v>3496.2934987764211</v>
      </c>
      <c r="L70">
        <f t="shared" si="13"/>
        <v>3394.4597075499237</v>
      </c>
      <c r="M70">
        <f t="shared" si="13"/>
        <v>3295.5919490775959</v>
      </c>
      <c r="N70">
        <f t="shared" si="13"/>
        <v>3199.6038340559185</v>
      </c>
      <c r="O70">
        <f t="shared" si="13"/>
        <v>3106.4114893746778</v>
      </c>
      <c r="P70">
        <f t="shared" si="13"/>
        <v>3015.9334848297849</v>
      </c>
      <c r="Q70">
        <f t="shared" si="13"/>
        <v>2928.090761970665</v>
      </c>
      <c r="R70">
        <f t="shared" si="13"/>
        <v>2842.8065650200629</v>
      </c>
      <c r="S70">
        <f t="shared" si="13"/>
        <v>2760.0063738058861</v>
      </c>
      <c r="T70">
        <f t="shared" si="13"/>
        <v>2679.6178386464917</v>
      </c>
      <c r="U70">
        <f t="shared" si="13"/>
        <v>2601.5707171325162</v>
      </c>
      <c r="V70">
        <f t="shared" si="13"/>
        <v>2525.7968127500158</v>
      </c>
      <c r="W70">
        <f t="shared" si="13"/>
        <v>2452.2299152912774</v>
      </c>
      <c r="X70">
        <f t="shared" si="13"/>
        <v>2380.8057430012404</v>
      </c>
      <c r="Y70">
        <f t="shared" si="13"/>
        <v>2311.4618864089716</v>
      </c>
      <c r="Z70">
        <f t="shared" si="13"/>
        <v>2244.137753795118</v>
      </c>
    </row>
    <row r="71" spans="3:26" x14ac:dyDescent="0.25">
      <c r="C71" t="s">
        <v>106</v>
      </c>
      <c r="D71" s="145">
        <f>SUM(D70:H70)</f>
        <v>20283.523132084592</v>
      </c>
      <c r="E71" s="145">
        <f t="shared" ref="E71:O71" si="14">SUM(E70:I70)</f>
        <v>19692.740904936494</v>
      </c>
      <c r="F71" s="145">
        <f t="shared" si="14"/>
        <v>19119.165927122813</v>
      </c>
      <c r="G71" s="145">
        <f t="shared" si="14"/>
        <v>18562.297016624088</v>
      </c>
      <c r="H71" s="145">
        <f t="shared" si="14"/>
        <v>18021.647588955424</v>
      </c>
      <c r="I71" s="145">
        <f t="shared" si="14"/>
        <v>17496.745231995563</v>
      </c>
      <c r="J71" s="145">
        <f t="shared" si="14"/>
        <v>16987.131293199574</v>
      </c>
      <c r="K71" s="145">
        <f t="shared" si="14"/>
        <v>16492.360478834536</v>
      </c>
      <c r="L71" s="145">
        <f t="shared" si="14"/>
        <v>16012.0004648879</v>
      </c>
      <c r="M71" s="145">
        <f t="shared" si="14"/>
        <v>15545.631519308643</v>
      </c>
      <c r="N71" s="145">
        <f t="shared" si="14"/>
        <v>15092.846135251109</v>
      </c>
      <c r="O71" s="145">
        <f t="shared" si="14"/>
        <v>14653.248675001076</v>
      </c>
    </row>
    <row r="74" spans="3:26" x14ac:dyDescent="0.25">
      <c r="C74" t="s">
        <v>98</v>
      </c>
      <c r="D74">
        <f>D59</f>
        <v>109500</v>
      </c>
      <c r="E74">
        <f t="shared" ref="E74:Z74" si="15">E59</f>
        <v>109500</v>
      </c>
      <c r="F74">
        <f t="shared" si="15"/>
        <v>109500</v>
      </c>
      <c r="G74">
        <f t="shared" si="15"/>
        <v>109500</v>
      </c>
      <c r="H74">
        <f t="shared" si="15"/>
        <v>109500</v>
      </c>
      <c r="I74">
        <f t="shared" si="15"/>
        <v>109500</v>
      </c>
      <c r="J74">
        <f t="shared" si="15"/>
        <v>109500</v>
      </c>
      <c r="K74">
        <f t="shared" si="15"/>
        <v>109500</v>
      </c>
      <c r="L74">
        <f t="shared" si="15"/>
        <v>109500</v>
      </c>
      <c r="M74">
        <f t="shared" si="15"/>
        <v>109500</v>
      </c>
      <c r="N74">
        <f t="shared" si="15"/>
        <v>109500</v>
      </c>
      <c r="O74">
        <f t="shared" si="15"/>
        <v>109500</v>
      </c>
      <c r="P74">
        <f t="shared" si="15"/>
        <v>109500</v>
      </c>
      <c r="Q74">
        <f t="shared" si="15"/>
        <v>109500</v>
      </c>
      <c r="R74">
        <f t="shared" si="15"/>
        <v>109500</v>
      </c>
      <c r="S74">
        <f t="shared" si="15"/>
        <v>109500</v>
      </c>
      <c r="T74">
        <f t="shared" si="15"/>
        <v>109500</v>
      </c>
      <c r="U74">
        <f t="shared" si="15"/>
        <v>109500</v>
      </c>
      <c r="V74">
        <f t="shared" si="15"/>
        <v>109500</v>
      </c>
      <c r="W74">
        <f t="shared" si="15"/>
        <v>109500</v>
      </c>
      <c r="X74">
        <f t="shared" si="15"/>
        <v>109500</v>
      </c>
      <c r="Y74">
        <f t="shared" si="15"/>
        <v>109500</v>
      </c>
      <c r="Z74">
        <f t="shared" si="15"/>
        <v>109500</v>
      </c>
    </row>
    <row r="75" spans="3:26" x14ac:dyDescent="0.25">
      <c r="C75" t="s">
        <v>107</v>
      </c>
      <c r="D75" s="30">
        <f>($D$27/100)*D74</f>
        <v>7665.0000000000009</v>
      </c>
      <c r="E75" s="30">
        <f t="shared" ref="E75:Z75" si="16">($D$27/100)*E74</f>
        <v>7665.0000000000009</v>
      </c>
      <c r="F75" s="30">
        <f t="shared" si="16"/>
        <v>7665.0000000000009</v>
      </c>
      <c r="G75" s="30">
        <f t="shared" si="16"/>
        <v>7665.0000000000009</v>
      </c>
      <c r="H75" s="30">
        <f t="shared" si="16"/>
        <v>7665.0000000000009</v>
      </c>
      <c r="I75" s="30">
        <f t="shared" si="16"/>
        <v>7665.0000000000009</v>
      </c>
      <c r="J75" s="30">
        <f t="shared" si="16"/>
        <v>7665.0000000000009</v>
      </c>
      <c r="K75" s="30">
        <f t="shared" si="16"/>
        <v>7665.0000000000009</v>
      </c>
      <c r="L75" s="30">
        <f t="shared" si="16"/>
        <v>7665.0000000000009</v>
      </c>
      <c r="M75" s="30">
        <f t="shared" si="16"/>
        <v>7665.0000000000009</v>
      </c>
      <c r="N75" s="30">
        <f t="shared" si="16"/>
        <v>7665.0000000000009</v>
      </c>
      <c r="O75" s="30">
        <f t="shared" si="16"/>
        <v>7665.0000000000009</v>
      </c>
      <c r="P75" s="30">
        <f t="shared" si="16"/>
        <v>7665.0000000000009</v>
      </c>
      <c r="Q75" s="30">
        <f t="shared" si="16"/>
        <v>7665.0000000000009</v>
      </c>
      <c r="R75" s="30">
        <f t="shared" si="16"/>
        <v>7665.0000000000009</v>
      </c>
      <c r="S75" s="30">
        <f t="shared" si="16"/>
        <v>7665.0000000000009</v>
      </c>
      <c r="T75" s="30">
        <f t="shared" si="16"/>
        <v>7665.0000000000009</v>
      </c>
      <c r="U75" s="30">
        <f t="shared" si="16"/>
        <v>7665.0000000000009</v>
      </c>
      <c r="V75" s="30">
        <f t="shared" si="16"/>
        <v>7665.0000000000009</v>
      </c>
      <c r="W75" s="30">
        <f t="shared" si="16"/>
        <v>7665.0000000000009</v>
      </c>
      <c r="X75" s="30">
        <f t="shared" si="16"/>
        <v>7665.0000000000009</v>
      </c>
      <c r="Y75" s="30">
        <f t="shared" si="16"/>
        <v>7665.0000000000009</v>
      </c>
      <c r="Z75" s="30">
        <f t="shared" si="16"/>
        <v>7665.0000000000009</v>
      </c>
    </row>
    <row r="76" spans="3:26" x14ac:dyDescent="0.25">
      <c r="C76" t="s">
        <v>108</v>
      </c>
      <c r="D76">
        <f>D75*$D$28</f>
        <v>53655.000000000007</v>
      </c>
      <c r="E76">
        <f t="shared" ref="E76:Z76" si="17">E75*$D$28</f>
        <v>53655.000000000007</v>
      </c>
      <c r="F76">
        <f t="shared" si="17"/>
        <v>53655.000000000007</v>
      </c>
      <c r="G76">
        <f t="shared" si="17"/>
        <v>53655.000000000007</v>
      </c>
      <c r="H76">
        <f t="shared" si="17"/>
        <v>53655.000000000007</v>
      </c>
      <c r="I76">
        <f t="shared" si="17"/>
        <v>53655.000000000007</v>
      </c>
      <c r="J76">
        <f t="shared" si="17"/>
        <v>53655.000000000007</v>
      </c>
      <c r="K76">
        <f t="shared" si="17"/>
        <v>53655.000000000007</v>
      </c>
      <c r="L76">
        <f t="shared" si="17"/>
        <v>53655.000000000007</v>
      </c>
      <c r="M76">
        <f t="shared" si="17"/>
        <v>53655.000000000007</v>
      </c>
      <c r="N76">
        <f t="shared" si="17"/>
        <v>53655.000000000007</v>
      </c>
      <c r="O76">
        <f t="shared" si="17"/>
        <v>53655.000000000007</v>
      </c>
      <c r="P76">
        <f t="shared" si="17"/>
        <v>53655.000000000007</v>
      </c>
      <c r="Q76">
        <f t="shared" si="17"/>
        <v>53655.000000000007</v>
      </c>
      <c r="R76">
        <f t="shared" si="17"/>
        <v>53655.000000000007</v>
      </c>
      <c r="S76">
        <f t="shared" si="17"/>
        <v>53655.000000000007</v>
      </c>
      <c r="T76">
        <f t="shared" si="17"/>
        <v>53655.000000000007</v>
      </c>
      <c r="U76">
        <f t="shared" si="17"/>
        <v>53655.000000000007</v>
      </c>
      <c r="V76">
        <f t="shared" si="17"/>
        <v>53655.000000000007</v>
      </c>
      <c r="W76">
        <f t="shared" si="17"/>
        <v>53655.000000000007</v>
      </c>
      <c r="X76">
        <f t="shared" si="17"/>
        <v>53655.000000000007</v>
      </c>
      <c r="Y76">
        <f t="shared" si="17"/>
        <v>53655.000000000007</v>
      </c>
      <c r="Z76">
        <f t="shared" si="17"/>
        <v>53655.000000000007</v>
      </c>
    </row>
    <row r="77" spans="3:26" x14ac:dyDescent="0.25">
      <c r="C77" t="s">
        <v>109</v>
      </c>
      <c r="D77">
        <f>D76/(1+$D$29)^(D58-2019)</f>
        <v>53655.000000000007</v>
      </c>
      <c r="E77">
        <f t="shared" ref="E77:Z77" si="18">E76/(1+$D$29)^(E58-2019)</f>
        <v>52092.233009708747</v>
      </c>
      <c r="F77">
        <f t="shared" si="18"/>
        <v>50574.983504571603</v>
      </c>
      <c r="G77">
        <f t="shared" si="18"/>
        <v>49101.925732593787</v>
      </c>
      <c r="H77">
        <f t="shared" si="18"/>
        <v>47671.772555916301</v>
      </c>
      <c r="I77">
        <f t="shared" si="18"/>
        <v>46283.274326132334</v>
      </c>
      <c r="J77">
        <f t="shared" si="18"/>
        <v>44935.217792361487</v>
      </c>
      <c r="K77">
        <f t="shared" si="18"/>
        <v>43626.425041127652</v>
      </c>
      <c r="L77">
        <f t="shared" si="18"/>
        <v>42355.752467114231</v>
      </c>
      <c r="M77">
        <f t="shared" si="18"/>
        <v>41122.089773897307</v>
      </c>
      <c r="N77">
        <f t="shared" si="18"/>
        <v>39924.359003783793</v>
      </c>
      <c r="O77">
        <f t="shared" si="18"/>
        <v>38761.513595906596</v>
      </c>
      <c r="P77">
        <f t="shared" si="18"/>
        <v>37632.537471753982</v>
      </c>
      <c r="Q77">
        <f t="shared" si="18"/>
        <v>36536.444147333968</v>
      </c>
      <c r="R77">
        <f t="shared" si="18"/>
        <v>35472.27587119802</v>
      </c>
      <c r="S77">
        <f t="shared" si="18"/>
        <v>34439.10278757089</v>
      </c>
      <c r="T77">
        <f t="shared" si="18"/>
        <v>33436.02212385524</v>
      </c>
      <c r="U77">
        <f t="shared" si="18"/>
        <v>32462.157401801203</v>
      </c>
      <c r="V77">
        <f t="shared" si="18"/>
        <v>31516.657671651654</v>
      </c>
      <c r="W77">
        <f t="shared" si="18"/>
        <v>30598.69676859384</v>
      </c>
      <c r="X77">
        <f t="shared" si="18"/>
        <v>29707.472590867808</v>
      </c>
      <c r="Y77">
        <f t="shared" si="18"/>
        <v>28842.206398900787</v>
      </c>
      <c r="Z77">
        <f t="shared" si="18"/>
        <v>28002.14213485513</v>
      </c>
    </row>
    <row r="78" spans="3:26" x14ac:dyDescent="0.25">
      <c r="C78" t="s">
        <v>110</v>
      </c>
      <c r="D78" s="1">
        <f>SUM(D77:H77)</f>
        <v>253095.91480279044</v>
      </c>
      <c r="E78" s="1">
        <f t="shared" ref="E78:O78" si="19">SUM(E77:I77)</f>
        <v>245724.18912892276</v>
      </c>
      <c r="F78" s="1">
        <f t="shared" si="19"/>
        <v>238567.17391157549</v>
      </c>
      <c r="G78" s="1">
        <f t="shared" si="19"/>
        <v>231618.61544813155</v>
      </c>
      <c r="H78" s="1">
        <f t="shared" si="19"/>
        <v>224872.44218265201</v>
      </c>
      <c r="I78" s="1">
        <f t="shared" si="19"/>
        <v>218322.75940063305</v>
      </c>
      <c r="J78" s="1">
        <f t="shared" si="19"/>
        <v>211963.84407828446</v>
      </c>
      <c r="K78" s="1">
        <f t="shared" si="19"/>
        <v>205790.13988182956</v>
      </c>
      <c r="L78" s="1">
        <f t="shared" si="19"/>
        <v>199796.25231245588</v>
      </c>
      <c r="M78" s="1">
        <f t="shared" si="19"/>
        <v>193976.94399267563</v>
      </c>
      <c r="N78" s="1">
        <f t="shared" si="19"/>
        <v>188327.13008997636</v>
      </c>
      <c r="O78" s="1">
        <f t="shared" si="19"/>
        <v>182841.87387376346</v>
      </c>
    </row>
    <row r="81" spans="4:26" x14ac:dyDescent="0.25">
      <c r="D81">
        <v>4000</v>
      </c>
      <c r="E81">
        <v>4000</v>
      </c>
      <c r="F81">
        <v>4000</v>
      </c>
      <c r="G81">
        <v>4000</v>
      </c>
      <c r="H81">
        <v>4000</v>
      </c>
      <c r="I81">
        <v>4000</v>
      </c>
      <c r="J81">
        <v>4000</v>
      </c>
      <c r="K81">
        <v>4000</v>
      </c>
      <c r="L81">
        <v>4000</v>
      </c>
      <c r="M81">
        <v>4000</v>
      </c>
      <c r="N81">
        <v>4000</v>
      </c>
      <c r="O81">
        <v>4000</v>
      </c>
      <c r="P81">
        <v>4000</v>
      </c>
      <c r="Q81">
        <v>4000</v>
      </c>
      <c r="R81">
        <v>4000</v>
      </c>
      <c r="S81">
        <v>4000</v>
      </c>
      <c r="T81">
        <v>4000</v>
      </c>
      <c r="U81">
        <v>4000</v>
      </c>
      <c r="V81">
        <v>4000</v>
      </c>
      <c r="W81">
        <v>4000</v>
      </c>
      <c r="X81">
        <v>4000</v>
      </c>
      <c r="Y81">
        <v>4000</v>
      </c>
      <c r="Z81">
        <v>4000</v>
      </c>
    </row>
    <row r="82" spans="4:26" x14ac:dyDescent="0.25">
      <c r="D82">
        <f>D81/(1+0.03)^(D58-2019)</f>
        <v>4000</v>
      </c>
      <c r="E82">
        <f t="shared" ref="E82:O82" si="20">E81/(1+0.03)^(E58-2019)</f>
        <v>3883.4951456310678</v>
      </c>
      <c r="F82">
        <f t="shared" si="20"/>
        <v>3770.3836365350176</v>
      </c>
      <c r="G82">
        <f t="shared" si="20"/>
        <v>3660.5666374126381</v>
      </c>
      <c r="H82">
        <f t="shared" si="20"/>
        <v>3553.948191662756</v>
      </c>
      <c r="I82">
        <f t="shared" si="20"/>
        <v>3450.4351375366564</v>
      </c>
      <c r="J82">
        <f t="shared" si="20"/>
        <v>3349.9370267346176</v>
      </c>
      <c r="K82">
        <f t="shared" si="20"/>
        <v>3252.3660453734151</v>
      </c>
      <c r="L82">
        <f t="shared" si="20"/>
        <v>3157.6369372557433</v>
      </c>
      <c r="M82">
        <f t="shared" si="20"/>
        <v>3065.6669293745076</v>
      </c>
      <c r="N82">
        <f t="shared" si="20"/>
        <v>2976.3756595869008</v>
      </c>
      <c r="O82">
        <f t="shared" si="20"/>
        <v>2889.6851063950494</v>
      </c>
      <c r="P82">
        <f t="shared" ref="P82:Z82" si="21">P81/(1+0.03)^(P58-2019)</f>
        <v>2805.519520771893</v>
      </c>
      <c r="Q82">
        <f t="shared" si="21"/>
        <v>2723.8053599727118</v>
      </c>
      <c r="R82">
        <f t="shared" si="21"/>
        <v>2644.4712232744769</v>
      </c>
      <c r="S82">
        <f t="shared" si="21"/>
        <v>2567.4477895868708</v>
      </c>
      <c r="T82">
        <f t="shared" si="21"/>
        <v>2492.6677568804575</v>
      </c>
      <c r="U82">
        <f t="shared" si="21"/>
        <v>2420.0657833790851</v>
      </c>
      <c r="V82">
        <f t="shared" si="21"/>
        <v>2349.5784304651311</v>
      </c>
      <c r="W82">
        <f t="shared" si="21"/>
        <v>2281.1441072477</v>
      </c>
      <c r="X82">
        <f t="shared" si="21"/>
        <v>2214.7030167453399</v>
      </c>
      <c r="Y82">
        <f t="shared" si="21"/>
        <v>2150.1971036362525</v>
      </c>
      <c r="Z82">
        <f t="shared" si="21"/>
        <v>2087.5700035303421</v>
      </c>
    </row>
    <row r="83" spans="4:26" x14ac:dyDescent="0.25">
      <c r="D83">
        <f>SUM(D82:H82)</f>
        <v>18868.393611241481</v>
      </c>
      <c r="E83">
        <f t="shared" ref="E83:O83" si="22">SUM(E82:I82)</f>
        <v>18318.828748778134</v>
      </c>
      <c r="F83">
        <f t="shared" si="22"/>
        <v>17785.270629881685</v>
      </c>
      <c r="G83">
        <f t="shared" si="22"/>
        <v>17267.253038720082</v>
      </c>
      <c r="H83">
        <f t="shared" si="22"/>
        <v>16764.323338563187</v>
      </c>
      <c r="I83">
        <f t="shared" si="22"/>
        <v>16276.04207627494</v>
      </c>
      <c r="J83">
        <f t="shared" si="22"/>
        <v>15801.982598325183</v>
      </c>
      <c r="K83">
        <f t="shared" si="22"/>
        <v>15341.730677985615</v>
      </c>
      <c r="L83">
        <f t="shared" si="22"/>
        <v>14894.884153384093</v>
      </c>
      <c r="M83">
        <f t="shared" si="22"/>
        <v>14461.052576101063</v>
      </c>
      <c r="N83">
        <f t="shared" si="22"/>
        <v>14039.856870001033</v>
      </c>
      <c r="O83">
        <f t="shared" si="22"/>
        <v>13630.929000001002</v>
      </c>
    </row>
  </sheetData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I18" sqref="I18"/>
    </sheetView>
  </sheetViews>
  <sheetFormatPr defaultRowHeight="14.4" x14ac:dyDescent="0.25"/>
  <cols>
    <col min="3" max="3" width="13.88671875" bestFit="1" customWidth="1"/>
    <col min="5" max="5" width="12.77734375" bestFit="1" customWidth="1"/>
    <col min="6" max="6" width="20.44140625" bestFit="1" customWidth="1"/>
    <col min="7" max="7" width="12.77734375" bestFit="1" customWidth="1"/>
    <col min="11" max="11" width="9.5546875" bestFit="1" customWidth="1"/>
  </cols>
  <sheetData>
    <row r="1" spans="1:11" x14ac:dyDescent="0.25">
      <c r="A1" t="s">
        <v>133</v>
      </c>
      <c r="D1" t="s">
        <v>134</v>
      </c>
    </row>
    <row r="2" spans="1:11" x14ac:dyDescent="0.25"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135</v>
      </c>
    </row>
    <row r="3" spans="1:11" x14ac:dyDescent="0.25">
      <c r="A3">
        <v>2011</v>
      </c>
      <c r="B3">
        <v>3105</v>
      </c>
      <c r="C3">
        <v>18</v>
      </c>
      <c r="G3" s="1">
        <f>SUM(B3:F3)</f>
        <v>3123</v>
      </c>
      <c r="H3">
        <f>138345*I3</f>
        <v>1826.154</v>
      </c>
      <c r="I3" s="2">
        <v>1.32E-2</v>
      </c>
      <c r="K3" s="31">
        <f>H3/G3</f>
        <v>0.58474351585014406</v>
      </c>
    </row>
    <row r="4" spans="1:11" x14ac:dyDescent="0.25">
      <c r="A4">
        <v>2012</v>
      </c>
      <c r="B4">
        <v>3688</v>
      </c>
      <c r="C4">
        <v>58</v>
      </c>
      <c r="G4" s="1">
        <f t="shared" ref="G4:G10" si="0">SUM(B4:F4)</f>
        <v>3746</v>
      </c>
      <c r="H4">
        <f>137967*I4</f>
        <v>4139.01</v>
      </c>
      <c r="I4" s="34">
        <v>0.03</v>
      </c>
      <c r="K4" s="31">
        <f t="shared" ref="K4:K11" si="1">H4/G4</f>
        <v>1.1049145755472505</v>
      </c>
    </row>
    <row r="5" spans="1:11" x14ac:dyDescent="0.25">
      <c r="A5">
        <v>2013</v>
      </c>
      <c r="B5">
        <v>4511</v>
      </c>
      <c r="C5">
        <v>83</v>
      </c>
      <c r="D5">
        <v>4</v>
      </c>
      <c r="F5">
        <v>44</v>
      </c>
      <c r="G5" s="1">
        <f t="shared" si="0"/>
        <v>4642</v>
      </c>
      <c r="H5">
        <f>142151*I5</f>
        <v>8059.9616999999998</v>
      </c>
      <c r="I5" s="2">
        <v>5.67E-2</v>
      </c>
      <c r="K5" s="31">
        <f t="shared" si="1"/>
        <v>1.7363123007324428</v>
      </c>
    </row>
    <row r="6" spans="1:11" x14ac:dyDescent="0.25">
      <c r="A6">
        <v>2014</v>
      </c>
      <c r="B6">
        <v>5471</v>
      </c>
      <c r="C6">
        <v>108</v>
      </c>
      <c r="D6">
        <v>49</v>
      </c>
      <c r="F6">
        <v>92</v>
      </c>
      <c r="G6" s="1">
        <f t="shared" si="0"/>
        <v>5720</v>
      </c>
      <c r="H6">
        <f>144202*I6</f>
        <v>17607.064200000001</v>
      </c>
      <c r="I6" s="2">
        <v>0.1221</v>
      </c>
      <c r="K6" s="31">
        <f t="shared" si="1"/>
        <v>3.078158076923077</v>
      </c>
    </row>
    <row r="7" spans="1:11" x14ac:dyDescent="0.25">
      <c r="A7">
        <v>2015</v>
      </c>
      <c r="B7">
        <v>6253</v>
      </c>
      <c r="C7">
        <v>284</v>
      </c>
      <c r="D7">
        <v>224</v>
      </c>
      <c r="E7">
        <v>104</v>
      </c>
      <c r="F7">
        <v>190</v>
      </c>
      <c r="G7" s="1">
        <f t="shared" si="0"/>
        <v>7055</v>
      </c>
      <c r="H7">
        <f>150686*I7</f>
        <v>24275.514599999999</v>
      </c>
      <c r="I7" s="2">
        <v>0.16109999999999999</v>
      </c>
      <c r="K7" s="31">
        <f t="shared" si="1"/>
        <v>3.4408950531537914</v>
      </c>
    </row>
    <row r="8" spans="1:11" x14ac:dyDescent="0.25">
      <c r="A8">
        <v>2016</v>
      </c>
      <c r="B8">
        <v>6413</v>
      </c>
      <c r="C8">
        <v>516</v>
      </c>
      <c r="D8">
        <v>477</v>
      </c>
      <c r="E8">
        <v>65</v>
      </c>
      <c r="F8">
        <v>228</v>
      </c>
      <c r="G8" s="1">
        <f t="shared" si="0"/>
        <v>7699</v>
      </c>
      <c r="H8">
        <f>154603*I8</f>
        <v>22216.451099999998</v>
      </c>
      <c r="I8" s="2">
        <v>0.14369999999999999</v>
      </c>
      <c r="K8" s="31">
        <f t="shared" si="1"/>
        <v>2.8856281465125337</v>
      </c>
    </row>
    <row r="9" spans="1:11" x14ac:dyDescent="0.25">
      <c r="A9">
        <v>2017</v>
      </c>
      <c r="B9">
        <v>7141</v>
      </c>
      <c r="C9">
        <v>843</v>
      </c>
      <c r="D9">
        <v>796</v>
      </c>
      <c r="E9">
        <v>48</v>
      </c>
      <c r="F9">
        <v>338</v>
      </c>
      <c r="G9" s="1">
        <f t="shared" si="0"/>
        <v>9166</v>
      </c>
      <c r="H9">
        <f>158650*I9</f>
        <v>31190.59</v>
      </c>
      <c r="I9" s="2">
        <v>0.1966</v>
      </c>
      <c r="K9" s="31">
        <f t="shared" si="1"/>
        <v>3.4028572987126338</v>
      </c>
    </row>
    <row r="10" spans="1:11" x14ac:dyDescent="0.25">
      <c r="A10">
        <v>2018</v>
      </c>
      <c r="B10">
        <v>7910</v>
      </c>
      <c r="C10">
        <v>1103</v>
      </c>
      <c r="D10">
        <v>1087</v>
      </c>
      <c r="E10">
        <v>49</v>
      </c>
      <c r="F10">
        <v>562</v>
      </c>
      <c r="G10" s="1">
        <f t="shared" si="0"/>
        <v>10711</v>
      </c>
      <c r="H10">
        <f>147929*I10</f>
        <v>43594.676299999999</v>
      </c>
      <c r="I10" s="2">
        <v>0.29470000000000002</v>
      </c>
      <c r="K10" s="31">
        <f t="shared" si="1"/>
        <v>4.0700846139482776</v>
      </c>
    </row>
    <row r="11" spans="1:11" x14ac:dyDescent="0.25">
      <c r="A11">
        <v>2019</v>
      </c>
      <c r="G11">
        <v>11889</v>
      </c>
      <c r="H11">
        <v>59800</v>
      </c>
      <c r="I11">
        <f>H11/H12</f>
        <v>0.41999985953181956</v>
      </c>
      <c r="K11" s="31">
        <f t="shared" si="1"/>
        <v>5.0298595340230463</v>
      </c>
    </row>
    <row r="12" spans="1:11" x14ac:dyDescent="0.25">
      <c r="H12">
        <v>142381</v>
      </c>
    </row>
    <row r="16" spans="1:11" x14ac:dyDescent="0.25">
      <c r="I16" t="s">
        <v>427</v>
      </c>
    </row>
    <row r="17" spans="9:9" x14ac:dyDescent="0.25">
      <c r="I17" t="s">
        <v>428</v>
      </c>
    </row>
  </sheetData>
  <phoneticPr fontId="2" type="noConversion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workbookViewId="0">
      <selection activeCell="I4" sqref="I4:I10"/>
    </sheetView>
  </sheetViews>
  <sheetFormatPr defaultRowHeight="14.4" x14ac:dyDescent="0.25"/>
  <cols>
    <col min="3" max="3" width="17.21875" bestFit="1" customWidth="1"/>
    <col min="4" max="4" width="21.5546875" bestFit="1" customWidth="1"/>
    <col min="6" max="6" width="10.5546875" bestFit="1" customWidth="1"/>
  </cols>
  <sheetData>
    <row r="2" spans="2:9" x14ac:dyDescent="0.25">
      <c r="C2" t="s">
        <v>136</v>
      </c>
      <c r="D2" t="s">
        <v>137</v>
      </c>
      <c r="E2" t="s">
        <v>112</v>
      </c>
      <c r="F2" t="s">
        <v>138</v>
      </c>
      <c r="G2" t="s">
        <v>141</v>
      </c>
    </row>
    <row r="3" spans="2:9" x14ac:dyDescent="0.25">
      <c r="B3">
        <v>2011</v>
      </c>
      <c r="G3" s="44">
        <v>1.2999999999999999E-5</v>
      </c>
    </row>
    <row r="4" spans="2:9" x14ac:dyDescent="0.25">
      <c r="B4">
        <v>2012</v>
      </c>
      <c r="C4">
        <v>500</v>
      </c>
      <c r="D4">
        <v>5</v>
      </c>
      <c r="E4">
        <f>SUM(C4:D4)</f>
        <v>505</v>
      </c>
      <c r="F4">
        <v>247</v>
      </c>
      <c r="G4" s="44">
        <v>8.8000000000000003E-4</v>
      </c>
      <c r="I4">
        <f>F4/E4</f>
        <v>0.4891089108910891</v>
      </c>
    </row>
    <row r="5" spans="2:9" x14ac:dyDescent="0.25">
      <c r="B5">
        <v>2013</v>
      </c>
      <c r="C5">
        <v>1000</v>
      </c>
      <c r="D5">
        <v>20</v>
      </c>
      <c r="E5">
        <f t="shared" ref="E5:E10" si="0">SUM(C5:D5)</f>
        <v>1020</v>
      </c>
      <c r="F5">
        <v>432</v>
      </c>
      <c r="G5">
        <v>1.6000000000000001E-3</v>
      </c>
      <c r="I5">
        <f t="shared" ref="I5:I10" si="1">F5/E5</f>
        <v>0.42352941176470588</v>
      </c>
    </row>
    <row r="6" spans="2:9" x14ac:dyDescent="0.25">
      <c r="B6">
        <v>2014</v>
      </c>
      <c r="C6">
        <v>1000</v>
      </c>
      <c r="D6">
        <v>70</v>
      </c>
      <c r="E6">
        <f t="shared" si="0"/>
        <v>1070</v>
      </c>
      <c r="F6">
        <v>1239</v>
      </c>
      <c r="G6">
        <v>4.1000000000000003E-3</v>
      </c>
      <c r="I6">
        <f t="shared" si="1"/>
        <v>1.1579439252336448</v>
      </c>
    </row>
    <row r="7" spans="2:9" x14ac:dyDescent="0.25">
      <c r="B7">
        <v>2015</v>
      </c>
      <c r="C7">
        <v>1600</v>
      </c>
      <c r="D7">
        <v>224</v>
      </c>
      <c r="E7">
        <f t="shared" si="0"/>
        <v>1824</v>
      </c>
      <c r="F7">
        <v>2962</v>
      </c>
      <c r="G7">
        <v>8.5800000000000008E-3</v>
      </c>
      <c r="I7">
        <f t="shared" si="1"/>
        <v>1.6239035087719298</v>
      </c>
    </row>
    <row r="8" spans="2:9" x14ac:dyDescent="0.25">
      <c r="B8">
        <v>2016</v>
      </c>
      <c r="C8">
        <v>2363</v>
      </c>
      <c r="D8">
        <v>561</v>
      </c>
      <c r="E8">
        <f t="shared" si="0"/>
        <v>2924</v>
      </c>
      <c r="F8">
        <v>2945</v>
      </c>
      <c r="G8">
        <v>7.9100000000000004E-3</v>
      </c>
      <c r="I8">
        <f t="shared" si="1"/>
        <v>1.0071819425444597</v>
      </c>
    </row>
    <row r="9" spans="2:9" x14ac:dyDescent="0.25">
      <c r="B9">
        <v>2017</v>
      </c>
      <c r="C9">
        <v>2576</v>
      </c>
      <c r="D9">
        <v>1743</v>
      </c>
      <c r="E9">
        <f t="shared" si="0"/>
        <v>4319</v>
      </c>
      <c r="F9">
        <v>4217</v>
      </c>
      <c r="G9">
        <v>1.0999999999999999E-2</v>
      </c>
      <c r="I9">
        <f t="shared" si="1"/>
        <v>0.97638342208844642</v>
      </c>
    </row>
    <row r="10" spans="2:9" x14ac:dyDescent="0.25">
      <c r="B10">
        <v>2018</v>
      </c>
      <c r="C10">
        <v>3237</v>
      </c>
      <c r="D10">
        <v>2281</v>
      </c>
      <c r="E10">
        <f t="shared" si="0"/>
        <v>5518</v>
      </c>
      <c r="F10">
        <v>7078</v>
      </c>
      <c r="G10">
        <v>0.02</v>
      </c>
      <c r="I10">
        <f t="shared" si="1"/>
        <v>1.2827111272200074</v>
      </c>
    </row>
    <row r="11" spans="2:9" x14ac:dyDescent="0.25">
      <c r="B11">
        <v>2019</v>
      </c>
    </row>
  </sheetData>
  <phoneticPr fontId="2" type="noConversion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workbookViewId="0">
      <selection activeCell="G2" sqref="G2"/>
    </sheetView>
  </sheetViews>
  <sheetFormatPr defaultRowHeight="14.4" x14ac:dyDescent="0.25"/>
  <cols>
    <col min="5" max="5" width="13.88671875" bestFit="1" customWidth="1"/>
  </cols>
  <sheetData>
    <row r="1" spans="2:7" x14ac:dyDescent="0.25">
      <c r="C1" t="s">
        <v>139</v>
      </c>
      <c r="D1" t="s">
        <v>135</v>
      </c>
      <c r="E1" t="s">
        <v>140</v>
      </c>
    </row>
    <row r="2" spans="2:7" x14ac:dyDescent="0.25">
      <c r="B2">
        <v>2011</v>
      </c>
      <c r="C2">
        <v>1826</v>
      </c>
      <c r="D2">
        <v>1124</v>
      </c>
      <c r="E2">
        <f>D2/555798</f>
        <v>2.022317460660168E-3</v>
      </c>
      <c r="G2">
        <f>D2/C2</f>
        <v>0.61555312157721798</v>
      </c>
    </row>
    <row r="3" spans="2:7" x14ac:dyDescent="0.25">
      <c r="B3">
        <v>2012</v>
      </c>
      <c r="C3">
        <v>3611</v>
      </c>
      <c r="D3">
        <v>1910</v>
      </c>
      <c r="E3">
        <f>D3/502496</f>
        <v>3.8010252817932879E-3</v>
      </c>
      <c r="G3">
        <f t="shared" ref="G3:G10" si="0">D3/C3</f>
        <v>0.52893935198006092</v>
      </c>
    </row>
    <row r="4" spans="2:7" x14ac:dyDescent="0.25">
      <c r="B4">
        <v>2013</v>
      </c>
      <c r="C4">
        <v>5750</v>
      </c>
      <c r="D4">
        <v>4161</v>
      </c>
      <c r="E4">
        <f>D4/416674</f>
        <v>9.9862242424533336E-3</v>
      </c>
      <c r="G4">
        <f t="shared" si="0"/>
        <v>0.72365217391304348</v>
      </c>
    </row>
    <row r="5" spans="2:7" x14ac:dyDescent="0.25">
      <c r="B5">
        <v>2014</v>
      </c>
      <c r="C5">
        <v>11860</v>
      </c>
      <c r="D5">
        <v>6825</v>
      </c>
      <c r="E5">
        <f>D5/387572</f>
        <v>1.7609631242711032E-2</v>
      </c>
      <c r="G5">
        <f t="shared" si="0"/>
        <v>0.57546374367622255</v>
      </c>
    </row>
    <row r="6" spans="2:7" x14ac:dyDescent="0.25">
      <c r="B6">
        <v>2015</v>
      </c>
      <c r="C6">
        <v>14152</v>
      </c>
      <c r="D6">
        <v>9368</v>
      </c>
      <c r="E6">
        <f>D6/449350</f>
        <v>2.0847891398686993E-2</v>
      </c>
      <c r="G6">
        <f t="shared" si="0"/>
        <v>0.66195590729225551</v>
      </c>
    </row>
    <row r="7" spans="2:7" x14ac:dyDescent="0.25">
      <c r="B7">
        <v>2016</v>
      </c>
      <c r="C7">
        <v>21010</v>
      </c>
      <c r="D7">
        <v>13105</v>
      </c>
      <c r="E7">
        <f>D7/382825</f>
        <v>3.4232351596682559E-2</v>
      </c>
      <c r="G7">
        <f t="shared" si="0"/>
        <v>0.62375059495478347</v>
      </c>
    </row>
    <row r="8" spans="2:7" x14ac:dyDescent="0.25">
      <c r="B8">
        <v>2017</v>
      </c>
      <c r="C8">
        <v>28414</v>
      </c>
      <c r="D8">
        <v>21115</v>
      </c>
      <c r="E8">
        <f>D8/417075</f>
        <v>5.0626386141581249E-2</v>
      </c>
      <c r="G8">
        <f t="shared" si="0"/>
        <v>0.74311958893503205</v>
      </c>
    </row>
    <row r="9" spans="2:7" x14ac:dyDescent="0.25">
      <c r="B9">
        <v>2018</v>
      </c>
      <c r="C9">
        <v>33607</v>
      </c>
      <c r="D9">
        <v>44984</v>
      </c>
      <c r="E9">
        <f>D9/443812</f>
        <v>0.10135823276522492</v>
      </c>
      <c r="G9">
        <f t="shared" si="0"/>
        <v>1.3385306632546792</v>
      </c>
    </row>
    <row r="10" spans="2:7" x14ac:dyDescent="0.25">
      <c r="B10">
        <v>2019</v>
      </c>
      <c r="C10">
        <v>40957</v>
      </c>
      <c r="D10">
        <f>66630*0.93</f>
        <v>61965.9</v>
      </c>
      <c r="E10">
        <f>D10/446114</f>
        <v>0.13890149154700368</v>
      </c>
      <c r="G10">
        <f t="shared" si="0"/>
        <v>1.5129501672485779</v>
      </c>
    </row>
  </sheetData>
  <phoneticPr fontId="2" type="noConversion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K19" sqref="K19:K26"/>
    </sheetView>
  </sheetViews>
  <sheetFormatPr defaultRowHeight="14.4" x14ac:dyDescent="0.25"/>
  <cols>
    <col min="2" max="2" width="15" bestFit="1" customWidth="1"/>
  </cols>
  <sheetData>
    <row r="1" spans="1:7" x14ac:dyDescent="0.25">
      <c r="B1" t="s">
        <v>409</v>
      </c>
      <c r="C1" t="s">
        <v>5</v>
      </c>
      <c r="E1" t="s">
        <v>410</v>
      </c>
    </row>
    <row r="2" spans="1:7" x14ac:dyDescent="0.25">
      <c r="A2">
        <v>2010</v>
      </c>
      <c r="B2">
        <v>2916260</v>
      </c>
      <c r="C2">
        <v>541</v>
      </c>
      <c r="D2" s="21">
        <f>C2/B2</f>
        <v>1.8551157990028325E-4</v>
      </c>
      <c r="E2" s="3" t="s">
        <v>411</v>
      </c>
    </row>
    <row r="3" spans="1:7" x14ac:dyDescent="0.25">
      <c r="A3">
        <v>2011</v>
      </c>
      <c r="B3">
        <v>3173634</v>
      </c>
      <c r="C3">
        <v>2154</v>
      </c>
      <c r="D3" s="21">
        <f t="shared" ref="D3:D11" si="0">C3/B3</f>
        <v>6.7871720557569017E-4</v>
      </c>
    </row>
    <row r="4" spans="1:7" x14ac:dyDescent="0.25">
      <c r="A4">
        <v>2012</v>
      </c>
      <c r="B4">
        <v>3082504</v>
      </c>
      <c r="C4">
        <v>2956</v>
      </c>
      <c r="D4" s="21">
        <f t="shared" si="0"/>
        <v>9.5896063719625346E-4</v>
      </c>
    </row>
    <row r="5" spans="1:7" x14ac:dyDescent="0.25">
      <c r="A5">
        <v>2013</v>
      </c>
      <c r="B5">
        <v>2952431</v>
      </c>
      <c r="C5">
        <v>6051</v>
      </c>
      <c r="D5" s="21">
        <f t="shared" si="0"/>
        <v>2.0494975157759826E-3</v>
      </c>
    </row>
    <row r="6" spans="1:7" x14ac:dyDescent="0.25">
      <c r="A6">
        <v>2014</v>
      </c>
      <c r="B6">
        <v>3036773</v>
      </c>
      <c r="C6">
        <v>8522</v>
      </c>
      <c r="D6" s="21">
        <f t="shared" si="0"/>
        <v>2.8062683644776874E-3</v>
      </c>
    </row>
    <row r="7" spans="1:7" x14ac:dyDescent="0.25">
      <c r="A7">
        <v>2015</v>
      </c>
      <c r="B7">
        <v>3206042</v>
      </c>
      <c r="C7">
        <v>12363</v>
      </c>
      <c r="D7" s="21">
        <f t="shared" si="0"/>
        <v>3.8561565943303301E-3</v>
      </c>
    </row>
    <row r="8" spans="1:7" x14ac:dyDescent="0.25">
      <c r="A8">
        <v>2016</v>
      </c>
      <c r="B8">
        <v>3351607</v>
      </c>
      <c r="C8">
        <v>11410</v>
      </c>
      <c r="D8" s="21">
        <f t="shared" si="0"/>
        <v>3.4043370836735931E-3</v>
      </c>
    </row>
    <row r="9" spans="1:7" x14ac:dyDescent="0.25">
      <c r="A9">
        <v>2017</v>
      </c>
      <c r="B9">
        <v>3443845</v>
      </c>
      <c r="C9">
        <v>25056</v>
      </c>
      <c r="D9" s="21">
        <f t="shared" si="0"/>
        <v>7.2755887677871684E-3</v>
      </c>
    </row>
    <row r="10" spans="1:7" x14ac:dyDescent="0.25">
      <c r="A10">
        <v>2018</v>
      </c>
      <c r="B10">
        <v>3435778</v>
      </c>
      <c r="C10">
        <v>36062</v>
      </c>
      <c r="D10" s="21">
        <f t="shared" si="0"/>
        <v>1.049602157066027E-2</v>
      </c>
    </row>
    <row r="11" spans="1:7" x14ac:dyDescent="0.25">
      <c r="A11">
        <v>2019</v>
      </c>
      <c r="B11">
        <v>3607258</v>
      </c>
      <c r="C11">
        <v>63281</v>
      </c>
      <c r="D11" s="21">
        <f t="shared" si="0"/>
        <v>1.7542687548270736E-2</v>
      </c>
    </row>
    <row r="16" spans="1:7" x14ac:dyDescent="0.25">
      <c r="B16" t="s">
        <v>412</v>
      </c>
      <c r="C16" t="s">
        <v>413</v>
      </c>
      <c r="D16" t="s">
        <v>414</v>
      </c>
      <c r="E16" t="s">
        <v>415</v>
      </c>
      <c r="F16" t="s">
        <v>416</v>
      </c>
      <c r="G16" t="s">
        <v>417</v>
      </c>
    </row>
    <row r="17" spans="1:11" x14ac:dyDescent="0.25">
      <c r="A17">
        <v>2010</v>
      </c>
    </row>
    <row r="18" spans="1:11" x14ac:dyDescent="0.25">
      <c r="A18">
        <v>2011</v>
      </c>
    </row>
    <row r="19" spans="1:11" x14ac:dyDescent="0.25">
      <c r="A19">
        <v>2012</v>
      </c>
      <c r="B19">
        <v>1500</v>
      </c>
      <c r="C19">
        <v>18</v>
      </c>
      <c r="G19">
        <f>SUM(B19:F19)</f>
        <v>1518</v>
      </c>
      <c r="I19">
        <v>2956</v>
      </c>
      <c r="K19">
        <f>I19/G19</f>
        <v>1.9472990777338604</v>
      </c>
    </row>
    <row r="20" spans="1:11" x14ac:dyDescent="0.25">
      <c r="A20">
        <v>2013</v>
      </c>
      <c r="B20">
        <v>2400</v>
      </c>
      <c r="C20">
        <v>47</v>
      </c>
      <c r="G20">
        <f t="shared" ref="G20:G26" si="1">SUM(B20:F20)</f>
        <v>2447</v>
      </c>
      <c r="I20">
        <v>6051</v>
      </c>
      <c r="K20">
        <f t="shared" ref="K20:K26" si="2">I20/G20</f>
        <v>2.4728238659583162</v>
      </c>
    </row>
    <row r="21" spans="1:11" x14ac:dyDescent="0.25">
      <c r="A21">
        <v>2014</v>
      </c>
      <c r="B21">
        <v>2606</v>
      </c>
      <c r="C21">
        <v>77</v>
      </c>
      <c r="D21">
        <v>116</v>
      </c>
      <c r="E21">
        <v>18</v>
      </c>
      <c r="F21">
        <v>124</v>
      </c>
      <c r="G21">
        <f t="shared" si="1"/>
        <v>2941</v>
      </c>
      <c r="I21">
        <v>8522</v>
      </c>
      <c r="K21">
        <f t="shared" si="2"/>
        <v>2.8976538592315539</v>
      </c>
    </row>
    <row r="22" spans="1:11" x14ac:dyDescent="0.25">
      <c r="A22">
        <v>2015</v>
      </c>
      <c r="B22">
        <v>4587</v>
      </c>
      <c r="C22">
        <v>243</v>
      </c>
      <c r="D22">
        <v>271</v>
      </c>
      <c r="E22">
        <v>200</v>
      </c>
      <c r="F22">
        <v>270</v>
      </c>
      <c r="G22">
        <f t="shared" si="1"/>
        <v>5571</v>
      </c>
      <c r="I22">
        <v>12363</v>
      </c>
      <c r="K22">
        <f t="shared" si="2"/>
        <v>2.2191707054388798</v>
      </c>
    </row>
    <row r="23" spans="1:11" x14ac:dyDescent="0.25">
      <c r="A23">
        <v>2016</v>
      </c>
      <c r="B23">
        <v>16266</v>
      </c>
      <c r="C23">
        <v>951</v>
      </c>
      <c r="D23">
        <v>1137</v>
      </c>
      <c r="E23">
        <v>551</v>
      </c>
      <c r="F23">
        <v>388</v>
      </c>
      <c r="G23">
        <f t="shared" si="1"/>
        <v>19293</v>
      </c>
      <c r="I23">
        <v>11410</v>
      </c>
      <c r="K23">
        <f t="shared" si="2"/>
        <v>0.5914062095060385</v>
      </c>
    </row>
    <row r="24" spans="1:11" x14ac:dyDescent="0.25">
      <c r="A24">
        <v>2017</v>
      </c>
      <c r="B24">
        <v>22213</v>
      </c>
      <c r="C24">
        <v>951</v>
      </c>
      <c r="D24">
        <v>1131</v>
      </c>
      <c r="E24">
        <v>670</v>
      </c>
      <c r="F24">
        <v>408</v>
      </c>
      <c r="G24">
        <f t="shared" si="1"/>
        <v>25373</v>
      </c>
      <c r="I24">
        <v>25056</v>
      </c>
      <c r="K24">
        <f t="shared" si="2"/>
        <v>0.98750640444567062</v>
      </c>
    </row>
    <row r="25" spans="1:11" x14ac:dyDescent="0.25">
      <c r="A25">
        <v>2018</v>
      </c>
      <c r="B25">
        <v>23112</v>
      </c>
      <c r="C25">
        <v>1263</v>
      </c>
      <c r="D25">
        <v>1617</v>
      </c>
      <c r="E25">
        <v>995</v>
      </c>
      <c r="F25">
        <v>472</v>
      </c>
      <c r="G25">
        <f t="shared" si="1"/>
        <v>27459</v>
      </c>
      <c r="I25">
        <v>36062</v>
      </c>
      <c r="K25">
        <f t="shared" si="2"/>
        <v>1.3133034706289377</v>
      </c>
    </row>
    <row r="26" spans="1:11" x14ac:dyDescent="0.25">
      <c r="A26">
        <v>2019</v>
      </c>
      <c r="B26">
        <v>28382</v>
      </c>
      <c r="C26">
        <v>1935</v>
      </c>
      <c r="D26">
        <v>2559</v>
      </c>
      <c r="E26">
        <v>1217</v>
      </c>
      <c r="F26">
        <v>546</v>
      </c>
      <c r="G26">
        <f t="shared" si="1"/>
        <v>34639</v>
      </c>
      <c r="I26">
        <v>63281</v>
      </c>
      <c r="K26">
        <f t="shared" si="2"/>
        <v>1.8268714454805277</v>
      </c>
    </row>
  </sheetData>
  <phoneticPr fontId="2" type="noConversion"/>
  <hyperlinks>
    <hyperlink ref="E2" r:id="rId1"/>
  </hyperlinks>
  <pageMargins left="0.7" right="0.7" top="0.75" bottom="0.75" header="0.3" footer="0.3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7"/>
  <sheetViews>
    <sheetView topLeftCell="A13" workbookViewId="0"/>
  </sheetViews>
  <sheetFormatPr defaultRowHeight="14.4" x14ac:dyDescent="0.25"/>
  <cols>
    <col min="7" max="7" width="10" customWidth="1"/>
    <col min="8" max="8" width="9.5546875" bestFit="1" customWidth="1"/>
    <col min="12" max="12" width="22.44140625" customWidth="1"/>
  </cols>
  <sheetData>
    <row r="2" spans="2:11" x14ac:dyDescent="0.25">
      <c r="H2" t="s">
        <v>421</v>
      </c>
    </row>
    <row r="3" spans="2:11" x14ac:dyDescent="0.25">
      <c r="C3" t="s">
        <v>419</v>
      </c>
      <c r="D3" t="s">
        <v>418</v>
      </c>
      <c r="E3" t="s">
        <v>420</v>
      </c>
      <c r="F3" t="s">
        <v>417</v>
      </c>
      <c r="H3" t="s">
        <v>422</v>
      </c>
    </row>
    <row r="4" spans="2:11" x14ac:dyDescent="0.25">
      <c r="B4">
        <v>2010</v>
      </c>
      <c r="F4">
        <v>1100</v>
      </c>
    </row>
    <row r="5" spans="2:11" x14ac:dyDescent="0.25">
      <c r="B5">
        <v>2011</v>
      </c>
      <c r="F5">
        <v>6800</v>
      </c>
    </row>
    <row r="6" spans="2:11" x14ac:dyDescent="0.25">
      <c r="B6">
        <v>2012</v>
      </c>
      <c r="F6">
        <v>17700</v>
      </c>
      <c r="I6" t="s">
        <v>425</v>
      </c>
      <c r="K6" t="s">
        <v>426</v>
      </c>
    </row>
    <row r="7" spans="2:11" x14ac:dyDescent="0.25">
      <c r="B7">
        <v>2013</v>
      </c>
      <c r="F7">
        <v>22500</v>
      </c>
      <c r="G7">
        <v>14604</v>
      </c>
      <c r="I7">
        <f>G7/F7</f>
        <v>0.64906666666666668</v>
      </c>
    </row>
    <row r="8" spans="2:11" x14ac:dyDescent="0.25">
      <c r="B8">
        <v>2014</v>
      </c>
      <c r="F8">
        <v>30900</v>
      </c>
      <c r="G8">
        <v>21732</v>
      </c>
      <c r="I8">
        <f t="shared" ref="I8:I19" si="0">G8/F8</f>
        <v>0.7033009708737864</v>
      </c>
    </row>
    <row r="9" spans="2:11" x14ac:dyDescent="0.25">
      <c r="B9">
        <v>2015</v>
      </c>
      <c r="F9">
        <v>49000</v>
      </c>
      <c r="G9">
        <v>52243</v>
      </c>
      <c r="I9">
        <f t="shared" si="0"/>
        <v>1.0661836734693877</v>
      </c>
    </row>
    <row r="10" spans="2:11" x14ac:dyDescent="0.25">
      <c r="B10">
        <v>2016</v>
      </c>
      <c r="C10">
        <v>52778</v>
      </c>
      <c r="D10">
        <v>38096</v>
      </c>
      <c r="E10">
        <v>50380</v>
      </c>
      <c r="F10">
        <v>141254</v>
      </c>
      <c r="G10">
        <v>167572</v>
      </c>
      <c r="I10">
        <f t="shared" si="0"/>
        <v>1.186316847664491</v>
      </c>
      <c r="K10">
        <f>G10/D10</f>
        <v>4.3986770264594712</v>
      </c>
    </row>
    <row r="11" spans="2:11" x14ac:dyDescent="0.25">
      <c r="B11">
        <v>2017</v>
      </c>
      <c r="C11">
        <v>86469</v>
      </c>
      <c r="D11">
        <v>61375</v>
      </c>
      <c r="E11">
        <v>66059</v>
      </c>
      <c r="F11">
        <v>213903</v>
      </c>
      <c r="G11">
        <v>456097</v>
      </c>
      <c r="I11">
        <f t="shared" si="0"/>
        <v>2.1322608846065738</v>
      </c>
      <c r="K11">
        <f t="shared" ref="K11:K19" si="1">G11/D11</f>
        <v>7.4313156822810589</v>
      </c>
    </row>
    <row r="12" spans="2:11" x14ac:dyDescent="0.25">
      <c r="B12">
        <v>2018</v>
      </c>
      <c r="C12">
        <v>190000</v>
      </c>
      <c r="D12">
        <v>110000</v>
      </c>
      <c r="F12">
        <v>300000</v>
      </c>
      <c r="G12">
        <v>717414</v>
      </c>
      <c r="I12">
        <f t="shared" si="0"/>
        <v>2.3913799999999998</v>
      </c>
      <c r="K12">
        <f t="shared" si="1"/>
        <v>6.5219454545454543</v>
      </c>
    </row>
    <row r="13" spans="2:11" x14ac:dyDescent="0.25">
      <c r="B13">
        <v>2019</v>
      </c>
      <c r="C13">
        <v>289000</v>
      </c>
      <c r="D13">
        <v>206000</v>
      </c>
      <c r="F13">
        <v>496000</v>
      </c>
      <c r="G13">
        <v>730509</v>
      </c>
      <c r="I13">
        <f t="shared" si="0"/>
        <v>1.4728004032258064</v>
      </c>
      <c r="K13">
        <f t="shared" si="1"/>
        <v>3.5461601941747571</v>
      </c>
    </row>
    <row r="14" spans="2:11" x14ac:dyDescent="0.25">
      <c r="B14">
        <v>2020</v>
      </c>
      <c r="D14">
        <f>0.44*F14</f>
        <v>301840</v>
      </c>
      <c r="F14">
        <f>F13+190000</f>
        <v>686000</v>
      </c>
      <c r="G14">
        <v>1152000</v>
      </c>
      <c r="I14">
        <f t="shared" si="0"/>
        <v>1.6793002915451896</v>
      </c>
      <c r="K14">
        <f t="shared" si="1"/>
        <v>3.8165915716936123</v>
      </c>
    </row>
    <row r="15" spans="2:11" x14ac:dyDescent="0.25">
      <c r="B15">
        <v>2021</v>
      </c>
      <c r="D15">
        <f>0.46*F15</f>
        <v>444360</v>
      </c>
      <c r="F15">
        <f>F14+280000</f>
        <v>966000</v>
      </c>
      <c r="G15">
        <f>1512000</f>
        <v>1512000</v>
      </c>
      <c r="I15">
        <f t="shared" si="0"/>
        <v>1.5652173913043479</v>
      </c>
      <c r="K15">
        <f t="shared" si="1"/>
        <v>3.4026465028355388</v>
      </c>
    </row>
    <row r="16" spans="2:11" x14ac:dyDescent="0.25">
      <c r="B16">
        <v>2022</v>
      </c>
      <c r="D16">
        <f>0.48*F16</f>
        <v>660480</v>
      </c>
      <c r="F16">
        <f>F15+410000</f>
        <v>1376000</v>
      </c>
      <c r="G16">
        <v>1980000</v>
      </c>
      <c r="I16">
        <f t="shared" si="0"/>
        <v>1.4389534883720929</v>
      </c>
      <c r="K16">
        <f t="shared" si="1"/>
        <v>2.9978197674418605</v>
      </c>
    </row>
    <row r="17" spans="2:25" x14ac:dyDescent="0.25">
      <c r="B17">
        <v>2023</v>
      </c>
      <c r="D17">
        <f>0.5*F17</f>
        <v>716500</v>
      </c>
      <c r="F17">
        <f>F16+57000</f>
        <v>1433000</v>
      </c>
      <c r="G17">
        <v>2520000</v>
      </c>
      <c r="I17">
        <f t="shared" si="0"/>
        <v>1.7585484996510816</v>
      </c>
      <c r="K17">
        <f t="shared" si="1"/>
        <v>3.5170969993021632</v>
      </c>
    </row>
    <row r="18" spans="2:25" x14ac:dyDescent="0.25">
      <c r="B18">
        <v>2024</v>
      </c>
      <c r="D18">
        <f>0.52*F18</f>
        <v>1161160</v>
      </c>
      <c r="F18">
        <f>F17+800000</f>
        <v>2233000</v>
      </c>
      <c r="G18">
        <v>3240000</v>
      </c>
      <c r="I18">
        <f t="shared" si="0"/>
        <v>1.4509628302731752</v>
      </c>
      <c r="K18">
        <f t="shared" si="1"/>
        <v>2.7903131351407215</v>
      </c>
    </row>
    <row r="19" spans="2:25" x14ac:dyDescent="0.25">
      <c r="B19">
        <v>2025</v>
      </c>
      <c r="D19">
        <f>0.54*F19</f>
        <v>1853820.0000000002</v>
      </c>
      <c r="F19">
        <f>F18+1200000</f>
        <v>3433000</v>
      </c>
      <c r="G19">
        <v>4320000</v>
      </c>
      <c r="I19">
        <f t="shared" si="0"/>
        <v>1.2583745994756772</v>
      </c>
      <c r="K19">
        <f t="shared" si="1"/>
        <v>2.3303233323623651</v>
      </c>
    </row>
    <row r="25" spans="2:25" x14ac:dyDescent="0.25">
      <c r="E25">
        <v>2013</v>
      </c>
      <c r="F25">
        <v>22500</v>
      </c>
      <c r="G25">
        <v>14604</v>
      </c>
      <c r="H25">
        <f>G25</f>
        <v>14604</v>
      </c>
      <c r="I25">
        <f>H25/F25</f>
        <v>0.64906666666666668</v>
      </c>
    </row>
    <row r="26" spans="2:25" x14ac:dyDescent="0.25">
      <c r="E26">
        <v>2014</v>
      </c>
      <c r="F26">
        <v>30900</v>
      </c>
      <c r="G26">
        <v>21732</v>
      </c>
      <c r="H26">
        <f>G26+G25</f>
        <v>36336</v>
      </c>
      <c r="I26">
        <f t="shared" ref="I26:I37" si="2">H26/F26</f>
        <v>1.1759223300970874</v>
      </c>
    </row>
    <row r="27" spans="2:25" x14ac:dyDescent="0.25">
      <c r="E27">
        <v>2015</v>
      </c>
      <c r="F27">
        <v>49000</v>
      </c>
      <c r="G27">
        <v>52243</v>
      </c>
      <c r="H27">
        <f>G27+G26+G25</f>
        <v>88579</v>
      </c>
      <c r="I27">
        <f t="shared" si="2"/>
        <v>1.8077346938775509</v>
      </c>
    </row>
    <row r="28" spans="2:25" x14ac:dyDescent="0.25">
      <c r="E28">
        <v>2016</v>
      </c>
      <c r="F28">
        <v>141254</v>
      </c>
      <c r="G28">
        <v>167572</v>
      </c>
      <c r="H28">
        <f>G28+G27+G26+G25</f>
        <v>256151</v>
      </c>
      <c r="I28">
        <f t="shared" si="2"/>
        <v>1.8134070539595339</v>
      </c>
    </row>
    <row r="29" spans="2:25" x14ac:dyDescent="0.25">
      <c r="E29">
        <v>2017</v>
      </c>
      <c r="F29">
        <v>213903</v>
      </c>
      <c r="G29">
        <v>456097</v>
      </c>
      <c r="H29">
        <f>G29+G28+G27+G26+G25</f>
        <v>712248</v>
      </c>
      <c r="I29">
        <f t="shared" si="2"/>
        <v>3.3297709709541241</v>
      </c>
    </row>
    <row r="30" spans="2:25" x14ac:dyDescent="0.25">
      <c r="E30">
        <v>2018</v>
      </c>
      <c r="F30">
        <v>300000</v>
      </c>
      <c r="G30">
        <v>717414</v>
      </c>
      <c r="H30">
        <f>G30+G29+G28+G27+G26+G25</f>
        <v>1429662</v>
      </c>
      <c r="I30">
        <f t="shared" si="2"/>
        <v>4.7655399999999997</v>
      </c>
    </row>
    <row r="31" spans="2:25" x14ac:dyDescent="0.25">
      <c r="E31">
        <v>2019</v>
      </c>
      <c r="F31">
        <v>496000</v>
      </c>
      <c r="G31">
        <v>730509</v>
      </c>
      <c r="H31">
        <f>G31+G30+G29+G28+G27+G26+G25</f>
        <v>2160171</v>
      </c>
      <c r="I31">
        <f t="shared" si="2"/>
        <v>4.3551834677419352</v>
      </c>
      <c r="L31" s="357"/>
      <c r="M31" s="354" t="s">
        <v>430</v>
      </c>
      <c r="N31" s="354"/>
      <c r="O31" s="354"/>
      <c r="P31" s="354"/>
      <c r="Q31" s="354"/>
      <c r="R31" s="354"/>
      <c r="S31" s="354"/>
      <c r="T31" s="355" t="s">
        <v>431</v>
      </c>
      <c r="U31" s="355"/>
      <c r="V31" s="355"/>
      <c r="W31" s="355"/>
      <c r="X31" s="355"/>
      <c r="Y31" s="356"/>
    </row>
    <row r="32" spans="2:25" x14ac:dyDescent="0.25">
      <c r="E32">
        <v>2020</v>
      </c>
      <c r="F32">
        <f>F31+190000</f>
        <v>686000</v>
      </c>
      <c r="G32">
        <v>1152000</v>
      </c>
      <c r="H32">
        <f>G32+G31+G30+G29+G28+G27+G26+G25</f>
        <v>3312171</v>
      </c>
      <c r="I32">
        <f t="shared" si="2"/>
        <v>4.8282376093294461</v>
      </c>
      <c r="L32" s="315"/>
      <c r="M32" s="74">
        <v>2013</v>
      </c>
      <c r="N32" s="74">
        <v>2014</v>
      </c>
      <c r="O32" s="74">
        <v>2015</v>
      </c>
      <c r="P32" s="74">
        <v>2016</v>
      </c>
      <c r="Q32" s="74">
        <v>2017</v>
      </c>
      <c r="R32" s="74">
        <v>2018</v>
      </c>
      <c r="S32" s="74">
        <v>2019</v>
      </c>
      <c r="T32" s="74">
        <v>2020</v>
      </c>
      <c r="U32" s="74">
        <v>2021</v>
      </c>
      <c r="V32" s="74">
        <v>2022</v>
      </c>
      <c r="W32" s="74">
        <v>2023</v>
      </c>
      <c r="X32" s="74">
        <v>2024</v>
      </c>
      <c r="Y32" s="271">
        <v>2025</v>
      </c>
    </row>
    <row r="33" spans="5:25" x14ac:dyDescent="0.25">
      <c r="E33">
        <v>2021</v>
      </c>
      <c r="F33">
        <f>F32+280000</f>
        <v>966000</v>
      </c>
      <c r="G33">
        <f>1512000</f>
        <v>1512000</v>
      </c>
      <c r="H33">
        <f>G33+G32+G31+G30+G29+G28+G27+G26</f>
        <v>4809567</v>
      </c>
      <c r="I33">
        <f t="shared" si="2"/>
        <v>4.9788478260869562</v>
      </c>
      <c r="L33" s="272" t="s">
        <v>429</v>
      </c>
      <c r="M33" s="273">
        <v>22500</v>
      </c>
      <c r="N33" s="273">
        <v>30900</v>
      </c>
      <c r="O33" s="273">
        <v>49000</v>
      </c>
      <c r="P33" s="273">
        <v>141254</v>
      </c>
      <c r="Q33" s="273">
        <v>213903</v>
      </c>
      <c r="R33" s="273">
        <v>300000</v>
      </c>
      <c r="S33" s="273">
        <v>496000</v>
      </c>
      <c r="T33" s="274">
        <v>686000</v>
      </c>
      <c r="U33" s="274">
        <v>966000</v>
      </c>
      <c r="V33" s="274">
        <v>1376000</v>
      </c>
      <c r="W33" s="274">
        <v>1433000</v>
      </c>
      <c r="X33" s="274">
        <v>2233000</v>
      </c>
      <c r="Y33" s="275">
        <v>3433000</v>
      </c>
    </row>
    <row r="34" spans="5:25" x14ac:dyDescent="0.25">
      <c r="E34">
        <v>2022</v>
      </c>
      <c r="F34">
        <f>F33+410000</f>
        <v>1376000</v>
      </c>
      <c r="G34">
        <v>1980000</v>
      </c>
      <c r="H34">
        <f>G34+G33+G32+G31+G30+G29+G28+G27</f>
        <v>6767835</v>
      </c>
      <c r="I34">
        <f t="shared" si="2"/>
        <v>4.9184847383720927</v>
      </c>
    </row>
    <row r="35" spans="5:25" x14ac:dyDescent="0.25">
      <c r="E35">
        <v>2023</v>
      </c>
      <c r="F35">
        <f>F34+57000</f>
        <v>1433000</v>
      </c>
      <c r="G35">
        <v>2520000</v>
      </c>
      <c r="H35">
        <f>G35+G34+G33+G32+G31+G30+G29</f>
        <v>9068020</v>
      </c>
      <c r="I35">
        <f t="shared" si="2"/>
        <v>6.3279972086531755</v>
      </c>
    </row>
    <row r="36" spans="5:25" x14ac:dyDescent="0.25">
      <c r="E36">
        <v>2024</v>
      </c>
      <c r="F36">
        <f>F35+800000</f>
        <v>2233000</v>
      </c>
      <c r="G36">
        <v>3240000</v>
      </c>
      <c r="H36">
        <f>G36+G35+G34+G33+G32+G31+G30+G29+G28+G27+G26+G25</f>
        <v>12564171</v>
      </c>
      <c r="I36">
        <f t="shared" si="2"/>
        <v>5.6265879982086879</v>
      </c>
    </row>
    <row r="37" spans="5:25" x14ac:dyDescent="0.25">
      <c r="E37">
        <v>2025</v>
      </c>
      <c r="F37">
        <f>F36+1200000</f>
        <v>3433000</v>
      </c>
      <c r="G37">
        <v>4320000</v>
      </c>
      <c r="H37">
        <f>G37+G36+G35+G34+G33+G32+G31+G30+G29+G28+G27+G26+G25</f>
        <v>16884171</v>
      </c>
      <c r="I37">
        <f t="shared" si="2"/>
        <v>4.9181972036120012</v>
      </c>
    </row>
  </sheetData>
  <mergeCells count="3">
    <mergeCell ref="M31:S31"/>
    <mergeCell ref="T31:Y31"/>
    <mergeCell ref="L31:L32"/>
  </mergeCells>
  <phoneticPr fontId="2" type="noConversion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B33"/>
  <sheetViews>
    <sheetView tabSelected="1" zoomScale="120" zoomScaleNormal="120" workbookViewId="0">
      <selection activeCell="P25" sqref="P25"/>
    </sheetView>
  </sheetViews>
  <sheetFormatPr defaultRowHeight="14.4" x14ac:dyDescent="0.25"/>
  <cols>
    <col min="2" max="2" width="6.33203125" customWidth="1"/>
    <col min="3" max="3" width="2.21875" hidden="1" customWidth="1"/>
    <col min="4" max="4" width="21.77734375" customWidth="1"/>
    <col min="12" max="12" width="39.6640625" customWidth="1"/>
    <col min="16" max="16" width="29.44140625" customWidth="1"/>
    <col min="17" max="17" width="27.21875" customWidth="1"/>
    <col min="18" max="18" width="31.33203125" customWidth="1"/>
    <col min="19" max="19" width="28.109375" customWidth="1"/>
    <col min="20" max="20" width="30" customWidth="1"/>
    <col min="21" max="21" width="26.77734375" customWidth="1"/>
    <col min="22" max="22" width="23.77734375" bestFit="1" customWidth="1"/>
    <col min="23" max="23" width="34.77734375" bestFit="1" customWidth="1"/>
    <col min="24" max="24" width="26" bestFit="1" customWidth="1"/>
    <col min="25" max="25" width="21.5546875" bestFit="1" customWidth="1"/>
    <col min="26" max="26" width="35.88671875" bestFit="1" customWidth="1"/>
  </cols>
  <sheetData>
    <row r="5" spans="4:22" ht="28.8" x14ac:dyDescent="0.25">
      <c r="D5" s="295" t="s">
        <v>442</v>
      </c>
      <c r="E5" s="263">
        <v>2013</v>
      </c>
      <c r="F5" s="263">
        <v>2014</v>
      </c>
      <c r="G5" s="263">
        <v>2015</v>
      </c>
      <c r="H5" s="263">
        <v>2016</v>
      </c>
      <c r="I5" s="263">
        <v>2017</v>
      </c>
      <c r="J5" s="263">
        <v>2018</v>
      </c>
      <c r="K5" s="263">
        <v>2019</v>
      </c>
      <c r="L5" s="264" t="s">
        <v>450</v>
      </c>
      <c r="P5" s="281" t="s">
        <v>472</v>
      </c>
      <c r="Q5" s="282" t="s">
        <v>471</v>
      </c>
      <c r="R5" s="282" t="s">
        <v>493</v>
      </c>
      <c r="S5" s="282" t="s">
        <v>495</v>
      </c>
      <c r="T5" s="282" t="s">
        <v>473</v>
      </c>
      <c r="U5" s="282" t="s">
        <v>474</v>
      </c>
      <c r="V5" s="67" t="s">
        <v>467</v>
      </c>
    </row>
    <row r="6" spans="4:22" x14ac:dyDescent="0.25">
      <c r="D6" s="279" t="s">
        <v>432</v>
      </c>
      <c r="E6" s="194">
        <v>425</v>
      </c>
      <c r="F6" s="194">
        <v>425</v>
      </c>
      <c r="G6" s="194">
        <v>470</v>
      </c>
      <c r="H6" s="194">
        <v>470</v>
      </c>
      <c r="I6" s="194">
        <v>536</v>
      </c>
      <c r="J6" s="194">
        <v>536</v>
      </c>
      <c r="K6" s="194">
        <v>536</v>
      </c>
      <c r="L6" s="276">
        <f>((K6-E6)/E6)/6</f>
        <v>4.3529411764705879E-2</v>
      </c>
      <c r="P6" s="283">
        <v>660</v>
      </c>
      <c r="Q6" s="283">
        <v>505</v>
      </c>
      <c r="R6" s="283">
        <v>415</v>
      </c>
      <c r="S6" s="283">
        <v>610</v>
      </c>
      <c r="T6" s="283">
        <v>580</v>
      </c>
      <c r="U6" s="283">
        <v>456</v>
      </c>
    </row>
    <row r="7" spans="4:22" ht="28.8" x14ac:dyDescent="0.25">
      <c r="D7" s="279" t="s">
        <v>436</v>
      </c>
      <c r="E7" s="194" t="s">
        <v>441</v>
      </c>
      <c r="F7" s="194" t="s">
        <v>441</v>
      </c>
      <c r="G7" s="194" t="s">
        <v>441</v>
      </c>
      <c r="H7" s="194" t="s">
        <v>441</v>
      </c>
      <c r="I7" s="194">
        <v>460</v>
      </c>
      <c r="J7" s="194">
        <v>514</v>
      </c>
      <c r="K7" s="194">
        <v>668</v>
      </c>
      <c r="L7" s="276">
        <f>((K7-I7)/I7)/2</f>
        <v>0.22608695652173913</v>
      </c>
      <c r="P7" s="284" t="s">
        <v>494</v>
      </c>
      <c r="Q7" s="285" t="s">
        <v>451</v>
      </c>
      <c r="R7" s="285" t="s">
        <v>452</v>
      </c>
      <c r="S7" s="285" t="s">
        <v>453</v>
      </c>
      <c r="T7" s="285" t="s">
        <v>454</v>
      </c>
      <c r="U7" s="285" t="s">
        <v>455</v>
      </c>
      <c r="V7" s="67" t="s">
        <v>468</v>
      </c>
    </row>
    <row r="8" spans="4:22" x14ac:dyDescent="0.25">
      <c r="D8" s="279" t="s">
        <v>433</v>
      </c>
      <c r="E8" s="194">
        <v>134.4</v>
      </c>
      <c r="F8" s="194">
        <v>134.4</v>
      </c>
      <c r="G8" s="194">
        <v>134.4</v>
      </c>
      <c r="H8" s="194">
        <v>171.2</v>
      </c>
      <c r="I8" s="194">
        <v>241.6</v>
      </c>
      <c r="J8" s="194">
        <v>241.6</v>
      </c>
      <c r="K8" s="194">
        <v>360</v>
      </c>
      <c r="L8" s="276">
        <f>((K8-E8)/E8)/6</f>
        <v>0.27976190476190471</v>
      </c>
      <c r="P8" s="285">
        <v>420</v>
      </c>
      <c r="Q8" s="285">
        <v>421</v>
      </c>
      <c r="R8" s="285">
        <v>400</v>
      </c>
      <c r="S8" s="285">
        <v>451</v>
      </c>
      <c r="T8" s="285">
        <v>530</v>
      </c>
      <c r="U8" s="285">
        <v>410</v>
      </c>
    </row>
    <row r="9" spans="4:22" ht="28.8" x14ac:dyDescent="0.25">
      <c r="D9" s="279" t="s">
        <v>434</v>
      </c>
      <c r="E9" s="194" t="s">
        <v>443</v>
      </c>
      <c r="F9" s="194">
        <v>129.6</v>
      </c>
      <c r="G9" s="194">
        <v>129.6</v>
      </c>
      <c r="H9" s="194">
        <v>129.6</v>
      </c>
      <c r="I9" s="194">
        <v>184</v>
      </c>
      <c r="J9" s="194">
        <v>184</v>
      </c>
      <c r="K9" s="194">
        <v>244.8</v>
      </c>
      <c r="L9" s="276">
        <f>((K9-F9)/F9)/5</f>
        <v>0.17777777777777781</v>
      </c>
      <c r="P9" s="284" t="s">
        <v>478</v>
      </c>
      <c r="Q9" s="284" t="s">
        <v>477</v>
      </c>
      <c r="R9" s="284" t="s">
        <v>470</v>
      </c>
      <c r="S9" s="286" t="s">
        <v>460</v>
      </c>
      <c r="T9" s="287" t="s">
        <v>476</v>
      </c>
      <c r="U9" s="287" t="s">
        <v>475</v>
      </c>
    </row>
    <row r="10" spans="4:22" x14ac:dyDescent="0.25">
      <c r="D10" s="279" t="s">
        <v>435</v>
      </c>
      <c r="E10" s="194" t="s">
        <v>444</v>
      </c>
      <c r="F10" s="194" t="s">
        <v>445</v>
      </c>
      <c r="G10" s="194">
        <v>148.80000000000001</v>
      </c>
      <c r="H10" s="194">
        <v>148.80000000000001</v>
      </c>
      <c r="I10" s="194">
        <v>148.80000000000001</v>
      </c>
      <c r="J10" s="194">
        <v>177.6</v>
      </c>
      <c r="K10" s="194">
        <v>297.60000000000002</v>
      </c>
      <c r="L10" s="276">
        <f>((K10-G10)/G10)/4</f>
        <v>0.25</v>
      </c>
      <c r="P10" s="285">
        <v>360</v>
      </c>
      <c r="Q10" s="285">
        <v>500</v>
      </c>
      <c r="R10" s="285">
        <v>520</v>
      </c>
      <c r="S10" s="286">
        <v>340</v>
      </c>
      <c r="T10" s="286">
        <v>270</v>
      </c>
      <c r="U10" s="286">
        <v>270</v>
      </c>
    </row>
    <row r="11" spans="4:22" ht="28.8" x14ac:dyDescent="0.25">
      <c r="D11" s="279" t="s">
        <v>437</v>
      </c>
      <c r="E11" s="194" t="s">
        <v>446</v>
      </c>
      <c r="F11" s="194" t="s">
        <v>446</v>
      </c>
      <c r="G11" s="194" t="s">
        <v>446</v>
      </c>
      <c r="H11" s="194" t="s">
        <v>446</v>
      </c>
      <c r="I11" s="194" t="s">
        <v>446</v>
      </c>
      <c r="J11" s="194">
        <v>320</v>
      </c>
      <c r="K11" s="194">
        <v>416</v>
      </c>
      <c r="L11" s="276">
        <f>(K11-J11)/J11</f>
        <v>0.3</v>
      </c>
      <c r="N11" s="29"/>
      <c r="P11" s="286" t="s">
        <v>457</v>
      </c>
      <c r="Q11" s="286" t="s">
        <v>458</v>
      </c>
      <c r="R11" s="286" t="s">
        <v>459</v>
      </c>
      <c r="S11" s="285" t="s">
        <v>466</v>
      </c>
      <c r="T11" s="287" t="s">
        <v>469</v>
      </c>
      <c r="U11" s="287" t="s">
        <v>496</v>
      </c>
    </row>
    <row r="12" spans="4:22" x14ac:dyDescent="0.25">
      <c r="D12" s="279" t="s">
        <v>440</v>
      </c>
      <c r="E12" s="194" t="s">
        <v>447</v>
      </c>
      <c r="F12" s="194" t="s">
        <v>447</v>
      </c>
      <c r="G12" s="194" t="s">
        <v>447</v>
      </c>
      <c r="H12" s="194">
        <v>300</v>
      </c>
      <c r="I12" s="194">
        <v>360</v>
      </c>
      <c r="J12" s="194">
        <v>400</v>
      </c>
      <c r="K12" s="194">
        <v>421</v>
      </c>
      <c r="L12" s="276">
        <f>((K12-H12)/H12)/3</f>
        <v>0.13444444444444445</v>
      </c>
      <c r="P12" s="286">
        <v>501</v>
      </c>
      <c r="Q12" s="286">
        <v>302</v>
      </c>
      <c r="R12" s="286">
        <v>420</v>
      </c>
      <c r="S12" s="285">
        <v>410</v>
      </c>
      <c r="T12" s="286">
        <v>305</v>
      </c>
      <c r="U12" s="286">
        <v>410</v>
      </c>
    </row>
    <row r="13" spans="4:22" ht="28.8" x14ac:dyDescent="0.25">
      <c r="D13" s="279" t="s">
        <v>438</v>
      </c>
      <c r="E13" s="194" t="s">
        <v>448</v>
      </c>
      <c r="F13" s="194" t="s">
        <v>448</v>
      </c>
      <c r="G13" s="194" t="s">
        <v>448</v>
      </c>
      <c r="H13" s="194" t="s">
        <v>448</v>
      </c>
      <c r="I13" s="194">
        <v>300</v>
      </c>
      <c r="J13" s="194">
        <v>401</v>
      </c>
      <c r="K13" s="194">
        <v>420</v>
      </c>
      <c r="L13" s="276">
        <f>((K13-I13)/I13)/2</f>
        <v>0.2</v>
      </c>
      <c r="P13" s="288" t="s">
        <v>289</v>
      </c>
      <c r="Q13" s="289" t="s">
        <v>290</v>
      </c>
      <c r="R13" s="289" t="s">
        <v>291</v>
      </c>
      <c r="S13" s="289" t="s">
        <v>292</v>
      </c>
      <c r="T13" s="289" t="s">
        <v>294</v>
      </c>
      <c r="U13" s="281" t="s">
        <v>485</v>
      </c>
    </row>
    <row r="14" spans="4:22" x14ac:dyDescent="0.25">
      <c r="D14" s="279" t="s">
        <v>439</v>
      </c>
      <c r="E14" s="194" t="s">
        <v>445</v>
      </c>
      <c r="F14" s="194" t="s">
        <v>445</v>
      </c>
      <c r="G14" s="194">
        <v>132.80000000000001</v>
      </c>
      <c r="H14" s="194">
        <v>132.80000000000001</v>
      </c>
      <c r="I14" s="194">
        <v>200</v>
      </c>
      <c r="J14" s="194">
        <v>200</v>
      </c>
      <c r="K14" s="194">
        <v>200</v>
      </c>
      <c r="L14" s="276">
        <f>((K14-G14)/G14)/4</f>
        <v>0.12650602409638551</v>
      </c>
      <c r="N14" s="29"/>
      <c r="P14" s="289">
        <v>301</v>
      </c>
      <c r="Q14" s="289">
        <v>310</v>
      </c>
      <c r="R14" s="289">
        <v>250</v>
      </c>
      <c r="S14" s="289">
        <v>250</v>
      </c>
      <c r="T14" s="289">
        <v>301</v>
      </c>
      <c r="U14" s="283">
        <v>470</v>
      </c>
    </row>
    <row r="15" spans="4:22" ht="28.8" x14ac:dyDescent="0.25">
      <c r="D15" s="280" t="s">
        <v>449</v>
      </c>
      <c r="E15" s="195">
        <v>121.6</v>
      </c>
      <c r="F15" s="195">
        <v>121.6</v>
      </c>
      <c r="G15" s="195">
        <v>121.6</v>
      </c>
      <c r="H15" s="195">
        <v>121.6</v>
      </c>
      <c r="I15" s="195">
        <v>184</v>
      </c>
      <c r="J15" s="195">
        <v>184</v>
      </c>
      <c r="K15" s="195">
        <v>184</v>
      </c>
      <c r="L15" s="277">
        <f>((K15-E15)/E15)/6</f>
        <v>8.5526315789473686E-2</v>
      </c>
      <c r="P15" s="281" t="s">
        <v>483</v>
      </c>
      <c r="Q15" s="285" t="s">
        <v>456</v>
      </c>
      <c r="R15" s="281" t="s">
        <v>480</v>
      </c>
      <c r="S15" s="288" t="s">
        <v>293</v>
      </c>
      <c r="T15" s="289" t="s">
        <v>295</v>
      </c>
      <c r="U15" s="284" t="s">
        <v>484</v>
      </c>
    </row>
    <row r="16" spans="4:22" x14ac:dyDescent="0.25">
      <c r="J16" s="193"/>
      <c r="K16" s="193"/>
      <c r="L16" s="29">
        <f>AVERAGE(L6:L15)</f>
        <v>0.1823632835156431</v>
      </c>
      <c r="P16" s="283">
        <v>520</v>
      </c>
      <c r="Q16" s="285">
        <v>510</v>
      </c>
      <c r="R16" s="283">
        <v>403</v>
      </c>
      <c r="S16" s="289">
        <v>301</v>
      </c>
      <c r="T16" s="289">
        <v>210</v>
      </c>
      <c r="U16" s="285">
        <v>338</v>
      </c>
    </row>
    <row r="17" spans="15:28" ht="28.8" x14ac:dyDescent="0.25">
      <c r="P17" s="287" t="s">
        <v>482</v>
      </c>
      <c r="Q17" s="287" t="s">
        <v>481</v>
      </c>
      <c r="R17" s="282" t="s">
        <v>479</v>
      </c>
      <c r="S17" s="286" t="s">
        <v>465</v>
      </c>
      <c r="T17" s="286" t="s">
        <v>461</v>
      </c>
      <c r="U17" s="287" t="s">
        <v>486</v>
      </c>
    </row>
    <row r="18" spans="15:28" x14ac:dyDescent="0.25">
      <c r="P18" s="286">
        <v>500</v>
      </c>
      <c r="Q18" s="286">
        <v>401</v>
      </c>
      <c r="R18" s="283">
        <v>520</v>
      </c>
      <c r="S18" s="286">
        <v>510</v>
      </c>
      <c r="T18" s="286">
        <v>401</v>
      </c>
      <c r="U18" s="286">
        <v>350</v>
      </c>
    </row>
    <row r="19" spans="15:28" ht="28.8" x14ac:dyDescent="0.25">
      <c r="P19" s="290" t="s">
        <v>492</v>
      </c>
      <c r="Q19" s="281" t="s">
        <v>491</v>
      </c>
      <c r="R19" s="284" t="s">
        <v>490</v>
      </c>
      <c r="S19" s="284" t="s">
        <v>489</v>
      </c>
      <c r="T19" s="290" t="s">
        <v>488</v>
      </c>
      <c r="U19" s="291" t="s">
        <v>487</v>
      </c>
    </row>
    <row r="20" spans="15:28" x14ac:dyDescent="0.25">
      <c r="P20" s="292">
        <v>250</v>
      </c>
      <c r="Q20" s="293">
        <v>450</v>
      </c>
      <c r="R20" s="294">
        <v>668</v>
      </c>
      <c r="S20" s="285">
        <v>490</v>
      </c>
      <c r="T20" s="289">
        <v>300</v>
      </c>
      <c r="U20" s="292">
        <v>250</v>
      </c>
    </row>
    <row r="22" spans="15:28" x14ac:dyDescent="0.25">
      <c r="O22">
        <v>2020</v>
      </c>
      <c r="P22">
        <f>AVERAGE(P6,Q6,R6,S6,T6,U6,U8,T8,S8,R8,Q8,P8,P10,Q10,R10,S10,T10,U10,U12,T12,S12,R12,Q12,P12,P14,Q14,R14,S14,T14,U14,U16,T16,S16,R16,Q16,P16,P18,Q18,R18,S18,T18,U18,U20,T20,S20,R20,Q20,P20)</f>
        <v>410.83333333333331</v>
      </c>
      <c r="R22" t="s">
        <v>497</v>
      </c>
      <c r="S22">
        <f>AVERAGE(P6,Q6,R6,S6,T6,U6,U14,R16,R18,Q20,P16)</f>
        <v>508.09090909090907</v>
      </c>
    </row>
    <row r="23" spans="15:28" x14ac:dyDescent="0.25">
      <c r="O23">
        <v>2021</v>
      </c>
      <c r="P23">
        <f>P22*(1+$L$16)</f>
        <v>485.75424897767664</v>
      </c>
      <c r="R23" t="s">
        <v>498</v>
      </c>
      <c r="S23">
        <f>AVERAGE(P8,Q8,R8,S8,T8,U8,R10,Q10,P10,S12,U16,S20,R20,Q16)</f>
        <v>459.14285714285717</v>
      </c>
    </row>
    <row r="24" spans="15:28" x14ac:dyDescent="0.25">
      <c r="O24">
        <v>2022</v>
      </c>
      <c r="P24">
        <f>P23*(1+$L$16)</f>
        <v>574.3379888029209</v>
      </c>
      <c r="R24" t="s">
        <v>499</v>
      </c>
      <c r="S24">
        <f>AVERAGE(P12,Q12,R12,S10,T10,U10,U12,T12,U18,T18,S18,Q18,P18)</f>
        <v>383.07692307692309</v>
      </c>
    </row>
    <row r="25" spans="15:28" x14ac:dyDescent="0.25">
      <c r="O25">
        <v>2023</v>
      </c>
      <c r="P25">
        <f>P24*(1+$L$16)</f>
        <v>679.07615028879218</v>
      </c>
      <c r="R25" t="s">
        <v>500</v>
      </c>
      <c r="S25">
        <f>AVERAGE(P20,T20,U20,T16,S16,S14,T14,R14,Q14,P14)</f>
        <v>272.3</v>
      </c>
    </row>
    <row r="26" spans="15:28" x14ac:dyDescent="0.25">
      <c r="O26">
        <v>2024</v>
      </c>
      <c r="P26">
        <f>P25*(1+$L$16)</f>
        <v>802.91470681261865</v>
      </c>
      <c r="R26" s="234"/>
      <c r="S26" s="235"/>
      <c r="T26" s="235"/>
      <c r="U26" s="235"/>
      <c r="V26" s="235"/>
      <c r="W26" s="236"/>
      <c r="X26" s="236"/>
      <c r="Y26" s="235"/>
      <c r="Z26" s="278"/>
      <c r="AA26" s="234"/>
      <c r="AB26" s="235"/>
    </row>
    <row r="27" spans="15:28" x14ac:dyDescent="0.25">
      <c r="O27">
        <v>2025</v>
      </c>
    </row>
    <row r="28" spans="15:28" x14ac:dyDescent="0.25">
      <c r="O28">
        <v>2026</v>
      </c>
      <c r="R28" s="234"/>
      <c r="S28" s="235"/>
      <c r="T28" s="235"/>
      <c r="U28" s="235"/>
    </row>
    <row r="29" spans="15:28" x14ac:dyDescent="0.25">
      <c r="O29">
        <v>2027</v>
      </c>
    </row>
    <row r="30" spans="15:28" x14ac:dyDescent="0.25">
      <c r="O30">
        <v>2028</v>
      </c>
    </row>
    <row r="31" spans="15:28" x14ac:dyDescent="0.25">
      <c r="O31">
        <v>2029</v>
      </c>
    </row>
    <row r="32" spans="15:28" x14ac:dyDescent="0.25">
      <c r="O32">
        <v>2030</v>
      </c>
    </row>
    <row r="33" spans="15:15" x14ac:dyDescent="0.25">
      <c r="O33">
        <v>2031</v>
      </c>
    </row>
  </sheetData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"/>
  <sheetViews>
    <sheetView topLeftCell="A7" workbookViewId="0">
      <selection activeCell="B3" sqref="B3:E15"/>
    </sheetView>
  </sheetViews>
  <sheetFormatPr defaultRowHeight="14.4" x14ac:dyDescent="0.25"/>
  <cols>
    <col min="3" max="3" width="14.77734375" customWidth="1"/>
    <col min="4" max="4" width="80.21875" customWidth="1"/>
    <col min="5" max="5" width="60.77734375" customWidth="1"/>
  </cols>
  <sheetData>
    <row r="3" spans="2:5" x14ac:dyDescent="0.25">
      <c r="B3" s="296" t="s">
        <v>501</v>
      </c>
      <c r="C3" s="296" t="s">
        <v>502</v>
      </c>
      <c r="D3" s="296" t="s">
        <v>503</v>
      </c>
      <c r="E3" s="296" t="s">
        <v>504</v>
      </c>
    </row>
    <row r="4" spans="2:5" ht="43.2" x14ac:dyDescent="0.25">
      <c r="B4" s="358" t="s">
        <v>537</v>
      </c>
      <c r="C4" s="297" t="s">
        <v>505</v>
      </c>
      <c r="D4" s="298" t="s">
        <v>506</v>
      </c>
      <c r="E4" s="297" t="s">
        <v>507</v>
      </c>
    </row>
    <row r="5" spans="2:5" ht="43.2" x14ac:dyDescent="0.25">
      <c r="B5" s="358"/>
      <c r="C5" s="297" t="s">
        <v>508</v>
      </c>
      <c r="D5" s="298" t="s">
        <v>509</v>
      </c>
      <c r="E5" s="297" t="s">
        <v>513</v>
      </c>
    </row>
    <row r="6" spans="2:5" ht="43.2" x14ac:dyDescent="0.25">
      <c r="B6" s="358"/>
      <c r="C6" s="297" t="s">
        <v>510</v>
      </c>
      <c r="D6" s="298" t="s">
        <v>511</v>
      </c>
      <c r="E6" s="299" t="s">
        <v>512</v>
      </c>
    </row>
    <row r="7" spans="2:5" ht="28.8" x14ac:dyDescent="0.25">
      <c r="B7" s="358" t="s">
        <v>538</v>
      </c>
      <c r="C7" s="297" t="s">
        <v>514</v>
      </c>
      <c r="D7" s="298" t="s">
        <v>515</v>
      </c>
      <c r="E7" s="299" t="s">
        <v>516</v>
      </c>
    </row>
    <row r="8" spans="2:5" x14ac:dyDescent="0.25">
      <c r="B8" s="358"/>
      <c r="C8" s="297" t="s">
        <v>517</v>
      </c>
      <c r="D8" s="298" t="s">
        <v>518</v>
      </c>
      <c r="E8" s="297" t="s">
        <v>519</v>
      </c>
    </row>
    <row r="9" spans="2:5" ht="72" x14ac:dyDescent="0.25">
      <c r="B9" s="358"/>
      <c r="C9" s="297" t="s">
        <v>520</v>
      </c>
      <c r="D9" s="298" t="s">
        <v>521</v>
      </c>
      <c r="E9" s="297" t="s">
        <v>441</v>
      </c>
    </row>
    <row r="10" spans="2:5" ht="28.8" x14ac:dyDescent="0.25">
      <c r="B10" s="358" t="s">
        <v>539</v>
      </c>
      <c r="C10" s="297" t="s">
        <v>522</v>
      </c>
      <c r="D10" s="298" t="s">
        <v>523</v>
      </c>
      <c r="E10" s="297" t="s">
        <v>524</v>
      </c>
    </row>
    <row r="11" spans="2:5" ht="28.8" x14ac:dyDescent="0.25">
      <c r="B11" s="358"/>
      <c r="C11" s="297" t="s">
        <v>525</v>
      </c>
      <c r="D11" s="298" t="s">
        <v>526</v>
      </c>
      <c r="E11" s="297" t="s">
        <v>527</v>
      </c>
    </row>
    <row r="12" spans="2:5" ht="57.6" x14ac:dyDescent="0.25">
      <c r="B12" s="358"/>
      <c r="C12" s="297" t="s">
        <v>528</v>
      </c>
      <c r="D12" s="298" t="s">
        <v>529</v>
      </c>
      <c r="E12" s="297" t="s">
        <v>524</v>
      </c>
    </row>
    <row r="13" spans="2:5" ht="28.8" x14ac:dyDescent="0.25">
      <c r="B13" s="358" t="s">
        <v>540</v>
      </c>
      <c r="C13" s="297" t="s">
        <v>530</v>
      </c>
      <c r="D13" s="298" t="s">
        <v>531</v>
      </c>
      <c r="E13" s="297" t="s">
        <v>532</v>
      </c>
    </row>
    <row r="14" spans="2:5" ht="43.2" x14ac:dyDescent="0.25">
      <c r="B14" s="358"/>
      <c r="C14" s="297" t="s">
        <v>533</v>
      </c>
      <c r="D14" s="298" t="s">
        <v>534</v>
      </c>
      <c r="E14" s="297" t="s">
        <v>441</v>
      </c>
    </row>
    <row r="15" spans="2:5" ht="28.8" x14ac:dyDescent="0.25">
      <c r="B15" s="358"/>
      <c r="C15" s="297" t="s">
        <v>535</v>
      </c>
      <c r="D15" s="298" t="s">
        <v>536</v>
      </c>
      <c r="E15" s="297" t="s">
        <v>524</v>
      </c>
    </row>
  </sheetData>
  <mergeCells count="4">
    <mergeCell ref="B4:B6"/>
    <mergeCell ref="B7:B9"/>
    <mergeCell ref="B10:B12"/>
    <mergeCell ref="B13:B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China BEVs penetration rate</vt:lpstr>
      <vt:lpstr>Ratio of Sales</vt:lpstr>
      <vt:lpstr>Annual Comparison</vt:lpstr>
      <vt:lpstr>Battery Price </vt:lpstr>
      <vt:lpstr>Battery Installed Capacity</vt:lpstr>
      <vt:lpstr>ABC class Vehicle Definition</vt:lpstr>
      <vt:lpstr>A00</vt:lpstr>
      <vt:lpstr>A00 class comparison </vt:lpstr>
      <vt:lpstr>A</vt:lpstr>
      <vt:lpstr>A class comparison</vt:lpstr>
      <vt:lpstr>B</vt:lpstr>
      <vt:lpstr>B class comparison</vt:lpstr>
      <vt:lpstr>C</vt:lpstr>
      <vt:lpstr>C class comparison</vt:lpstr>
      <vt:lpstr>Class Summary</vt:lpstr>
      <vt:lpstr>TCO graphing</vt:lpstr>
      <vt:lpstr>A00 data TCO</vt:lpstr>
      <vt:lpstr>A00 TCO (10)3</vt:lpstr>
      <vt:lpstr>A00 TCO (10)</vt:lpstr>
      <vt:lpstr>A00 TCO (20)</vt:lpstr>
      <vt:lpstr>A00 TCO (30)</vt:lpstr>
      <vt:lpstr>A00 TCO (40)</vt:lpstr>
      <vt:lpstr>A00 TCO (60)</vt:lpstr>
      <vt:lpstr>A00 TCO (80)</vt:lpstr>
      <vt:lpstr>A00 TCO (300)</vt:lpstr>
      <vt:lpstr>A (3)</vt:lpstr>
      <vt:lpstr>A TCO Inner City (20)</vt:lpstr>
      <vt:lpstr>A TCO Inner City (30)</vt:lpstr>
      <vt:lpstr>A TCO Inner City (40)</vt:lpstr>
      <vt:lpstr>A TCO Inner City (60)</vt:lpstr>
      <vt:lpstr>A TCO Inner City (80)</vt:lpstr>
      <vt:lpstr>A TCO Shared Riding (300)</vt:lpstr>
      <vt:lpstr>B (2)</vt:lpstr>
      <vt:lpstr>B TCO （300） (2SD)</vt:lpstr>
      <vt:lpstr>B TCO （20) (2SD)</vt:lpstr>
      <vt:lpstr>B TCO （60) (2SD)</vt:lpstr>
      <vt:lpstr>B TCO （300）</vt:lpstr>
      <vt:lpstr>B TCO （20)</vt:lpstr>
      <vt:lpstr>B TCO （30)</vt:lpstr>
      <vt:lpstr>B TCO （40）</vt:lpstr>
      <vt:lpstr>B TCO （60)</vt:lpstr>
      <vt:lpstr>B TCO （80）</vt:lpstr>
      <vt:lpstr>C (3)</vt:lpstr>
      <vt:lpstr>C TCO （20)</vt:lpstr>
      <vt:lpstr>C TCO （30)</vt:lpstr>
      <vt:lpstr>C TCO （40)</vt:lpstr>
      <vt:lpstr>C TCO （60)</vt:lpstr>
      <vt:lpstr>C TCO （80）</vt:lpstr>
      <vt:lpstr>C TCO （90）</vt:lpstr>
      <vt:lpstr>C TCO （120）</vt:lpstr>
      <vt:lpstr>C TCO （300）</vt:lpstr>
      <vt:lpstr>Norway Charging Station</vt:lpstr>
      <vt:lpstr>Sweden Charging Stations</vt:lpstr>
      <vt:lpstr>Netherland Charging Stations</vt:lpstr>
      <vt:lpstr>Germany</vt:lpstr>
      <vt:lpstr>China charging Station</vt:lpstr>
      <vt:lpstr>Driving Range</vt:lpstr>
      <vt:lpstr>Automakers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2020-06-08T02:32:31Z</dcterms:modified>
</cp:coreProperties>
</file>